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Desktop\"/>
    </mc:Choice>
  </mc:AlternateContent>
  <xr:revisionPtr revIDLastSave="0" documentId="13_ncr:1_{414BA738-6843-4568-93CF-4B6E98623E2F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pricer" sheetId="2" r:id="rId1"/>
  </sheets>
  <definedNames>
    <definedName name="solver_adj" localSheetId="0" hidden="1">pricer!$C$3:$C$7</definedName>
    <definedName name="solver_cvg" localSheetId="0" hidden="1">0.00001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pricer!$C$4</definedName>
    <definedName name="solver_lhs2" localSheetId="0" hidden="1">pricer!$C$5</definedName>
    <definedName name="solver_lhs3" localSheetId="0" hidden="1">pricer!$C$6</definedName>
    <definedName name="solver_lhs4" localSheetId="0" hidden="1">pricer!$C$7</definedName>
    <definedName name="solver_lhs5" localSheetId="0" hidden="1">pricer!$C$7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pricer!$C$11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1</definedName>
    <definedName name="solver_rel5" localSheetId="0" hidden="1">3</definedName>
    <definedName name="solver_rhs1" localSheetId="0" hidden="1">pricer!$C$9</definedName>
    <definedName name="solver_rhs2" localSheetId="0" hidden="1">pricer!$C$9</definedName>
    <definedName name="solver_rhs3" localSheetId="0" hidden="1">pricer!$C$9</definedName>
    <definedName name="solver_rhs4" localSheetId="0" hidden="1">1</definedName>
    <definedName name="solver_rhs5" localSheetId="0" hidden="1">-1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J7" i="2" s="1"/>
  <c r="G6" i="2"/>
  <c r="C9" i="2"/>
  <c r="G3" i="2"/>
  <c r="D2574" i="2"/>
  <c r="D2573" i="2"/>
  <c r="D2572" i="2"/>
  <c r="D2571" i="2"/>
  <c r="D2570" i="2"/>
  <c r="D2569" i="2"/>
  <c r="D2568" i="2"/>
  <c r="D2567" i="2"/>
  <c r="D2566" i="2"/>
  <c r="D2565" i="2"/>
  <c r="D2564" i="2"/>
  <c r="D2563" i="2"/>
  <c r="D2562" i="2"/>
  <c r="D2561" i="2"/>
  <c r="D2560" i="2"/>
  <c r="D2559" i="2"/>
  <c r="D2558" i="2"/>
  <c r="D2557" i="2"/>
  <c r="D2556" i="2"/>
  <c r="D2555" i="2"/>
  <c r="D2554" i="2"/>
  <c r="D2553" i="2"/>
  <c r="D2552" i="2"/>
  <c r="D2551" i="2"/>
  <c r="D2550" i="2"/>
  <c r="D2549" i="2"/>
  <c r="D2548" i="2"/>
  <c r="D2547" i="2"/>
  <c r="D2546" i="2"/>
  <c r="D2545" i="2"/>
  <c r="D2544" i="2"/>
  <c r="D2543" i="2"/>
  <c r="D2542" i="2"/>
  <c r="D2541" i="2"/>
  <c r="D2540" i="2"/>
  <c r="D2539" i="2"/>
  <c r="D2538" i="2"/>
  <c r="D2537" i="2"/>
  <c r="D2536" i="2"/>
  <c r="D2535" i="2"/>
  <c r="D2534" i="2"/>
  <c r="D2533" i="2"/>
  <c r="D2532" i="2"/>
  <c r="D2531" i="2"/>
  <c r="D2530" i="2"/>
  <c r="D2529" i="2"/>
  <c r="D2528" i="2"/>
  <c r="D2527" i="2"/>
  <c r="D2526" i="2"/>
  <c r="D2525" i="2"/>
  <c r="D2524" i="2"/>
  <c r="D2523" i="2"/>
  <c r="D2522" i="2"/>
  <c r="D2521" i="2"/>
  <c r="D2520" i="2"/>
  <c r="D2519" i="2"/>
  <c r="D2518" i="2"/>
  <c r="D2517" i="2"/>
  <c r="D2516" i="2"/>
  <c r="D2515" i="2"/>
  <c r="D2514" i="2"/>
  <c r="D2513" i="2"/>
  <c r="D2512" i="2"/>
  <c r="D2511" i="2"/>
  <c r="D2510" i="2"/>
  <c r="D2509" i="2"/>
  <c r="D2508" i="2"/>
  <c r="D2507" i="2"/>
  <c r="D2506" i="2"/>
  <c r="D2505" i="2"/>
  <c r="D2504" i="2"/>
  <c r="D2503" i="2"/>
  <c r="D2502" i="2"/>
  <c r="D2501" i="2"/>
  <c r="D2500" i="2"/>
  <c r="D2499" i="2"/>
  <c r="D2498" i="2"/>
  <c r="D2497" i="2"/>
  <c r="D2496" i="2"/>
  <c r="D2495" i="2"/>
  <c r="D2494" i="2"/>
  <c r="D2493" i="2"/>
  <c r="D2492" i="2"/>
  <c r="D2491" i="2"/>
  <c r="D2490" i="2"/>
  <c r="D2489" i="2"/>
  <c r="D2488" i="2"/>
  <c r="D2487" i="2"/>
  <c r="D2486" i="2"/>
  <c r="D2485" i="2"/>
  <c r="D2484" i="2"/>
  <c r="D2483" i="2"/>
  <c r="D2482" i="2"/>
  <c r="D2481" i="2"/>
  <c r="D2480" i="2"/>
  <c r="D2479" i="2"/>
  <c r="D2478" i="2"/>
  <c r="D2477" i="2"/>
  <c r="D2476" i="2"/>
  <c r="D2475" i="2"/>
  <c r="D2474" i="2"/>
  <c r="D2473" i="2"/>
  <c r="D2472" i="2"/>
  <c r="D2471" i="2"/>
  <c r="D2470" i="2"/>
  <c r="D2469" i="2"/>
  <c r="D2468" i="2"/>
  <c r="D2467" i="2"/>
  <c r="D2466" i="2"/>
  <c r="D2465" i="2"/>
  <c r="D2464" i="2"/>
  <c r="D2463" i="2"/>
  <c r="D2462" i="2"/>
  <c r="D2461" i="2"/>
  <c r="D2460" i="2"/>
  <c r="D2459" i="2"/>
  <c r="D2458" i="2"/>
  <c r="D2457" i="2"/>
  <c r="D2456" i="2"/>
  <c r="D2455" i="2"/>
  <c r="D2454" i="2"/>
  <c r="D2453" i="2"/>
  <c r="D2452" i="2"/>
  <c r="D2451" i="2"/>
  <c r="D2450" i="2"/>
  <c r="D2449" i="2"/>
  <c r="D2448" i="2"/>
  <c r="D2447" i="2"/>
  <c r="D2446" i="2"/>
  <c r="D2445" i="2"/>
  <c r="D2444" i="2"/>
  <c r="D2443" i="2"/>
  <c r="D2442" i="2"/>
  <c r="D2441" i="2"/>
  <c r="D2440" i="2"/>
  <c r="D2439" i="2"/>
  <c r="D2438" i="2"/>
  <c r="D2437" i="2"/>
  <c r="D2436" i="2"/>
  <c r="D2435" i="2"/>
  <c r="D2434" i="2"/>
  <c r="D2433" i="2"/>
  <c r="D2432" i="2"/>
  <c r="D2431" i="2"/>
  <c r="D2430" i="2"/>
  <c r="D2429" i="2"/>
  <c r="D2428" i="2"/>
  <c r="D2427" i="2"/>
  <c r="D2426" i="2"/>
  <c r="D2425" i="2"/>
  <c r="D2424" i="2"/>
  <c r="D2423" i="2"/>
  <c r="D2422" i="2"/>
  <c r="D2421" i="2"/>
  <c r="D2420" i="2"/>
  <c r="D2419" i="2"/>
  <c r="D2418" i="2"/>
  <c r="D2417" i="2"/>
  <c r="D2416" i="2"/>
  <c r="D2415" i="2"/>
  <c r="D2414" i="2"/>
  <c r="D2413" i="2"/>
  <c r="D2412" i="2"/>
  <c r="D2411" i="2"/>
  <c r="D2410" i="2"/>
  <c r="D2409" i="2"/>
  <c r="D2408" i="2"/>
  <c r="D2407" i="2"/>
  <c r="D2406" i="2"/>
  <c r="D2405" i="2"/>
  <c r="D2404" i="2"/>
  <c r="D2403" i="2"/>
  <c r="D2402" i="2"/>
  <c r="D2401" i="2"/>
  <c r="D2400" i="2"/>
  <c r="D2399" i="2"/>
  <c r="D2398" i="2"/>
  <c r="D2397" i="2"/>
  <c r="D2396" i="2"/>
  <c r="D2395" i="2"/>
  <c r="D2394" i="2"/>
  <c r="D2393" i="2"/>
  <c r="D2392" i="2"/>
  <c r="D2391" i="2"/>
  <c r="D2390" i="2"/>
  <c r="D2389" i="2"/>
  <c r="D2388" i="2"/>
  <c r="D2387" i="2"/>
  <c r="D2386" i="2"/>
  <c r="D2385" i="2"/>
  <c r="D2384" i="2"/>
  <c r="D2383" i="2"/>
  <c r="D2382" i="2"/>
  <c r="D2381" i="2"/>
  <c r="D2380" i="2"/>
  <c r="D2379" i="2"/>
  <c r="D2378" i="2"/>
  <c r="D2377" i="2"/>
  <c r="D2376" i="2"/>
  <c r="D2375" i="2"/>
  <c r="D2374" i="2"/>
  <c r="D2373" i="2"/>
  <c r="D2372" i="2"/>
  <c r="D2371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8" i="2"/>
  <c r="D2347" i="2"/>
  <c r="D2346" i="2"/>
  <c r="D2345" i="2"/>
  <c r="D2344" i="2"/>
  <c r="D2343" i="2"/>
  <c r="D2342" i="2"/>
  <c r="D2341" i="2"/>
  <c r="D2340" i="2"/>
  <c r="D2339" i="2"/>
  <c r="D2338" i="2"/>
  <c r="D2337" i="2"/>
  <c r="D2336" i="2"/>
  <c r="D2335" i="2"/>
  <c r="D2334" i="2"/>
  <c r="D2333" i="2"/>
  <c r="D2332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9" i="2"/>
  <c r="D2318" i="2"/>
  <c r="D2317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2" i="2"/>
  <c r="D2301" i="2"/>
  <c r="D2300" i="2"/>
  <c r="D2299" i="2"/>
  <c r="D2298" i="2"/>
  <c r="D2297" i="2"/>
  <c r="D2296" i="2"/>
  <c r="D2295" i="2"/>
  <c r="D2294" i="2"/>
  <c r="D2293" i="2"/>
  <c r="D2292" i="2"/>
  <c r="D2291" i="2"/>
  <c r="D2290" i="2"/>
  <c r="D2289" i="2"/>
  <c r="D2288" i="2"/>
  <c r="D2287" i="2"/>
  <c r="D2286" i="2"/>
  <c r="D2285" i="2"/>
  <c r="D2284" i="2"/>
  <c r="D2283" i="2"/>
  <c r="D2282" i="2"/>
  <c r="D2281" i="2"/>
  <c r="D2280" i="2"/>
  <c r="D2279" i="2"/>
  <c r="D2278" i="2"/>
  <c r="D2277" i="2"/>
  <c r="D2276" i="2"/>
  <c r="D2275" i="2"/>
  <c r="D2274" i="2"/>
  <c r="D2273" i="2"/>
  <c r="D2272" i="2"/>
  <c r="D2271" i="2"/>
  <c r="D2270" i="2"/>
  <c r="D2269" i="2"/>
  <c r="D2268" i="2"/>
  <c r="D2267" i="2"/>
  <c r="D2266" i="2"/>
  <c r="D2265" i="2"/>
  <c r="D2264" i="2"/>
  <c r="D2263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6" i="2"/>
  <c r="D2245" i="2"/>
  <c r="D2244" i="2"/>
  <c r="D2243" i="2"/>
  <c r="D2242" i="2"/>
  <c r="D2241" i="2"/>
  <c r="D2240" i="2"/>
  <c r="D2239" i="2"/>
  <c r="D2238" i="2"/>
  <c r="D2237" i="2"/>
  <c r="D2236" i="2"/>
  <c r="D2235" i="2"/>
  <c r="D2234" i="2"/>
  <c r="D2233" i="2"/>
  <c r="D2232" i="2"/>
  <c r="D2231" i="2"/>
  <c r="D2230" i="2"/>
  <c r="D2229" i="2"/>
  <c r="D2228" i="2"/>
  <c r="D2227" i="2"/>
  <c r="D2226" i="2"/>
  <c r="D2225" i="2"/>
  <c r="D2224" i="2"/>
  <c r="D2223" i="2"/>
  <c r="D2222" i="2"/>
  <c r="D2221" i="2"/>
  <c r="D2220" i="2"/>
  <c r="D2219" i="2"/>
  <c r="D2218" i="2"/>
  <c r="D2217" i="2"/>
  <c r="D2216" i="2"/>
  <c r="D2215" i="2"/>
  <c r="D2214" i="2"/>
  <c r="D2213" i="2"/>
  <c r="D2212" i="2"/>
  <c r="D2211" i="2"/>
  <c r="D2210" i="2"/>
  <c r="D2209" i="2"/>
  <c r="D2208" i="2"/>
  <c r="D2207" i="2"/>
  <c r="D2206" i="2"/>
  <c r="D2205" i="2"/>
  <c r="D2204" i="2"/>
  <c r="D2203" i="2"/>
  <c r="D2202" i="2"/>
  <c r="D2201" i="2"/>
  <c r="D2200" i="2"/>
  <c r="D2199" i="2"/>
  <c r="D2198" i="2"/>
  <c r="D2197" i="2"/>
  <c r="D2196" i="2"/>
  <c r="D2195" i="2"/>
  <c r="D2194" i="2"/>
  <c r="D2193" i="2"/>
  <c r="D2192" i="2"/>
  <c r="D2191" i="2"/>
  <c r="D2190" i="2"/>
  <c r="D2189" i="2"/>
  <c r="D2188" i="2"/>
  <c r="D2187" i="2"/>
  <c r="D2186" i="2"/>
  <c r="D2185" i="2"/>
  <c r="D2184" i="2"/>
  <c r="D2183" i="2"/>
  <c r="D2182" i="2"/>
  <c r="D2181" i="2"/>
  <c r="D2180" i="2"/>
  <c r="D2179" i="2"/>
  <c r="D2178" i="2"/>
  <c r="D2177" i="2"/>
  <c r="D2176" i="2"/>
  <c r="D2175" i="2"/>
  <c r="D2174" i="2"/>
  <c r="D2173" i="2"/>
  <c r="D2172" i="2"/>
  <c r="D2171" i="2"/>
  <c r="D2170" i="2"/>
  <c r="D2169" i="2"/>
  <c r="D2168" i="2"/>
  <c r="D2167" i="2"/>
  <c r="D2166" i="2"/>
  <c r="D2165" i="2"/>
  <c r="D2164" i="2"/>
  <c r="D2163" i="2"/>
  <c r="D2162" i="2"/>
  <c r="D2161" i="2"/>
  <c r="D2160" i="2"/>
  <c r="D2159" i="2"/>
  <c r="D2158" i="2"/>
  <c r="D2157" i="2"/>
  <c r="D2156" i="2"/>
  <c r="D2155" i="2"/>
  <c r="D2154" i="2"/>
  <c r="D2153" i="2"/>
  <c r="D2152" i="2"/>
  <c r="D2151" i="2"/>
  <c r="D2150" i="2"/>
  <c r="D2149" i="2"/>
  <c r="D2148" i="2"/>
  <c r="D2147" i="2"/>
  <c r="D2146" i="2"/>
  <c r="D2145" i="2"/>
  <c r="D2144" i="2"/>
  <c r="D2143" i="2"/>
  <c r="D2142" i="2"/>
  <c r="D2141" i="2"/>
  <c r="D2140" i="2"/>
  <c r="D2139" i="2"/>
  <c r="D2138" i="2"/>
  <c r="D2137" i="2"/>
  <c r="D2136" i="2"/>
  <c r="D2135" i="2"/>
  <c r="D2134" i="2"/>
  <c r="D2133" i="2"/>
  <c r="D2132" i="2"/>
  <c r="D2131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7" i="2"/>
  <c r="D2106" i="2"/>
  <c r="D2105" i="2"/>
  <c r="D2104" i="2"/>
  <c r="D2103" i="2"/>
  <c r="D2102" i="2"/>
  <c r="D2101" i="2"/>
  <c r="D2100" i="2"/>
  <c r="D2099" i="2"/>
  <c r="D2098" i="2"/>
  <c r="D2097" i="2"/>
  <c r="D2096" i="2"/>
  <c r="D2095" i="2"/>
  <c r="D2094" i="2"/>
  <c r="D2093" i="2"/>
  <c r="D2092" i="2"/>
  <c r="D2091" i="2"/>
  <c r="D2090" i="2"/>
  <c r="D2089" i="2"/>
  <c r="D2088" i="2"/>
  <c r="D2087" i="2"/>
  <c r="D2086" i="2"/>
  <c r="D2085" i="2"/>
  <c r="D2084" i="2"/>
  <c r="D2083" i="2"/>
  <c r="D2082" i="2"/>
  <c r="D2081" i="2"/>
  <c r="D2080" i="2"/>
  <c r="D2079" i="2"/>
  <c r="D2078" i="2"/>
  <c r="D2077" i="2"/>
  <c r="D2076" i="2"/>
  <c r="D2075" i="2"/>
  <c r="D2074" i="2"/>
  <c r="D2073" i="2"/>
  <c r="D2072" i="2"/>
  <c r="D2071" i="2"/>
  <c r="D2070" i="2"/>
  <c r="D2069" i="2"/>
  <c r="D2068" i="2"/>
  <c r="D2067" i="2"/>
  <c r="D2066" i="2"/>
  <c r="D2065" i="2"/>
  <c r="D2064" i="2"/>
  <c r="D2063" i="2"/>
  <c r="D2062" i="2"/>
  <c r="D2061" i="2"/>
  <c r="D2060" i="2"/>
  <c r="D2059" i="2"/>
  <c r="D2058" i="2"/>
  <c r="D2057" i="2"/>
  <c r="D2056" i="2"/>
  <c r="D2055" i="2"/>
  <c r="D2054" i="2"/>
  <c r="D2053" i="2"/>
  <c r="D2052" i="2"/>
  <c r="D2051" i="2"/>
  <c r="D2050" i="2"/>
  <c r="D2049" i="2"/>
  <c r="D2048" i="2"/>
  <c r="D2047" i="2"/>
  <c r="D2046" i="2"/>
  <c r="D2045" i="2"/>
  <c r="D2044" i="2"/>
  <c r="D2043" i="2"/>
  <c r="D2042" i="2"/>
  <c r="D2041" i="2"/>
  <c r="D2040" i="2"/>
  <c r="D2039" i="2"/>
  <c r="D2038" i="2"/>
  <c r="D2037" i="2"/>
  <c r="D2036" i="2"/>
  <c r="D2035" i="2"/>
  <c r="D2034" i="2"/>
  <c r="D2033" i="2"/>
  <c r="D2032" i="2"/>
  <c r="D2031" i="2"/>
  <c r="D2030" i="2"/>
  <c r="D2029" i="2"/>
  <c r="D2028" i="2"/>
  <c r="D2027" i="2"/>
  <c r="D2026" i="2"/>
  <c r="D2025" i="2"/>
  <c r="D2024" i="2"/>
  <c r="D2023" i="2"/>
  <c r="D2022" i="2"/>
  <c r="D2021" i="2"/>
  <c r="D2020" i="2"/>
  <c r="D2019" i="2"/>
  <c r="D2018" i="2"/>
  <c r="D2017" i="2"/>
  <c r="D2016" i="2"/>
  <c r="D2015" i="2"/>
  <c r="D2014" i="2"/>
  <c r="D2013" i="2"/>
  <c r="D2012" i="2"/>
  <c r="D2011" i="2"/>
  <c r="D2010" i="2"/>
  <c r="D2009" i="2"/>
  <c r="D2008" i="2"/>
  <c r="D2007" i="2"/>
  <c r="D2006" i="2"/>
  <c r="D2005" i="2"/>
  <c r="D2004" i="2"/>
  <c r="D2003" i="2"/>
  <c r="D2002" i="2"/>
  <c r="D2001" i="2"/>
  <c r="D2000" i="2"/>
  <c r="D1999" i="2"/>
  <c r="D1998" i="2"/>
  <c r="D1997" i="2"/>
  <c r="D1996" i="2"/>
  <c r="D1995" i="2"/>
  <c r="D1994" i="2"/>
  <c r="D1993" i="2"/>
  <c r="D1992" i="2"/>
  <c r="D1991" i="2"/>
  <c r="D1990" i="2"/>
  <c r="D1989" i="2"/>
  <c r="D1988" i="2"/>
  <c r="D1987" i="2"/>
  <c r="D1986" i="2"/>
  <c r="D1985" i="2"/>
  <c r="D1984" i="2"/>
  <c r="D1983" i="2"/>
  <c r="D1982" i="2"/>
  <c r="D1981" i="2"/>
  <c r="D1980" i="2"/>
  <c r="D1979" i="2"/>
  <c r="D1978" i="2"/>
  <c r="D1977" i="2"/>
  <c r="D1976" i="2"/>
  <c r="D1975" i="2"/>
  <c r="D1974" i="2"/>
  <c r="D1973" i="2"/>
  <c r="D1972" i="2"/>
  <c r="D1971" i="2"/>
  <c r="D1970" i="2"/>
  <c r="D1969" i="2"/>
  <c r="D1968" i="2"/>
  <c r="D1967" i="2"/>
  <c r="D1966" i="2"/>
  <c r="D1965" i="2"/>
  <c r="D1964" i="2"/>
  <c r="D1963" i="2"/>
  <c r="D1962" i="2"/>
  <c r="D1961" i="2"/>
  <c r="D1960" i="2"/>
  <c r="D1959" i="2"/>
  <c r="D1958" i="2"/>
  <c r="D1957" i="2"/>
  <c r="D1956" i="2"/>
  <c r="D1955" i="2"/>
  <c r="D1954" i="2"/>
  <c r="D1953" i="2"/>
  <c r="D1952" i="2"/>
  <c r="D1951" i="2"/>
  <c r="D1950" i="2"/>
  <c r="D1949" i="2"/>
  <c r="D1948" i="2"/>
  <c r="D1947" i="2"/>
  <c r="D1946" i="2"/>
  <c r="D1945" i="2"/>
  <c r="D1944" i="2"/>
  <c r="D1943" i="2"/>
  <c r="D1942" i="2"/>
  <c r="D1941" i="2"/>
  <c r="D1940" i="2"/>
  <c r="D1939" i="2"/>
  <c r="D1938" i="2"/>
  <c r="D1937" i="2"/>
  <c r="D1936" i="2"/>
  <c r="D1935" i="2"/>
  <c r="D1934" i="2"/>
  <c r="D1933" i="2"/>
  <c r="D1932" i="2"/>
  <c r="D1931" i="2"/>
  <c r="D1930" i="2"/>
  <c r="D1929" i="2"/>
  <c r="D1928" i="2"/>
  <c r="D1927" i="2"/>
  <c r="D1926" i="2"/>
  <c r="D1925" i="2"/>
  <c r="D1924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1" i="2"/>
  <c r="D1900" i="2"/>
  <c r="D1899" i="2"/>
  <c r="D1898" i="2"/>
  <c r="D1897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6" i="2"/>
  <c r="D1865" i="2"/>
  <c r="D1864" i="2"/>
  <c r="D1863" i="2"/>
  <c r="D1862" i="2"/>
  <c r="D1861" i="2"/>
  <c r="D1860" i="2"/>
  <c r="D1859" i="2"/>
  <c r="D1858" i="2"/>
  <c r="D1857" i="2"/>
  <c r="D1856" i="2"/>
  <c r="D1855" i="2"/>
  <c r="D1854" i="2"/>
  <c r="D1853" i="2"/>
  <c r="D1852" i="2"/>
  <c r="D1851" i="2"/>
  <c r="D1850" i="2"/>
  <c r="D1849" i="2"/>
  <c r="D1848" i="2"/>
  <c r="D1847" i="2"/>
  <c r="D1846" i="2"/>
  <c r="D1845" i="2"/>
  <c r="D1844" i="2"/>
  <c r="D1843" i="2"/>
  <c r="D1842" i="2"/>
  <c r="D1841" i="2"/>
  <c r="D1840" i="2"/>
  <c r="D1839" i="2"/>
  <c r="D1838" i="2"/>
  <c r="D1837" i="2"/>
  <c r="D1836" i="2"/>
  <c r="D1835" i="2"/>
  <c r="D1834" i="2"/>
  <c r="D1833" i="2"/>
  <c r="D1832" i="2"/>
  <c r="D1831" i="2"/>
  <c r="D1830" i="2"/>
  <c r="D1829" i="2"/>
  <c r="D1828" i="2"/>
  <c r="D1827" i="2"/>
  <c r="D1826" i="2"/>
  <c r="D1825" i="2"/>
  <c r="D1824" i="2"/>
  <c r="D1823" i="2"/>
  <c r="D1822" i="2"/>
  <c r="D1821" i="2"/>
  <c r="D1820" i="2"/>
  <c r="D1819" i="2"/>
  <c r="D1818" i="2"/>
  <c r="D1817" i="2"/>
  <c r="D1816" i="2"/>
  <c r="D1815" i="2"/>
  <c r="D1814" i="2"/>
  <c r="D1813" i="2"/>
  <c r="D1812" i="2"/>
  <c r="D1811" i="2"/>
  <c r="D1810" i="2"/>
  <c r="D1809" i="2"/>
  <c r="D1808" i="2"/>
  <c r="D1807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4" i="2"/>
  <c r="D1783" i="2"/>
  <c r="D1782" i="2"/>
  <c r="D1781" i="2"/>
  <c r="D1780" i="2"/>
  <c r="D1779" i="2"/>
  <c r="D1778" i="2"/>
  <c r="D1777" i="2"/>
  <c r="D1776" i="2"/>
  <c r="D1775" i="2"/>
  <c r="D1774" i="2"/>
  <c r="D1773" i="2"/>
  <c r="D1772" i="2"/>
  <c r="D1771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5" i="2"/>
  <c r="D1754" i="2"/>
  <c r="D1753" i="2"/>
  <c r="D1752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30" i="2"/>
  <c r="D1729" i="2"/>
  <c r="D1728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E1156" i="2" s="1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E708" i="2" s="1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E338" i="2" s="1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G4" i="2" s="1"/>
  <c r="E1890" i="2" l="1"/>
  <c r="E1327" i="2"/>
  <c r="E2177" i="2"/>
  <c r="E2210" i="2"/>
  <c r="E2432" i="2"/>
  <c r="E546" i="2"/>
  <c r="E1187" i="2"/>
  <c r="E1203" i="2"/>
  <c r="E1377" i="2"/>
  <c r="E1937" i="2"/>
  <c r="E2224" i="2"/>
  <c r="E261" i="2"/>
  <c r="E1363" i="2"/>
  <c r="E341" i="2"/>
  <c r="F341" i="2" s="1"/>
  <c r="E614" i="2"/>
  <c r="G614" i="2" s="1"/>
  <c r="E1092" i="2"/>
  <c r="E2436" i="2"/>
  <c r="E518" i="2"/>
  <c r="E1926" i="2"/>
  <c r="G1926" i="2" s="1"/>
  <c r="E2452" i="2"/>
  <c r="E1030" i="2"/>
  <c r="E1670" i="2"/>
  <c r="E585" i="2"/>
  <c r="E2072" i="2"/>
  <c r="E1194" i="2"/>
  <c r="E1961" i="2"/>
  <c r="E2439" i="2"/>
  <c r="E266" i="2"/>
  <c r="E2216" i="2"/>
  <c r="F2216" i="2" s="1"/>
  <c r="E2425" i="2"/>
  <c r="E2441" i="2"/>
  <c r="I2441" i="2" s="1"/>
  <c r="E908" i="2"/>
  <c r="E1069" i="2"/>
  <c r="E1292" i="2"/>
  <c r="E2202" i="2"/>
  <c r="F2202" i="2" s="1"/>
  <c r="E286" i="2"/>
  <c r="G286" i="2" s="1"/>
  <c r="E974" i="2"/>
  <c r="E1343" i="2"/>
  <c r="E1914" i="2"/>
  <c r="E2187" i="2"/>
  <c r="F2187" i="2" s="1"/>
  <c r="E2395" i="2"/>
  <c r="F2395" i="2" s="1"/>
  <c r="E814" i="2"/>
  <c r="G814" i="2" s="1"/>
  <c r="E2192" i="2"/>
  <c r="E2268" i="2"/>
  <c r="E1599" i="2"/>
  <c r="E1934" i="2"/>
  <c r="E2221" i="2"/>
  <c r="F2221" i="2" s="1"/>
  <c r="E2236" i="2"/>
  <c r="E2444" i="2"/>
  <c r="F2444" i="2" s="1"/>
  <c r="E624" i="2"/>
  <c r="E849" i="2"/>
  <c r="G849" i="2" s="1"/>
  <c r="E993" i="2"/>
  <c r="F993" i="2" s="1"/>
  <c r="E1025" i="2"/>
  <c r="E2448" i="2"/>
  <c r="E52" i="2"/>
  <c r="E512" i="2"/>
  <c r="E868" i="2"/>
  <c r="E2451" i="2"/>
  <c r="F2451" i="2" s="1"/>
  <c r="E171" i="2"/>
  <c r="E539" i="2"/>
  <c r="E23" i="2"/>
  <c r="E39" i="2"/>
  <c r="F39" i="2" s="1"/>
  <c r="E54" i="2"/>
  <c r="F54" i="2" s="1"/>
  <c r="E87" i="2"/>
  <c r="F87" i="2" s="1"/>
  <c r="E150" i="2"/>
  <c r="E262" i="2"/>
  <c r="E544" i="2"/>
  <c r="G544" i="2" s="1"/>
  <c r="E634" i="2"/>
  <c r="G634" i="2" s="1"/>
  <c r="E1808" i="2"/>
  <c r="E57" i="2"/>
  <c r="E69" i="2"/>
  <c r="E302" i="2"/>
  <c r="G302" i="2" s="1"/>
  <c r="E36" i="2"/>
  <c r="F36" i="2" s="1"/>
  <c r="E24" i="2"/>
  <c r="E113" i="2"/>
  <c r="E2426" i="2"/>
  <c r="E2440" i="2"/>
  <c r="E118" i="2"/>
  <c r="G118" i="2" s="1"/>
  <c r="E326" i="2"/>
  <c r="F326" i="2" s="1"/>
  <c r="E339" i="2"/>
  <c r="I339" i="2" s="1"/>
  <c r="E916" i="2"/>
  <c r="E933" i="2"/>
  <c r="E948" i="2"/>
  <c r="F948" i="2" s="1"/>
  <c r="E965" i="2"/>
  <c r="F965" i="2" s="1"/>
  <c r="E1182" i="2"/>
  <c r="E2011" i="2"/>
  <c r="E2155" i="2"/>
  <c r="E265" i="2"/>
  <c r="E880" i="2"/>
  <c r="E1351" i="2"/>
  <c r="E1342" i="2"/>
  <c r="E17" i="2"/>
  <c r="E804" i="2"/>
  <c r="E90" i="2"/>
  <c r="G90" i="2" s="1"/>
  <c r="E153" i="2"/>
  <c r="G153" i="2" s="1"/>
  <c r="E284" i="2"/>
  <c r="G284" i="2" s="1"/>
  <c r="E401" i="2"/>
  <c r="E1074" i="2"/>
  <c r="F1074" i="2" s="1"/>
  <c r="E2030" i="2"/>
  <c r="F2030" i="2" s="1"/>
  <c r="E2453" i="2"/>
  <c r="E552" i="2"/>
  <c r="E44" i="2"/>
  <c r="E234" i="2"/>
  <c r="E329" i="2"/>
  <c r="F329" i="2" s="1"/>
  <c r="E812" i="2"/>
  <c r="E875" i="2"/>
  <c r="E1353" i="2"/>
  <c r="E848" i="2"/>
  <c r="E820" i="2"/>
  <c r="E123" i="2"/>
  <c r="G123" i="2" s="1"/>
  <c r="E198" i="2"/>
  <c r="G198" i="2" s="1"/>
  <c r="E311" i="2"/>
  <c r="G311" i="2" s="1"/>
  <c r="E625" i="2"/>
  <c r="E800" i="2"/>
  <c r="F800" i="2" s="1"/>
  <c r="E860" i="2"/>
  <c r="F860" i="2" s="1"/>
  <c r="E935" i="2"/>
  <c r="G935" i="2" s="1"/>
  <c r="E1415" i="2"/>
  <c r="E890" i="2"/>
  <c r="E1341" i="2"/>
  <c r="E145" i="2"/>
  <c r="F145" i="2" s="1"/>
  <c r="E1248" i="2"/>
  <c r="G1248" i="2" s="1"/>
  <c r="E301" i="2"/>
  <c r="E1911" i="2"/>
  <c r="F1911" i="2" s="1"/>
  <c r="E2217" i="2"/>
  <c r="E2428" i="2"/>
  <c r="E1312" i="2"/>
  <c r="E1357" i="2"/>
  <c r="G1357" i="2" s="1"/>
  <c r="E34" i="2"/>
  <c r="F34" i="2" s="1"/>
  <c r="E328" i="2"/>
  <c r="E1913" i="2"/>
  <c r="F1913" i="2" s="1"/>
  <c r="E2392" i="2"/>
  <c r="F2392" i="2" s="1"/>
  <c r="E35" i="2"/>
  <c r="G35" i="2" s="1"/>
  <c r="E335" i="2"/>
  <c r="E882" i="2"/>
  <c r="E903" i="2"/>
  <c r="E1566" i="2"/>
  <c r="E2085" i="2"/>
  <c r="E2100" i="2"/>
  <c r="E1094" i="2"/>
  <c r="E2424" i="2"/>
  <c r="E2449" i="2"/>
  <c r="E21" i="2"/>
  <c r="F21" i="2" s="1"/>
  <c r="E291" i="2"/>
  <c r="G291" i="2" s="1"/>
  <c r="E712" i="2"/>
  <c r="E921" i="2"/>
  <c r="F52" i="2"/>
  <c r="G23" i="2"/>
  <c r="G150" i="2"/>
  <c r="F150" i="2"/>
  <c r="F24" i="2"/>
  <c r="G24" i="2"/>
  <c r="F113" i="2"/>
  <c r="F90" i="2"/>
  <c r="F44" i="2"/>
  <c r="G44" i="2"/>
  <c r="G17" i="2"/>
  <c r="F57" i="2"/>
  <c r="F17" i="2"/>
  <c r="F69" i="2"/>
  <c r="F171" i="2"/>
  <c r="G171" i="2"/>
  <c r="H24" i="2"/>
  <c r="F23" i="2"/>
  <c r="I24" i="2"/>
  <c r="G52" i="2"/>
  <c r="E22" i="2"/>
  <c r="E47" i="2"/>
  <c r="E58" i="2"/>
  <c r="E80" i="2"/>
  <c r="E83" i="2"/>
  <c r="E104" i="2"/>
  <c r="E114" i="2"/>
  <c r="I114" i="2" s="1"/>
  <c r="E144" i="2"/>
  <c r="E147" i="2"/>
  <c r="E173" i="2"/>
  <c r="E183" i="2"/>
  <c r="E189" i="2"/>
  <c r="E202" i="2"/>
  <c r="G202" i="2" s="1"/>
  <c r="E211" i="2"/>
  <c r="E212" i="2"/>
  <c r="E243" i="2"/>
  <c r="E244" i="2"/>
  <c r="F265" i="2"/>
  <c r="G265" i="2"/>
  <c r="I266" i="2"/>
  <c r="H266" i="2"/>
  <c r="F301" i="2"/>
  <c r="I302" i="2"/>
  <c r="H302" i="2"/>
  <c r="H339" i="2"/>
  <c r="F338" i="2"/>
  <c r="E430" i="2"/>
  <c r="G430" i="2" s="1"/>
  <c r="E20" i="2"/>
  <c r="E138" i="2"/>
  <c r="G138" i="2" s="1"/>
  <c r="E27" i="2"/>
  <c r="G27" i="2" s="1"/>
  <c r="E42" i="2"/>
  <c r="G42" i="2" s="1"/>
  <c r="E45" i="2"/>
  <c r="E53" i="2"/>
  <c r="E81" i="2"/>
  <c r="E91" i="2"/>
  <c r="E101" i="2"/>
  <c r="E108" i="2"/>
  <c r="E125" i="2"/>
  <c r="E127" i="2"/>
  <c r="E126" i="2"/>
  <c r="H126" i="2" s="1"/>
  <c r="E155" i="2"/>
  <c r="H156" i="2" s="1"/>
  <c r="E184" i="2"/>
  <c r="E218" i="2"/>
  <c r="E213" i="2"/>
  <c r="G213" i="2" s="1"/>
  <c r="F234" i="2"/>
  <c r="F302" i="2"/>
  <c r="F401" i="2"/>
  <c r="E461" i="2"/>
  <c r="E439" i="2"/>
  <c r="E438" i="2"/>
  <c r="E434" i="2"/>
  <c r="E163" i="2"/>
  <c r="E164" i="2"/>
  <c r="F311" i="2"/>
  <c r="E15" i="2"/>
  <c r="E18" i="2"/>
  <c r="H18" i="2" s="1"/>
  <c r="G69" i="2"/>
  <c r="E67" i="2"/>
  <c r="E88" i="2"/>
  <c r="E98" i="2"/>
  <c r="E128" i="2"/>
  <c r="E131" i="2"/>
  <c r="E152" i="2"/>
  <c r="E169" i="2"/>
  <c r="E206" i="2"/>
  <c r="E214" i="2"/>
  <c r="E221" i="2"/>
  <c r="E256" i="2"/>
  <c r="E255" i="2"/>
  <c r="E250" i="2"/>
  <c r="E252" i="2"/>
  <c r="E245" i="2"/>
  <c r="E254" i="2"/>
  <c r="E251" i="2"/>
  <c r="E253" i="2"/>
  <c r="E246" i="2"/>
  <c r="E316" i="2"/>
  <c r="E392" i="2"/>
  <c r="E391" i="2"/>
  <c r="E390" i="2"/>
  <c r="G390" i="2" s="1"/>
  <c r="E383" i="2"/>
  <c r="G383" i="2" s="1"/>
  <c r="E389" i="2"/>
  <c r="E345" i="2"/>
  <c r="H346" i="2" s="1"/>
  <c r="E385" i="2"/>
  <c r="E370" i="2"/>
  <c r="E477" i="2"/>
  <c r="E74" i="2"/>
  <c r="E220" i="2"/>
  <c r="E25" i="2"/>
  <c r="I25" i="2" s="1"/>
  <c r="E32" i="2"/>
  <c r="E37" i="2"/>
  <c r="E56" i="2"/>
  <c r="G57" i="2"/>
  <c r="E59" i="2"/>
  <c r="E68" i="2"/>
  <c r="E71" i="2"/>
  <c r="E95" i="2"/>
  <c r="E132" i="2"/>
  <c r="E135" i="2"/>
  <c r="H136" i="2" s="1"/>
  <c r="E159" i="2"/>
  <c r="E158" i="2"/>
  <c r="E160" i="2"/>
  <c r="E165" i="2"/>
  <c r="E179" i="2"/>
  <c r="E180" i="2"/>
  <c r="E199" i="2"/>
  <c r="E237" i="2"/>
  <c r="E29" i="2"/>
  <c r="G87" i="2"/>
  <c r="G339" i="2"/>
  <c r="F339" i="2"/>
  <c r="E16" i="2"/>
  <c r="G16" i="2" s="1"/>
  <c r="E62" i="2"/>
  <c r="E105" i="2"/>
  <c r="E122" i="2"/>
  <c r="E156" i="2"/>
  <c r="G156" i="2" s="1"/>
  <c r="E191" i="2"/>
  <c r="E190" i="2"/>
  <c r="E192" i="2"/>
  <c r="E200" i="2"/>
  <c r="E222" i="2"/>
  <c r="G222" i="2" s="1"/>
  <c r="E230" i="2"/>
  <c r="E247" i="2"/>
  <c r="E305" i="2"/>
  <c r="E407" i="2"/>
  <c r="E40" i="2"/>
  <c r="E48" i="2"/>
  <c r="E65" i="2"/>
  <c r="E75" i="2"/>
  <c r="E85" i="2"/>
  <c r="E92" i="2"/>
  <c r="H92" i="2" s="1"/>
  <c r="E102" i="2"/>
  <c r="E109" i="2"/>
  <c r="G113" i="2"/>
  <c r="E111" i="2"/>
  <c r="E110" i="2"/>
  <c r="E129" i="2"/>
  <c r="H129" i="2" s="1"/>
  <c r="E139" i="2"/>
  <c r="E149" i="2"/>
  <c r="G149" i="2" s="1"/>
  <c r="E161" i="2"/>
  <c r="H161" i="2" s="1"/>
  <c r="E170" i="2"/>
  <c r="E185" i="2"/>
  <c r="E193" i="2"/>
  <c r="E215" i="2"/>
  <c r="E238" i="2"/>
  <c r="G238" i="2" s="1"/>
  <c r="E248" i="2"/>
  <c r="E403" i="2"/>
  <c r="E435" i="2"/>
  <c r="E494" i="2"/>
  <c r="E482" i="2"/>
  <c r="E30" i="2"/>
  <c r="G40" i="2"/>
  <c r="E43" i="2"/>
  <c r="E51" i="2"/>
  <c r="G51" i="2" s="1"/>
  <c r="E72" i="2"/>
  <c r="H72" i="2" s="1"/>
  <c r="E82" i="2"/>
  <c r="H83" i="2" s="1"/>
  <c r="E112" i="2"/>
  <c r="E115" i="2"/>
  <c r="E136" i="2"/>
  <c r="G136" i="2" s="1"/>
  <c r="E146" i="2"/>
  <c r="H146" i="2" s="1"/>
  <c r="G158" i="2"/>
  <c r="E166" i="2"/>
  <c r="E207" i="2"/>
  <c r="E208" i="2"/>
  <c r="E216" i="2"/>
  <c r="E258" i="2"/>
  <c r="E307" i="2"/>
  <c r="E451" i="2"/>
  <c r="F552" i="2"/>
  <c r="G552" i="2"/>
  <c r="G625" i="2"/>
  <c r="F625" i="2"/>
  <c r="G266" i="2"/>
  <c r="F266" i="2"/>
  <c r="H40" i="2"/>
  <c r="E79" i="2"/>
  <c r="E116" i="2"/>
  <c r="E119" i="2"/>
  <c r="E157" i="2"/>
  <c r="E181" i="2"/>
  <c r="E186" i="2"/>
  <c r="E209" i="2"/>
  <c r="G209" i="2" s="1"/>
  <c r="E231" i="2"/>
  <c r="E525" i="2"/>
  <c r="E84" i="2"/>
  <c r="G206" i="2"/>
  <c r="E197" i="2"/>
  <c r="E28" i="2"/>
  <c r="G28" i="2" s="1"/>
  <c r="E46" i="2"/>
  <c r="G46" i="2" s="1"/>
  <c r="E60" i="2"/>
  <c r="E89" i="2"/>
  <c r="E106" i="2"/>
  <c r="G106" i="2" s="1"/>
  <c r="H109" i="2"/>
  <c r="H114" i="2"/>
  <c r="E175" i="2"/>
  <c r="E174" i="2"/>
  <c r="H174" i="2" s="1"/>
  <c r="E176" i="2"/>
  <c r="E201" i="2"/>
  <c r="E223" i="2"/>
  <c r="E224" i="2"/>
  <c r="E232" i="2"/>
  <c r="E239" i="2"/>
  <c r="E240" i="2"/>
  <c r="E249" i="2"/>
  <c r="H250" i="2" s="1"/>
  <c r="E271" i="2"/>
  <c r="E296" i="2"/>
  <c r="E148" i="2"/>
  <c r="H149" i="2" s="1"/>
  <c r="E64" i="2"/>
  <c r="H65" i="2" s="1"/>
  <c r="E121" i="2"/>
  <c r="E205" i="2"/>
  <c r="H206" i="2" s="1"/>
  <c r="F518" i="2"/>
  <c r="E19" i="2"/>
  <c r="G19" i="2" s="1"/>
  <c r="E38" i="2"/>
  <c r="G38" i="2" s="1"/>
  <c r="E63" i="2"/>
  <c r="E76" i="2"/>
  <c r="E86" i="2"/>
  <c r="E93" i="2"/>
  <c r="G93" i="2" s="1"/>
  <c r="E94" i="2"/>
  <c r="G94" i="2" s="1"/>
  <c r="E133" i="2"/>
  <c r="E140" i="2"/>
  <c r="G163" i="2"/>
  <c r="E162" i="2"/>
  <c r="E225" i="2"/>
  <c r="G225" i="2" s="1"/>
  <c r="E241" i="2"/>
  <c r="I262" i="2"/>
  <c r="G261" i="2"/>
  <c r="F261" i="2"/>
  <c r="E293" i="2"/>
  <c r="E282" i="2"/>
  <c r="E277" i="2"/>
  <c r="E264" i="2"/>
  <c r="E259" i="2"/>
  <c r="E297" i="2"/>
  <c r="H297" i="2" s="1"/>
  <c r="E294" i="2"/>
  <c r="E289" i="2"/>
  <c r="E276" i="2"/>
  <c r="G328" i="2"/>
  <c r="F328" i="2"/>
  <c r="E425" i="2"/>
  <c r="E423" i="2"/>
  <c r="E422" i="2"/>
  <c r="E417" i="2"/>
  <c r="E393" i="2"/>
  <c r="F512" i="2"/>
  <c r="G512" i="2"/>
  <c r="G65" i="2"/>
  <c r="E50" i="2"/>
  <c r="G50" i="2" s="1"/>
  <c r="E26" i="2"/>
  <c r="E33" i="2"/>
  <c r="H33" i="2" s="1"/>
  <c r="E66" i="2"/>
  <c r="H67" i="2" s="1"/>
  <c r="E96" i="2"/>
  <c r="G101" i="2"/>
  <c r="E99" i="2"/>
  <c r="G99" i="2" s="1"/>
  <c r="E120" i="2"/>
  <c r="H121" i="2" s="1"/>
  <c r="G121" i="2"/>
  <c r="E130" i="2"/>
  <c r="H131" i="2" s="1"/>
  <c r="E167" i="2"/>
  <c r="E177" i="2"/>
  <c r="E182" i="2"/>
  <c r="E217" i="2"/>
  <c r="H218" i="2" s="1"/>
  <c r="F262" i="2"/>
  <c r="G335" i="2"/>
  <c r="F335" i="2"/>
  <c r="F585" i="2"/>
  <c r="E151" i="2"/>
  <c r="E41" i="2"/>
  <c r="G41" i="2" s="1"/>
  <c r="E49" i="2"/>
  <c r="G49" i="2" s="1"/>
  <c r="H57" i="2"/>
  <c r="E100" i="2"/>
  <c r="E103" i="2"/>
  <c r="G120" i="2"/>
  <c r="E172" i="2"/>
  <c r="I172" i="2" s="1"/>
  <c r="G252" i="2"/>
  <c r="E321" i="2"/>
  <c r="E332" i="2"/>
  <c r="E227" i="2"/>
  <c r="G227" i="2" s="1"/>
  <c r="E228" i="2"/>
  <c r="E31" i="2"/>
  <c r="G62" i="2"/>
  <c r="E73" i="2"/>
  <c r="G83" i="2"/>
  <c r="H98" i="2"/>
  <c r="E137" i="2"/>
  <c r="H138" i="2" s="1"/>
  <c r="G147" i="2"/>
  <c r="E154" i="2"/>
  <c r="E188" i="2"/>
  <c r="G197" i="2"/>
  <c r="E195" i="2"/>
  <c r="E196" i="2"/>
  <c r="E233" i="2"/>
  <c r="G233" i="2" s="1"/>
  <c r="E324" i="2"/>
  <c r="E317" i="2"/>
  <c r="G317" i="2" s="1"/>
  <c r="E322" i="2"/>
  <c r="G322" i="2" s="1"/>
  <c r="E471" i="2"/>
  <c r="E55" i="2"/>
  <c r="E61" i="2"/>
  <c r="E70" i="2"/>
  <c r="E77" i="2"/>
  <c r="H78" i="2" s="1"/>
  <c r="E78" i="2"/>
  <c r="G78" i="2" s="1"/>
  <c r="E97" i="2"/>
  <c r="G97" i="2" s="1"/>
  <c r="E107" i="2"/>
  <c r="H115" i="2"/>
  <c r="E117" i="2"/>
  <c r="E124" i="2"/>
  <c r="E134" i="2"/>
  <c r="E141" i="2"/>
  <c r="E143" i="2"/>
  <c r="E142" i="2"/>
  <c r="E168" i="2"/>
  <c r="G179" i="2"/>
  <c r="E178" i="2"/>
  <c r="G190" i="2"/>
  <c r="E263" i="2"/>
  <c r="H263" i="2" s="1"/>
  <c r="E310" i="2"/>
  <c r="G310" i="2" s="1"/>
  <c r="H262" i="2"/>
  <c r="E313" i="2"/>
  <c r="E344" i="2"/>
  <c r="E381" i="2"/>
  <c r="E388" i="2"/>
  <c r="E420" i="2"/>
  <c r="G477" i="2"/>
  <c r="E476" i="2"/>
  <c r="E505" i="2"/>
  <c r="E503" i="2"/>
  <c r="G525" i="2"/>
  <c r="E524" i="2"/>
  <c r="E537" i="2"/>
  <c r="E535" i="2"/>
  <c r="F624" i="2"/>
  <c r="I625" i="2"/>
  <c r="E279" i="2"/>
  <c r="E327" i="2"/>
  <c r="E360" i="2"/>
  <c r="E396" i="2"/>
  <c r="E400" i="2"/>
  <c r="H401" i="2" s="1"/>
  <c r="E412" i="2"/>
  <c r="E443" i="2"/>
  <c r="E456" i="2"/>
  <c r="E466" i="2"/>
  <c r="G466" i="2" s="1"/>
  <c r="E488" i="2"/>
  <c r="G546" i="2"/>
  <c r="E560" i="2"/>
  <c r="E576" i="2"/>
  <c r="F708" i="2"/>
  <c r="G708" i="2"/>
  <c r="E187" i="2"/>
  <c r="E203" i="2"/>
  <c r="E219" i="2"/>
  <c r="E235" i="2"/>
  <c r="G237" i="2"/>
  <c r="E274" i="2"/>
  <c r="G274" i="2" s="1"/>
  <c r="G301" i="2"/>
  <c r="E308" i="2"/>
  <c r="E354" i="2"/>
  <c r="E357" i="2"/>
  <c r="E367" i="2"/>
  <c r="G367" i="2" s="1"/>
  <c r="E374" i="2"/>
  <c r="E378" i="2"/>
  <c r="E415" i="2"/>
  <c r="E448" i="2"/>
  <c r="E553" i="2"/>
  <c r="E551" i="2"/>
  <c r="E568" i="2"/>
  <c r="E594" i="2"/>
  <c r="E596" i="2"/>
  <c r="E595" i="2"/>
  <c r="E681" i="2"/>
  <c r="H681" i="2" s="1"/>
  <c r="E680" i="2"/>
  <c r="E682" i="2"/>
  <c r="E796" i="2"/>
  <c r="E781" i="2"/>
  <c r="G781" i="2" s="1"/>
  <c r="E788" i="2"/>
  <c r="G788" i="2" s="1"/>
  <c r="E766" i="2"/>
  <c r="E194" i="2"/>
  <c r="H195" i="2" s="1"/>
  <c r="E210" i="2"/>
  <c r="H211" i="2" s="1"/>
  <c r="E226" i="2"/>
  <c r="E242" i="2"/>
  <c r="H242" i="2" s="1"/>
  <c r="E269" i="2"/>
  <c r="E287" i="2"/>
  <c r="E292" i="2"/>
  <c r="E300" i="2"/>
  <c r="H301" i="2" s="1"/>
  <c r="E319" i="2"/>
  <c r="G319" i="2" s="1"/>
  <c r="E330" i="2"/>
  <c r="E348" i="2"/>
  <c r="E351" i="2"/>
  <c r="E364" i="2"/>
  <c r="E382" i="2"/>
  <c r="E421" i="2"/>
  <c r="H422" i="2" s="1"/>
  <c r="E452" i="2"/>
  <c r="E457" i="2"/>
  <c r="E462" i="2"/>
  <c r="G462" i="2" s="1"/>
  <c r="E472" i="2"/>
  <c r="E478" i="2"/>
  <c r="E489" i="2"/>
  <c r="E500" i="2"/>
  <c r="E526" i="2"/>
  <c r="E532" i="2"/>
  <c r="E586" i="2"/>
  <c r="I586" i="2" s="1"/>
  <c r="E272" i="2"/>
  <c r="E336" i="2"/>
  <c r="H336" i="2" s="1"/>
  <c r="E408" i="2"/>
  <c r="E413" i="2"/>
  <c r="G413" i="2" s="1"/>
  <c r="E426" i="2"/>
  <c r="H427" i="2" s="1"/>
  <c r="E507" i="2"/>
  <c r="F546" i="2"/>
  <c r="E569" i="2"/>
  <c r="E567" i="2"/>
  <c r="E607" i="2"/>
  <c r="E617" i="2"/>
  <c r="G916" i="2"/>
  <c r="F916" i="2"/>
  <c r="G210" i="2"/>
  <c r="E295" i="2"/>
  <c r="E303" i="2"/>
  <c r="E314" i="2"/>
  <c r="E325" i="2"/>
  <c r="E342" i="2"/>
  <c r="I342" i="2" s="1"/>
  <c r="G345" i="2"/>
  <c r="E361" i="2"/>
  <c r="G361" i="2" s="1"/>
  <c r="E368" i="2"/>
  <c r="E371" i="2"/>
  <c r="E386" i="2"/>
  <c r="G386" i="2" s="1"/>
  <c r="E397" i="2"/>
  <c r="G397" i="2" s="1"/>
  <c r="E404" i="2"/>
  <c r="E444" i="2"/>
  <c r="E473" i="2"/>
  <c r="E484" i="2"/>
  <c r="E495" i="2"/>
  <c r="E497" i="2"/>
  <c r="E499" i="2"/>
  <c r="E520" i="2"/>
  <c r="E527" i="2"/>
  <c r="E529" i="2"/>
  <c r="E531" i="2"/>
  <c r="F539" i="2"/>
  <c r="G712" i="2"/>
  <c r="F712" i="2"/>
  <c r="G880" i="2"/>
  <c r="F880" i="2"/>
  <c r="G169" i="2"/>
  <c r="G185" i="2"/>
  <c r="G201" i="2"/>
  <c r="G258" i="2"/>
  <c r="E267" i="2"/>
  <c r="I267" i="2" s="1"/>
  <c r="E290" i="2"/>
  <c r="E306" i="2"/>
  <c r="G306" i="2" s="1"/>
  <c r="E333" i="2"/>
  <c r="G333" i="2" s="1"/>
  <c r="E375" i="2"/>
  <c r="E379" i="2"/>
  <c r="G379" i="2" s="1"/>
  <c r="E409" i="2"/>
  <c r="G415" i="2"/>
  <c r="H423" i="2"/>
  <c r="E447" i="2"/>
  <c r="E496" i="2"/>
  <c r="E501" i="2"/>
  <c r="E514" i="2"/>
  <c r="E533" i="2"/>
  <c r="E555" i="2"/>
  <c r="E562" i="2"/>
  <c r="E608" i="2"/>
  <c r="G608" i="2" s="1"/>
  <c r="E639" i="2"/>
  <c r="E637" i="2"/>
  <c r="E740" i="2"/>
  <c r="H185" i="2"/>
  <c r="H201" i="2"/>
  <c r="H249" i="2"/>
  <c r="G253" i="2"/>
  <c r="E257" i="2"/>
  <c r="G257" i="2" s="1"/>
  <c r="E285" i="2"/>
  <c r="G285" i="2" s="1"/>
  <c r="E298" i="2"/>
  <c r="E309" i="2"/>
  <c r="H310" i="2" s="1"/>
  <c r="E320" i="2"/>
  <c r="E352" i="2"/>
  <c r="E358" i="2"/>
  <c r="E414" i="2"/>
  <c r="H415" i="2" s="1"/>
  <c r="E418" i="2"/>
  <c r="E427" i="2"/>
  <c r="G427" i="2" s="1"/>
  <c r="E453" i="2"/>
  <c r="E468" i="2"/>
  <c r="E508" i="2"/>
  <c r="E521" i="2"/>
  <c r="E519" i="2"/>
  <c r="I519" i="2" s="1"/>
  <c r="E589" i="2"/>
  <c r="E651" i="2"/>
  <c r="E657" i="2"/>
  <c r="E641" i="2"/>
  <c r="E660" i="2"/>
  <c r="G875" i="2"/>
  <c r="F875" i="2"/>
  <c r="E229" i="2"/>
  <c r="E270" i="2"/>
  <c r="E275" i="2"/>
  <c r="E280" i="2"/>
  <c r="E288" i="2"/>
  <c r="E355" i="2"/>
  <c r="E365" i="2"/>
  <c r="E394" i="2"/>
  <c r="G401" i="2"/>
  <c r="E432" i="2"/>
  <c r="E440" i="2"/>
  <c r="E445" i="2"/>
  <c r="G445" i="2" s="1"/>
  <c r="E449" i="2"/>
  <c r="E480" i="2"/>
  <c r="E479" i="2"/>
  <c r="G479" i="2" s="1"/>
  <c r="E481" i="2"/>
  <c r="E483" i="2"/>
  <c r="E502" i="2"/>
  <c r="E509" i="2"/>
  <c r="E528" i="2"/>
  <c r="E534" i="2"/>
  <c r="G534" i="2" s="1"/>
  <c r="E541" i="2"/>
  <c r="E548" i="2"/>
  <c r="E571" i="2"/>
  <c r="G571" i="2" s="1"/>
  <c r="E578" i="2"/>
  <c r="E580" i="2"/>
  <c r="E577" i="2"/>
  <c r="G577" i="2" s="1"/>
  <c r="E579" i="2"/>
  <c r="E640" i="2"/>
  <c r="E204" i="2"/>
  <c r="E236" i="2"/>
  <c r="G262" i="2"/>
  <c r="H285" i="2"/>
  <c r="E304" i="2"/>
  <c r="G304" i="2" s="1"/>
  <c r="E331" i="2"/>
  <c r="G331" i="2" s="1"/>
  <c r="G338" i="2"/>
  <c r="E346" i="2"/>
  <c r="E349" i="2"/>
  <c r="E372" i="2"/>
  <c r="E398" i="2"/>
  <c r="E405" i="2"/>
  <c r="E436" i="2"/>
  <c r="E464" i="2"/>
  <c r="E485" i="2"/>
  <c r="E491" i="2"/>
  <c r="E600" i="2"/>
  <c r="E610" i="2"/>
  <c r="G610" i="2" s="1"/>
  <c r="E630" i="2"/>
  <c r="E662" i="2"/>
  <c r="G663" i="2"/>
  <c r="H663" i="2"/>
  <c r="E661" i="2"/>
  <c r="G661" i="2" s="1"/>
  <c r="H251" i="2"/>
  <c r="E283" i="2"/>
  <c r="H283" i="2" s="1"/>
  <c r="G293" i="2"/>
  <c r="E312" i="2"/>
  <c r="E323" i="2"/>
  <c r="E334" i="2"/>
  <c r="G334" i="2" s="1"/>
  <c r="E337" i="2"/>
  <c r="E343" i="2"/>
  <c r="E362" i="2"/>
  <c r="G370" i="2"/>
  <c r="E376" i="2"/>
  <c r="E410" i="2"/>
  <c r="G410" i="2" s="1"/>
  <c r="E441" i="2"/>
  <c r="G441" i="2" s="1"/>
  <c r="G447" i="2"/>
  <c r="E459" i="2"/>
  <c r="G459" i="2" s="1"/>
  <c r="E463" i="2"/>
  <c r="E467" i="2"/>
  <c r="E543" i="2"/>
  <c r="E545" i="2"/>
  <c r="G545" i="2" s="1"/>
  <c r="E547" i="2"/>
  <c r="E549" i="2"/>
  <c r="E557" i="2"/>
  <c r="E564" i="2"/>
  <c r="E260" i="2"/>
  <c r="G260" i="2" s="1"/>
  <c r="E273" i="2"/>
  <c r="G273" i="2" s="1"/>
  <c r="E278" i="2"/>
  <c r="G278" i="2" s="1"/>
  <c r="E315" i="2"/>
  <c r="E340" i="2"/>
  <c r="E369" i="2"/>
  <c r="G381" i="2"/>
  <c r="E380" i="2"/>
  <c r="E384" i="2"/>
  <c r="H385" i="2" s="1"/>
  <c r="E387" i="2"/>
  <c r="E402" i="2"/>
  <c r="I402" i="2" s="1"/>
  <c r="E428" i="2"/>
  <c r="E446" i="2"/>
  <c r="H447" i="2" s="1"/>
  <c r="E450" i="2"/>
  <c r="G450" i="2" s="1"/>
  <c r="E454" i="2"/>
  <c r="G454" i="2" s="1"/>
  <c r="E469" i="2"/>
  <c r="E475" i="2"/>
  <c r="E486" i="2"/>
  <c r="E510" i="2"/>
  <c r="G510" i="2" s="1"/>
  <c r="E516" i="2"/>
  <c r="E542" i="2"/>
  <c r="G542" i="2" s="1"/>
  <c r="E652" i="2"/>
  <c r="H652" i="2" s="1"/>
  <c r="E663" i="2"/>
  <c r="E664" i="2"/>
  <c r="G211" i="2"/>
  <c r="G243" i="2"/>
  <c r="H265" i="2"/>
  <c r="E268" i="2"/>
  <c r="E318" i="2"/>
  <c r="H319" i="2" s="1"/>
  <c r="G354" i="2"/>
  <c r="E359" i="2"/>
  <c r="E366" i="2"/>
  <c r="E395" i="2"/>
  <c r="E419" i="2"/>
  <c r="G438" i="2"/>
  <c r="E431" i="2"/>
  <c r="G482" i="2"/>
  <c r="E523" i="2"/>
  <c r="G523" i="2" s="1"/>
  <c r="E550" i="2"/>
  <c r="G550" i="2" s="1"/>
  <c r="E561" i="2"/>
  <c r="E563" i="2"/>
  <c r="E565" i="2"/>
  <c r="E573" i="2"/>
  <c r="H574" i="2" s="1"/>
  <c r="E602" i="2"/>
  <c r="E631" i="2"/>
  <c r="E676" i="2"/>
  <c r="G676" i="2" s="1"/>
  <c r="E675" i="2"/>
  <c r="E677" i="2"/>
  <c r="G170" i="2"/>
  <c r="G186" i="2"/>
  <c r="G218" i="2"/>
  <c r="G234" i="2"/>
  <c r="G250" i="2"/>
  <c r="H260" i="2"/>
  <c r="E299" i="2"/>
  <c r="E350" i="2"/>
  <c r="E353" i="2"/>
  <c r="G353" i="2" s="1"/>
  <c r="E356" i="2"/>
  <c r="G378" i="2"/>
  <c r="E406" i="2"/>
  <c r="G406" i="2" s="1"/>
  <c r="E411" i="2"/>
  <c r="G434" i="2"/>
  <c r="E437" i="2"/>
  <c r="H438" i="2" s="1"/>
  <c r="E470" i="2"/>
  <c r="G470" i="2" s="1"/>
  <c r="E492" i="2"/>
  <c r="E498" i="2"/>
  <c r="E504" i="2"/>
  <c r="G518" i="2"/>
  <c r="E511" i="2"/>
  <c r="E513" i="2"/>
  <c r="I513" i="2" s="1"/>
  <c r="E515" i="2"/>
  <c r="E536" i="2"/>
  <c r="E558" i="2"/>
  <c r="E593" i="2"/>
  <c r="H624" i="2"/>
  <c r="G624" i="2"/>
  <c r="E618" i="2"/>
  <c r="G618" i="2" s="1"/>
  <c r="E623" i="2"/>
  <c r="E633" i="2"/>
  <c r="E691" i="2"/>
  <c r="H273" i="2"/>
  <c r="E281" i="2"/>
  <c r="G290" i="2"/>
  <c r="E347" i="2"/>
  <c r="G359" i="2"/>
  <c r="E363" i="2"/>
  <c r="E373" i="2"/>
  <c r="E377" i="2"/>
  <c r="G391" i="2"/>
  <c r="E399" i="2"/>
  <c r="G399" i="2" s="1"/>
  <c r="E416" i="2"/>
  <c r="E424" i="2"/>
  <c r="E429" i="2"/>
  <c r="E433" i="2"/>
  <c r="G443" i="2"/>
  <c r="E442" i="2"/>
  <c r="E455" i="2"/>
  <c r="E460" i="2"/>
  <c r="E465" i="2"/>
  <c r="E487" i="2"/>
  <c r="E493" i="2"/>
  <c r="H494" i="2" s="1"/>
  <c r="G494" i="2"/>
  <c r="E517" i="2"/>
  <c r="E530" i="2"/>
  <c r="G530" i="2" s="1"/>
  <c r="E566" i="2"/>
  <c r="H567" i="2" s="1"/>
  <c r="E574" i="2"/>
  <c r="G574" i="2" s="1"/>
  <c r="E583" i="2"/>
  <c r="G585" i="2"/>
  <c r="E582" i="2"/>
  <c r="E584" i="2"/>
  <c r="H585" i="2" s="1"/>
  <c r="H625" i="2"/>
  <c r="E720" i="2"/>
  <c r="E717" i="2"/>
  <c r="E711" i="2"/>
  <c r="E687" i="2"/>
  <c r="E581" i="2"/>
  <c r="G581" i="2" s="1"/>
  <c r="E597" i="2"/>
  <c r="E672" i="2"/>
  <c r="E671" i="2"/>
  <c r="G671" i="2" s="1"/>
  <c r="E707" i="2"/>
  <c r="E722" i="2"/>
  <c r="G722" i="2" s="1"/>
  <c r="E730" i="2"/>
  <c r="G730" i="2" s="1"/>
  <c r="E762" i="2"/>
  <c r="F820" i="2"/>
  <c r="E620" i="2"/>
  <c r="E701" i="2"/>
  <c r="E724" i="2"/>
  <c r="G724" i="2" s="1"/>
  <c r="E754" i="2"/>
  <c r="F848" i="2"/>
  <c r="E540" i="2"/>
  <c r="E556" i="2"/>
  <c r="E572" i="2"/>
  <c r="E592" i="2"/>
  <c r="H593" i="2" s="1"/>
  <c r="E603" i="2"/>
  <c r="E626" i="2"/>
  <c r="H626" i="2" s="1"/>
  <c r="E632" i="2"/>
  <c r="E668" i="2"/>
  <c r="E695" i="2"/>
  <c r="E709" i="2"/>
  <c r="G709" i="2" s="1"/>
  <c r="E739" i="2"/>
  <c r="E738" i="2"/>
  <c r="E609" i="2"/>
  <c r="H609" i="2" s="1"/>
  <c r="E629" i="2"/>
  <c r="E643" i="2"/>
  <c r="E653" i="2"/>
  <c r="E756" i="2"/>
  <c r="E776" i="2"/>
  <c r="G965" i="2"/>
  <c r="H453" i="2"/>
  <c r="E458" i="2"/>
  <c r="E474" i="2"/>
  <c r="H475" i="2" s="1"/>
  <c r="H485" i="2"/>
  <c r="E490" i="2"/>
  <c r="G490" i="2" s="1"/>
  <c r="E506" i="2"/>
  <c r="G506" i="2" s="1"/>
  <c r="E522" i="2"/>
  <c r="E538" i="2"/>
  <c r="H539" i="2" s="1"/>
  <c r="E554" i="2"/>
  <c r="E570" i="2"/>
  <c r="G583" i="2"/>
  <c r="E587" i="2"/>
  <c r="G587" i="2" s="1"/>
  <c r="E606" i="2"/>
  <c r="G606" i="2" s="1"/>
  <c r="E611" i="2"/>
  <c r="E635" i="2"/>
  <c r="E644" i="2"/>
  <c r="E647" i="2"/>
  <c r="E654" i="2"/>
  <c r="E669" i="2"/>
  <c r="E696" i="2"/>
  <c r="G696" i="2" s="1"/>
  <c r="E732" i="2"/>
  <c r="E765" i="2"/>
  <c r="E787" i="2"/>
  <c r="E837" i="2"/>
  <c r="E835" i="2"/>
  <c r="E598" i="2"/>
  <c r="E612" i="2"/>
  <c r="E638" i="2"/>
  <c r="H639" i="2" s="1"/>
  <c r="G641" i="2"/>
  <c r="E683" i="2"/>
  <c r="G683" i="2" s="1"/>
  <c r="E697" i="2"/>
  <c r="E702" i="2"/>
  <c r="E741" i="2"/>
  <c r="F935" i="2"/>
  <c r="E590" i="2"/>
  <c r="G590" i="2" s="1"/>
  <c r="E674" i="2"/>
  <c r="G674" i="2" s="1"/>
  <c r="E678" i="2"/>
  <c r="E689" i="2"/>
  <c r="G691" i="2"/>
  <c r="E690" i="2"/>
  <c r="E733" i="2"/>
  <c r="G733" i="2" s="1"/>
  <c r="E778" i="2"/>
  <c r="E775" i="2"/>
  <c r="F812" i="2"/>
  <c r="G465" i="2"/>
  <c r="G481" i="2"/>
  <c r="G497" i="2"/>
  <c r="E559" i="2"/>
  <c r="G561" i="2"/>
  <c r="E575" i="2"/>
  <c r="G582" i="2"/>
  <c r="E601" i="2"/>
  <c r="G601" i="2" s="1"/>
  <c r="E604" i="2"/>
  <c r="G604" i="2" s="1"/>
  <c r="E615" i="2"/>
  <c r="E621" i="2"/>
  <c r="H631" i="2"/>
  <c r="G631" i="2"/>
  <c r="E648" i="2"/>
  <c r="E665" i="2"/>
  <c r="E734" i="2"/>
  <c r="F814" i="2"/>
  <c r="F882" i="2"/>
  <c r="G543" i="2"/>
  <c r="E588" i="2"/>
  <c r="E636" i="2"/>
  <c r="G636" i="2" s="1"/>
  <c r="E692" i="2"/>
  <c r="E727" i="2"/>
  <c r="E743" i="2"/>
  <c r="E764" i="2"/>
  <c r="H765" i="2" s="1"/>
  <c r="F804" i="2"/>
  <c r="G903" i="2"/>
  <c r="F903" i="2"/>
  <c r="E616" i="2"/>
  <c r="E642" i="2"/>
  <c r="E645" i="2"/>
  <c r="G645" i="2" s="1"/>
  <c r="E655" i="2"/>
  <c r="G655" i="2" s="1"/>
  <c r="E658" i="2"/>
  <c r="G658" i="2" s="1"/>
  <c r="G660" i="2"/>
  <c r="E670" i="2"/>
  <c r="H671" i="2" s="1"/>
  <c r="E698" i="2"/>
  <c r="E728" i="2"/>
  <c r="E759" i="2"/>
  <c r="E769" i="2"/>
  <c r="G769" i="2" s="1"/>
  <c r="E841" i="2"/>
  <c r="E842" i="2"/>
  <c r="E840" i="2"/>
  <c r="E839" i="2"/>
  <c r="G868" i="2"/>
  <c r="F868" i="2"/>
  <c r="E591" i="2"/>
  <c r="H592" i="2" s="1"/>
  <c r="E613" i="2"/>
  <c r="H613" i="2" s="1"/>
  <c r="G633" i="2"/>
  <c r="G639" i="2"/>
  <c r="E659" i="2"/>
  <c r="E679" i="2"/>
  <c r="E744" i="2"/>
  <c r="E760" i="2"/>
  <c r="E791" i="2"/>
  <c r="E792" i="2"/>
  <c r="E828" i="2"/>
  <c r="E599" i="2"/>
  <c r="G599" i="2" s="1"/>
  <c r="E619" i="2"/>
  <c r="E627" i="2"/>
  <c r="E656" i="2"/>
  <c r="E666" i="2"/>
  <c r="G666" i="2" s="1"/>
  <c r="E699" i="2"/>
  <c r="G699" i="2" s="1"/>
  <c r="E713" i="2"/>
  <c r="E714" i="2"/>
  <c r="G921" i="2"/>
  <c r="F921" i="2"/>
  <c r="G491" i="2"/>
  <c r="G507" i="2"/>
  <c r="G539" i="2"/>
  <c r="G555" i="2"/>
  <c r="E622" i="2"/>
  <c r="H623" i="2" s="1"/>
  <c r="E628" i="2"/>
  <c r="E646" i="2"/>
  <c r="G647" i="2"/>
  <c r="E649" i="2"/>
  <c r="E667" i="2"/>
  <c r="E686" i="2"/>
  <c r="E700" i="2"/>
  <c r="E706" i="2"/>
  <c r="E729" i="2"/>
  <c r="G738" i="2"/>
  <c r="E761" i="2"/>
  <c r="E771" i="2"/>
  <c r="E770" i="2"/>
  <c r="G770" i="2" s="1"/>
  <c r="E831" i="2"/>
  <c r="E830" i="2"/>
  <c r="F974" i="2"/>
  <c r="E605" i="2"/>
  <c r="E684" i="2"/>
  <c r="E685" i="2"/>
  <c r="E693" i="2"/>
  <c r="E737" i="2"/>
  <c r="G737" i="2" s="1"/>
  <c r="E772" i="2"/>
  <c r="E807" i="2"/>
  <c r="E752" i="2"/>
  <c r="E805" i="2"/>
  <c r="E832" i="2"/>
  <c r="G1194" i="2"/>
  <c r="F1194" i="2"/>
  <c r="E746" i="2"/>
  <c r="E749" i="2"/>
  <c r="E782" i="2"/>
  <c r="E785" i="2"/>
  <c r="E789" i="2"/>
  <c r="E809" i="2"/>
  <c r="E810" i="2"/>
  <c r="E815" i="2"/>
  <c r="E821" i="2"/>
  <c r="I821" i="2" s="1"/>
  <c r="E825" i="2"/>
  <c r="E826" i="2"/>
  <c r="E843" i="2"/>
  <c r="G843" i="2" s="1"/>
  <c r="E907" i="2"/>
  <c r="E995" i="2"/>
  <c r="G995" i="2" s="1"/>
  <c r="E703" i="2"/>
  <c r="E723" i="2"/>
  <c r="H724" i="2" s="1"/>
  <c r="E726" i="2"/>
  <c r="E755" i="2"/>
  <c r="E758" i="2"/>
  <c r="G765" i="2"/>
  <c r="E816" i="2"/>
  <c r="E892" i="2"/>
  <c r="G892" i="2" s="1"/>
  <c r="E923" i="2"/>
  <c r="E827" i="2"/>
  <c r="G827" i="2" s="1"/>
  <c r="E838" i="2"/>
  <c r="E844" i="2"/>
  <c r="E867" i="2"/>
  <c r="E869" i="2"/>
  <c r="I869" i="2" s="1"/>
  <c r="E864" i="2"/>
  <c r="E866" i="2"/>
  <c r="F908" i="2"/>
  <c r="E917" i="2"/>
  <c r="G933" i="2"/>
  <c r="F933" i="2"/>
  <c r="E1005" i="2"/>
  <c r="E1003" i="2"/>
  <c r="F1030" i="2"/>
  <c r="E688" i="2"/>
  <c r="G688" i="2" s="1"/>
  <c r="E735" i="2"/>
  <c r="E767" i="2"/>
  <c r="H767" i="2" s="1"/>
  <c r="E773" i="2"/>
  <c r="G773" i="2" s="1"/>
  <c r="E779" i="2"/>
  <c r="G779" i="2" s="1"/>
  <c r="E801" i="2"/>
  <c r="E811" i="2"/>
  <c r="E870" i="2"/>
  <c r="G870" i="2" s="1"/>
  <c r="E893" i="2"/>
  <c r="E900" i="2"/>
  <c r="G908" i="2"/>
  <c r="E932" i="2"/>
  <c r="E977" i="2"/>
  <c r="E1006" i="2"/>
  <c r="E715" i="2"/>
  <c r="G715" i="2" s="1"/>
  <c r="E747" i="2"/>
  <c r="G747" i="2" s="1"/>
  <c r="E797" i="2"/>
  <c r="E806" i="2"/>
  <c r="E822" i="2"/>
  <c r="G822" i="2" s="1"/>
  <c r="E885" i="2"/>
  <c r="E894" i="2"/>
  <c r="G894" i="2" s="1"/>
  <c r="E934" i="2"/>
  <c r="I934" i="2" s="1"/>
  <c r="E960" i="2"/>
  <c r="E1020" i="2"/>
  <c r="E1018" i="2"/>
  <c r="E1014" i="2"/>
  <c r="E704" i="2"/>
  <c r="E718" i="2"/>
  <c r="E750" i="2"/>
  <c r="G754" i="2"/>
  <c r="H786" i="2"/>
  <c r="E790" i="2"/>
  <c r="E850" i="2"/>
  <c r="E856" i="2"/>
  <c r="E895" i="2"/>
  <c r="E926" i="2"/>
  <c r="E942" i="2"/>
  <c r="E944" i="2"/>
  <c r="E943" i="2"/>
  <c r="E1008" i="2"/>
  <c r="E650" i="2"/>
  <c r="G650" i="2" s="1"/>
  <c r="G664" i="2"/>
  <c r="E673" i="2"/>
  <c r="E721" i="2"/>
  <c r="G721" i="2" s="1"/>
  <c r="E753" i="2"/>
  <c r="E783" i="2"/>
  <c r="G783" i="2" s="1"/>
  <c r="E798" i="2"/>
  <c r="E823" i="2"/>
  <c r="E863" i="2"/>
  <c r="E979" i="2"/>
  <c r="E736" i="2"/>
  <c r="H737" i="2" s="1"/>
  <c r="G756" i="2"/>
  <c r="E768" i="2"/>
  <c r="G768" i="2" s="1"/>
  <c r="E780" i="2"/>
  <c r="G780" i="2" s="1"/>
  <c r="E793" i="2"/>
  <c r="G793" i="2" s="1"/>
  <c r="E794" i="2"/>
  <c r="E851" i="2"/>
  <c r="E857" i="2"/>
  <c r="H858" i="2" s="1"/>
  <c r="E694" i="2"/>
  <c r="E786" i="2"/>
  <c r="G786" i="2" s="1"/>
  <c r="E858" i="2"/>
  <c r="E872" i="2"/>
  <c r="E902" i="2"/>
  <c r="E904" i="2"/>
  <c r="E906" i="2"/>
  <c r="G906" i="2" s="1"/>
  <c r="E911" i="2"/>
  <c r="E945" i="2"/>
  <c r="E946" i="2"/>
  <c r="E980" i="2"/>
  <c r="H667" i="2"/>
  <c r="E710" i="2"/>
  <c r="G717" i="2"/>
  <c r="E742" i="2"/>
  <c r="G742" i="2" s="1"/>
  <c r="G749" i="2"/>
  <c r="E774" i="2"/>
  <c r="G774" i="2" s="1"/>
  <c r="E777" i="2"/>
  <c r="E784" i="2"/>
  <c r="G804" i="2"/>
  <c r="E802" i="2"/>
  <c r="G802" i="2" s="1"/>
  <c r="E834" i="2"/>
  <c r="E833" i="2"/>
  <c r="G833" i="2" s="1"/>
  <c r="E912" i="2"/>
  <c r="E928" i="2"/>
  <c r="G928" i="2" s="1"/>
  <c r="E937" i="2"/>
  <c r="E971" i="2"/>
  <c r="E970" i="2"/>
  <c r="E990" i="2"/>
  <c r="G990" i="2" s="1"/>
  <c r="E1000" i="2"/>
  <c r="G1000" i="2" s="1"/>
  <c r="E999" i="2"/>
  <c r="G694" i="2"/>
  <c r="E716" i="2"/>
  <c r="H733" i="2"/>
  <c r="E745" i="2"/>
  <c r="H746" i="2" s="1"/>
  <c r="E748" i="2"/>
  <c r="G748" i="2" s="1"/>
  <c r="G762" i="2"/>
  <c r="E803" i="2"/>
  <c r="H831" i="2"/>
  <c r="G831" i="2"/>
  <c r="E829" i="2"/>
  <c r="G829" i="2" s="1"/>
  <c r="E873" i="2"/>
  <c r="E879" i="2"/>
  <c r="G879" i="2" s="1"/>
  <c r="E886" i="2"/>
  <c r="E881" i="2"/>
  <c r="H882" i="2" s="1"/>
  <c r="E876" i="2"/>
  <c r="I876" i="2" s="1"/>
  <c r="E878" i="2"/>
  <c r="E888" i="2"/>
  <c r="E954" i="2"/>
  <c r="E981" i="2"/>
  <c r="G706" i="2"/>
  <c r="E719" i="2"/>
  <c r="E725" i="2"/>
  <c r="H726" i="2" s="1"/>
  <c r="E751" i="2"/>
  <c r="G751" i="2" s="1"/>
  <c r="E757" i="2"/>
  <c r="H758" i="2" s="1"/>
  <c r="E795" i="2"/>
  <c r="E799" i="2"/>
  <c r="E808" i="2"/>
  <c r="G820" i="2"/>
  <c r="E818" i="2"/>
  <c r="G818" i="2" s="1"/>
  <c r="E817" i="2"/>
  <c r="E824" i="2"/>
  <c r="E889" i="2"/>
  <c r="E905" i="2"/>
  <c r="E929" i="2"/>
  <c r="E938" i="2"/>
  <c r="G938" i="2" s="1"/>
  <c r="E982" i="2"/>
  <c r="F1025" i="2"/>
  <c r="F1094" i="2"/>
  <c r="G689" i="2"/>
  <c r="E705" i="2"/>
  <c r="G716" i="2"/>
  <c r="E731" i="2"/>
  <c r="E763" i="2"/>
  <c r="E813" i="2"/>
  <c r="G813" i="2" s="1"/>
  <c r="E819" i="2"/>
  <c r="H820" i="2" s="1"/>
  <c r="E836" i="2"/>
  <c r="H837" i="2" s="1"/>
  <c r="E852" i="2"/>
  <c r="E874" i="2"/>
  <c r="G874" i="2" s="1"/>
  <c r="E898" i="2"/>
  <c r="E930" i="2"/>
  <c r="G930" i="2" s="1"/>
  <c r="E939" i="2"/>
  <c r="E973" i="2"/>
  <c r="G974" i="2"/>
  <c r="E1002" i="2"/>
  <c r="G1002" i="2" s="1"/>
  <c r="E913" i="2"/>
  <c r="E922" i="2"/>
  <c r="I922" i="2" s="1"/>
  <c r="G1092" i="2"/>
  <c r="F1092" i="2"/>
  <c r="F1182" i="2"/>
  <c r="E861" i="2"/>
  <c r="E883" i="2"/>
  <c r="E940" i="2"/>
  <c r="E976" i="2"/>
  <c r="E992" i="2"/>
  <c r="E1023" i="2"/>
  <c r="E1027" i="2"/>
  <c r="E1028" i="2"/>
  <c r="E1076" i="2"/>
  <c r="G1094" i="2"/>
  <c r="E952" i="2"/>
  <c r="E989" i="2"/>
  <c r="E1034" i="2"/>
  <c r="E1033" i="2"/>
  <c r="E1101" i="2"/>
  <c r="G1156" i="2"/>
  <c r="F1156" i="2"/>
  <c r="F1248" i="2"/>
  <c r="E896" i="2"/>
  <c r="E901" i="2"/>
  <c r="E914" i="2"/>
  <c r="E919" i="2"/>
  <c r="E924" i="2"/>
  <c r="E955" i="2"/>
  <c r="G959" i="2"/>
  <c r="E967" i="2"/>
  <c r="E1007" i="2"/>
  <c r="G1007" i="2" s="1"/>
  <c r="G1020" i="2"/>
  <c r="E1035" i="2"/>
  <c r="E1043" i="2"/>
  <c r="E1059" i="2"/>
  <c r="E1077" i="2"/>
  <c r="E1086" i="2"/>
  <c r="E1102" i="2"/>
  <c r="E1120" i="2"/>
  <c r="G1120" i="2" s="1"/>
  <c r="E1117" i="2"/>
  <c r="G1117" i="2" s="1"/>
  <c r="E1089" i="2"/>
  <c r="G796" i="2"/>
  <c r="G812" i="2"/>
  <c r="H821" i="2"/>
  <c r="E854" i="2"/>
  <c r="E859" i="2"/>
  <c r="E871" i="2"/>
  <c r="E891" i="2"/>
  <c r="E909" i="2"/>
  <c r="H909" i="2" s="1"/>
  <c r="E949" i="2"/>
  <c r="E958" i="2"/>
  <c r="E961" i="2"/>
  <c r="E964" i="2"/>
  <c r="E986" i="2"/>
  <c r="G986" i="2" s="1"/>
  <c r="E1015" i="2"/>
  <c r="E1019" i="2"/>
  <c r="E1024" i="2"/>
  <c r="E1029" i="2"/>
  <c r="E1121" i="2"/>
  <c r="E847" i="2"/>
  <c r="H848" i="2" s="1"/>
  <c r="E899" i="2"/>
  <c r="E927" i="2"/>
  <c r="E941" i="2"/>
  <c r="G942" i="2"/>
  <c r="E983" i="2"/>
  <c r="E1036" i="2"/>
  <c r="E1044" i="2"/>
  <c r="E1041" i="2"/>
  <c r="E1087" i="2"/>
  <c r="E1103" i="2"/>
  <c r="E1111" i="2"/>
  <c r="G1111" i="2" s="1"/>
  <c r="E1122" i="2"/>
  <c r="G1122" i="2" s="1"/>
  <c r="E1134" i="2"/>
  <c r="F1069" i="2"/>
  <c r="E1145" i="2"/>
  <c r="E1143" i="2"/>
  <c r="G1143" i="2" s="1"/>
  <c r="E1146" i="2"/>
  <c r="E1140" i="2"/>
  <c r="E1144" i="2"/>
  <c r="H1145" i="2" s="1"/>
  <c r="G1187" i="2"/>
  <c r="F1187" i="2"/>
  <c r="G785" i="2"/>
  <c r="G817" i="2"/>
  <c r="E845" i="2"/>
  <c r="E947" i="2"/>
  <c r="G947" i="2" s="1"/>
  <c r="G954" i="2"/>
  <c r="E968" i="2"/>
  <c r="E1012" i="2"/>
  <c r="G1025" i="2"/>
  <c r="G1030" i="2"/>
  <c r="E1054" i="2"/>
  <c r="G1054" i="2" s="1"/>
  <c r="E1062" i="2"/>
  <c r="E1070" i="2"/>
  <c r="G1070" i="2" s="1"/>
  <c r="E1096" i="2"/>
  <c r="H785" i="2"/>
  <c r="E862" i="2"/>
  <c r="H862" i="2" s="1"/>
  <c r="E884" i="2"/>
  <c r="G884" i="2" s="1"/>
  <c r="E925" i="2"/>
  <c r="E950" i="2"/>
  <c r="E953" i="2"/>
  <c r="E1004" i="2"/>
  <c r="G1004" i="2" s="1"/>
  <c r="G1005" i="2"/>
  <c r="G1008" i="2"/>
  <c r="G1017" i="2"/>
  <c r="E1038" i="2"/>
  <c r="G1038" i="2" s="1"/>
  <c r="E1045" i="2"/>
  <c r="G1045" i="2" s="1"/>
  <c r="E1046" i="2"/>
  <c r="E1079" i="2"/>
  <c r="G1079" i="2" s="1"/>
  <c r="E1080" i="2"/>
  <c r="E897" i="2"/>
  <c r="E915" i="2"/>
  <c r="G915" i="2" s="1"/>
  <c r="E920" i="2"/>
  <c r="H920" i="2" s="1"/>
  <c r="E956" i="2"/>
  <c r="E959" i="2"/>
  <c r="E962" i="2"/>
  <c r="G968" i="2"/>
  <c r="E984" i="2"/>
  <c r="G984" i="2" s="1"/>
  <c r="E987" i="2"/>
  <c r="E996" i="2"/>
  <c r="E1016" i="2"/>
  <c r="G1016" i="2" s="1"/>
  <c r="E1031" i="2"/>
  <c r="H1031" i="2" s="1"/>
  <c r="E1047" i="2"/>
  <c r="E1071" i="2"/>
  <c r="E1105" i="2"/>
  <c r="G1203" i="2"/>
  <c r="E855" i="2"/>
  <c r="G855" i="2" s="1"/>
  <c r="G902" i="2"/>
  <c r="E936" i="2"/>
  <c r="G956" i="2"/>
  <c r="E994" i="2"/>
  <c r="H995" i="2" s="1"/>
  <c r="E997" i="2"/>
  <c r="E1001" i="2"/>
  <c r="E1009" i="2"/>
  <c r="H1009" i="2" s="1"/>
  <c r="E1021" i="2"/>
  <c r="G1021" i="2" s="1"/>
  <c r="E1048" i="2"/>
  <c r="E1055" i="2"/>
  <c r="G1055" i="2" s="1"/>
  <c r="E1106" i="2"/>
  <c r="E1124" i="2"/>
  <c r="F1203" i="2"/>
  <c r="G867" i="2"/>
  <c r="E877" i="2"/>
  <c r="H879" i="2"/>
  <c r="E887" i="2"/>
  <c r="H888" i="2" s="1"/>
  <c r="H902" i="2"/>
  <c r="E910" i="2"/>
  <c r="G910" i="2" s="1"/>
  <c r="G943" i="2"/>
  <c r="E975" i="2"/>
  <c r="E978" i="2"/>
  <c r="G978" i="2" s="1"/>
  <c r="G1006" i="2"/>
  <c r="E1039" i="2"/>
  <c r="G1039" i="2" s="1"/>
  <c r="E1056" i="2"/>
  <c r="G1056" i="2" s="1"/>
  <c r="E1064" i="2"/>
  <c r="H1065" i="2" s="1"/>
  <c r="E1126" i="2"/>
  <c r="E1150" i="2"/>
  <c r="G1150" i="2" s="1"/>
  <c r="E1289" i="2"/>
  <c r="G1289" i="2" s="1"/>
  <c r="E1262" i="2"/>
  <c r="E1282" i="2"/>
  <c r="E865" i="2"/>
  <c r="E969" i="2"/>
  <c r="G969" i="2" s="1"/>
  <c r="E972" i="2"/>
  <c r="G972" i="2" s="1"/>
  <c r="E991" i="2"/>
  <c r="G991" i="2" s="1"/>
  <c r="E1013" i="2"/>
  <c r="E1017" i="2"/>
  <c r="G1018" i="2"/>
  <c r="E1011" i="2"/>
  <c r="G1011" i="2" s="1"/>
  <c r="E1032" i="2"/>
  <c r="E1040" i="2"/>
  <c r="E1050" i="2"/>
  <c r="E1049" i="2"/>
  <c r="E1139" i="2"/>
  <c r="G848" i="2"/>
  <c r="E853" i="2"/>
  <c r="G882" i="2"/>
  <c r="E918" i="2"/>
  <c r="E931" i="2"/>
  <c r="H932" i="2" s="1"/>
  <c r="E957" i="2"/>
  <c r="H958" i="2" s="1"/>
  <c r="E1022" i="2"/>
  <c r="E1057" i="2"/>
  <c r="E1073" i="2"/>
  <c r="E1179" i="2"/>
  <c r="E1162" i="2"/>
  <c r="E1155" i="2"/>
  <c r="E1172" i="2"/>
  <c r="E1178" i="2"/>
  <c r="E1171" i="2"/>
  <c r="E846" i="2"/>
  <c r="G900" i="2"/>
  <c r="H904" i="2"/>
  <c r="G927" i="2"/>
  <c r="E951" i="2"/>
  <c r="E963" i="2"/>
  <c r="E966" i="2"/>
  <c r="E985" i="2"/>
  <c r="H985" i="2" s="1"/>
  <c r="E988" i="2"/>
  <c r="E998" i="2"/>
  <c r="H999" i="2" s="1"/>
  <c r="E1010" i="2"/>
  <c r="H1011" i="2" s="1"/>
  <c r="E1108" i="2"/>
  <c r="E1180" i="2"/>
  <c r="G1180" i="2" s="1"/>
  <c r="E1191" i="2"/>
  <c r="G1195" i="2"/>
  <c r="E1193" i="2"/>
  <c r="E1192" i="2"/>
  <c r="E1188" i="2"/>
  <c r="E1051" i="2"/>
  <c r="E1068" i="2"/>
  <c r="G1069" i="2"/>
  <c r="E1091" i="2"/>
  <c r="E1100" i="2"/>
  <c r="H1101" i="2" s="1"/>
  <c r="E1164" i="2"/>
  <c r="E1186" i="2"/>
  <c r="E1212" i="2"/>
  <c r="E1230" i="2"/>
  <c r="G1074" i="2"/>
  <c r="G1103" i="2"/>
  <c r="E1195" i="2"/>
  <c r="H1195" i="2" s="1"/>
  <c r="E1083" i="2"/>
  <c r="G1083" i="2" s="1"/>
  <c r="E1113" i="2"/>
  <c r="E1129" i="2"/>
  <c r="H1129" i="2" s="1"/>
  <c r="E1196" i="2"/>
  <c r="G1196" i="2" s="1"/>
  <c r="E1214" i="2"/>
  <c r="G1214" i="2" s="1"/>
  <c r="E1250" i="2"/>
  <c r="E1246" i="2"/>
  <c r="F1312" i="2"/>
  <c r="E1328" i="2"/>
  <c r="G1328" i="2" s="1"/>
  <c r="E1331" i="2"/>
  <c r="E1334" i="2"/>
  <c r="G1334" i="2" s="1"/>
  <c r="E1052" i="2"/>
  <c r="H1052" i="2" s="1"/>
  <c r="E1063" i="2"/>
  <c r="H1063" i="2" s="1"/>
  <c r="E1065" i="2"/>
  <c r="E1095" i="2"/>
  <c r="E1097" i="2"/>
  <c r="E1107" i="2"/>
  <c r="E1110" i="2"/>
  <c r="H1111" i="2" s="1"/>
  <c r="E1114" i="2"/>
  <c r="E1130" i="2"/>
  <c r="E1135" i="2"/>
  <c r="E1151" i="2"/>
  <c r="E1166" i="2"/>
  <c r="G1166" i="2" s="1"/>
  <c r="G1182" i="2"/>
  <c r="E1232" i="2"/>
  <c r="G1232" i="2" s="1"/>
  <c r="E1240" i="2"/>
  <c r="E1251" i="2"/>
  <c r="E1271" i="2"/>
  <c r="E1267" i="2"/>
  <c r="E1268" i="2"/>
  <c r="G1292" i="2"/>
  <c r="F1292" i="2"/>
  <c r="F1357" i="2"/>
  <c r="G1041" i="2"/>
  <c r="E1060" i="2"/>
  <c r="E1066" i="2"/>
  <c r="E1072" i="2"/>
  <c r="G1072" i="2" s="1"/>
  <c r="E1098" i="2"/>
  <c r="E1104" i="2"/>
  <c r="G1104" i="2" s="1"/>
  <c r="E1118" i="2"/>
  <c r="G1118" i="2" s="1"/>
  <c r="E1125" i="2"/>
  <c r="H1126" i="2" s="1"/>
  <c r="E1233" i="2"/>
  <c r="E1243" i="2"/>
  <c r="E1324" i="2"/>
  <c r="F1415" i="2"/>
  <c r="E1026" i="2"/>
  <c r="H1026" i="2" s="1"/>
  <c r="E1058" i="2"/>
  <c r="E1075" i="2"/>
  <c r="E1084" i="2"/>
  <c r="G1084" i="2" s="1"/>
  <c r="E1131" i="2"/>
  <c r="G1131" i="2" s="1"/>
  <c r="E1198" i="2"/>
  <c r="G1198" i="2" s="1"/>
  <c r="E1235" i="2"/>
  <c r="G1235" i="2" s="1"/>
  <c r="E1272" i="2"/>
  <c r="E1078" i="2"/>
  <c r="E1152" i="2"/>
  <c r="G1152" i="2" s="1"/>
  <c r="E1153" i="2"/>
  <c r="H1154" i="2" s="1"/>
  <c r="E1223" i="2"/>
  <c r="G1223" i="2" s="1"/>
  <c r="E1225" i="2"/>
  <c r="E1220" i="2"/>
  <c r="E1224" i="2"/>
  <c r="E1274" i="2"/>
  <c r="E1294" i="2"/>
  <c r="G1294" i="2" s="1"/>
  <c r="E1295" i="2"/>
  <c r="E1326" i="2"/>
  <c r="E1322" i="2"/>
  <c r="E1315" i="2"/>
  <c r="E1296" i="2"/>
  <c r="G1296" i="2" s="1"/>
  <c r="E1338" i="2"/>
  <c r="E1042" i="2"/>
  <c r="G1042" i="2" s="1"/>
  <c r="E1090" i="2"/>
  <c r="E1123" i="2"/>
  <c r="E1127" i="2"/>
  <c r="G1127" i="2" s="1"/>
  <c r="E1132" i="2"/>
  <c r="G1132" i="2" s="1"/>
  <c r="E1136" i="2"/>
  <c r="G1136" i="2" s="1"/>
  <c r="E1137" i="2"/>
  <c r="E1147" i="2"/>
  <c r="G1147" i="2" s="1"/>
  <c r="E1216" i="2"/>
  <c r="G1216" i="2" s="1"/>
  <c r="E1217" i="2"/>
  <c r="E1226" i="2"/>
  <c r="G1327" i="2"/>
  <c r="F1327" i="2"/>
  <c r="F1351" i="2"/>
  <c r="G1363" i="2"/>
  <c r="F1363" i="2"/>
  <c r="F1377" i="2"/>
  <c r="E1061" i="2"/>
  <c r="G1061" i="2" s="1"/>
  <c r="E1093" i="2"/>
  <c r="H1094" i="2" s="1"/>
  <c r="E1115" i="2"/>
  <c r="E1119" i="2"/>
  <c r="H1120" i="2" s="1"/>
  <c r="E1218" i="2"/>
  <c r="G1218" i="2" s="1"/>
  <c r="E1227" i="2"/>
  <c r="G1227" i="2" s="1"/>
  <c r="E1264" i="2"/>
  <c r="G1264" i="2" s="1"/>
  <c r="E1260" i="2"/>
  <c r="E1053" i="2"/>
  <c r="G1053" i="2" s="1"/>
  <c r="E1067" i="2"/>
  <c r="E1099" i="2"/>
  <c r="E1148" i="2"/>
  <c r="E1154" i="2"/>
  <c r="G1154" i="2" s="1"/>
  <c r="E1168" i="2"/>
  <c r="E1169" i="2"/>
  <c r="E1228" i="2"/>
  <c r="E1265" i="2"/>
  <c r="G1341" i="2"/>
  <c r="F1341" i="2"/>
  <c r="I1342" i="2"/>
  <c r="H1342" i="2"/>
  <c r="E1501" i="2"/>
  <c r="G1501" i="2" s="1"/>
  <c r="E1457" i="2"/>
  <c r="E1496" i="2"/>
  <c r="E1387" i="2"/>
  <c r="E1409" i="2"/>
  <c r="E1474" i="2"/>
  <c r="E1460" i="2"/>
  <c r="E1081" i="2"/>
  <c r="H1102" i="2"/>
  <c r="E1112" i="2"/>
  <c r="E1116" i="2"/>
  <c r="G1116" i="2" s="1"/>
  <c r="E1159" i="2"/>
  <c r="E1161" i="2"/>
  <c r="E1160" i="2"/>
  <c r="E1207" i="2"/>
  <c r="E1209" i="2"/>
  <c r="E1204" i="2"/>
  <c r="I1204" i="2" s="1"/>
  <c r="E1208" i="2"/>
  <c r="E1219" i="2"/>
  <c r="E1037" i="2"/>
  <c r="G1037" i="2" s="1"/>
  <c r="E1082" i="2"/>
  <c r="G1086" i="2"/>
  <c r="E1088" i="2"/>
  <c r="E1128" i="2"/>
  <c r="E1138" i="2"/>
  <c r="G1138" i="2" s="1"/>
  <c r="E1170" i="2"/>
  <c r="G1170" i="2" s="1"/>
  <c r="G1186" i="2"/>
  <c r="E1184" i="2"/>
  <c r="E1185" i="2"/>
  <c r="E1200" i="2"/>
  <c r="G1200" i="2" s="1"/>
  <c r="E1201" i="2"/>
  <c r="E1210" i="2"/>
  <c r="E1238" i="2"/>
  <c r="E1266" i="2"/>
  <c r="G1266" i="2" s="1"/>
  <c r="E1276" i="2"/>
  <c r="G1276" i="2" s="1"/>
  <c r="E1277" i="2"/>
  <c r="E1298" i="2"/>
  <c r="F1342" i="2"/>
  <c r="I1343" i="2"/>
  <c r="H1343" i="2"/>
  <c r="G1342" i="2"/>
  <c r="E1085" i="2"/>
  <c r="H1085" i="2" s="1"/>
  <c r="E1109" i="2"/>
  <c r="E1163" i="2"/>
  <c r="E1175" i="2"/>
  <c r="G1175" i="2" s="1"/>
  <c r="E1177" i="2"/>
  <c r="E1176" i="2"/>
  <c r="E1202" i="2"/>
  <c r="E1211" i="2"/>
  <c r="G1230" i="2"/>
  <c r="E1321" i="2"/>
  <c r="G1321" i="2" s="1"/>
  <c r="E1330" i="2"/>
  <c r="E1241" i="2"/>
  <c r="G1241" i="2" s="1"/>
  <c r="E1305" i="2"/>
  <c r="G1305" i="2" s="1"/>
  <c r="E1308" i="2"/>
  <c r="E1362" i="2"/>
  <c r="E1364" i="2"/>
  <c r="E1408" i="2"/>
  <c r="G1408" i="2" s="1"/>
  <c r="E1407" i="2"/>
  <c r="G1407" i="2" s="1"/>
  <c r="E1425" i="2"/>
  <c r="E1776" i="2"/>
  <c r="G1776" i="2" s="1"/>
  <c r="E1774" i="2"/>
  <c r="E1777" i="2"/>
  <c r="E1712" i="2"/>
  <c r="E1698" i="2"/>
  <c r="E1167" i="2"/>
  <c r="G1167" i="2" s="1"/>
  <c r="E1183" i="2"/>
  <c r="E1199" i="2"/>
  <c r="G1199" i="2" s="1"/>
  <c r="E1215" i="2"/>
  <c r="E1231" i="2"/>
  <c r="E1236" i="2"/>
  <c r="E1254" i="2"/>
  <c r="E1257" i="2"/>
  <c r="E1280" i="2"/>
  <c r="E1283" i="2"/>
  <c r="E1286" i="2"/>
  <c r="H1287" i="2" s="1"/>
  <c r="E1311" i="2"/>
  <c r="H1312" i="2" s="1"/>
  <c r="E1335" i="2"/>
  <c r="G1335" i="2" s="1"/>
  <c r="E1346" i="2"/>
  <c r="E1365" i="2"/>
  <c r="G1365" i="2" s="1"/>
  <c r="E1399" i="2"/>
  <c r="E1533" i="2"/>
  <c r="G1533" i="2" s="1"/>
  <c r="E1526" i="2"/>
  <c r="E1142" i="2"/>
  <c r="E1158" i="2"/>
  <c r="E1174" i="2"/>
  <c r="E1190" i="2"/>
  <c r="E1206" i="2"/>
  <c r="E1222" i="2"/>
  <c r="E1244" i="2"/>
  <c r="E1249" i="2"/>
  <c r="E1347" i="2"/>
  <c r="E1400" i="2"/>
  <c r="E1449" i="2"/>
  <c r="G1449" i="2" s="1"/>
  <c r="E1133" i="2"/>
  <c r="G1133" i="2" s="1"/>
  <c r="E1149" i="2"/>
  <c r="G1151" i="2"/>
  <c r="E1165" i="2"/>
  <c r="E1181" i="2"/>
  <c r="E1197" i="2"/>
  <c r="E1213" i="2"/>
  <c r="G1213" i="2" s="1"/>
  <c r="E1229" i="2"/>
  <c r="G1229" i="2" s="1"/>
  <c r="E1239" i="2"/>
  <c r="G1239" i="2" s="1"/>
  <c r="E1263" i="2"/>
  <c r="E1269" i="2"/>
  <c r="E1290" i="2"/>
  <c r="E1299" i="2"/>
  <c r="E1302" i="2"/>
  <c r="E1314" i="2"/>
  <c r="E1318" i="2"/>
  <c r="E1339" i="2"/>
  <c r="G1339" i="2" s="1"/>
  <c r="H1344" i="2"/>
  <c r="E1275" i="2"/>
  <c r="G1275" i="2" s="1"/>
  <c r="E1287" i="2"/>
  <c r="G1287" i="2" s="1"/>
  <c r="F1353" i="2"/>
  <c r="E1370" i="2"/>
  <c r="E1371" i="2"/>
  <c r="E1473" i="2"/>
  <c r="G1473" i="2" s="1"/>
  <c r="G1566" i="2"/>
  <c r="E1565" i="2"/>
  <c r="H1566" i="2" s="1"/>
  <c r="E1558" i="2"/>
  <c r="G1670" i="2"/>
  <c r="F1670" i="2"/>
  <c r="G1149" i="2"/>
  <c r="E1234" i="2"/>
  <c r="G1234" i="2" s="1"/>
  <c r="E1242" i="2"/>
  <c r="H1243" i="2" s="1"/>
  <c r="E1252" i="2"/>
  <c r="G1252" i="2" s="1"/>
  <c r="E1278" i="2"/>
  <c r="E1293" i="2"/>
  <c r="E1306" i="2"/>
  <c r="H1306" i="2" s="1"/>
  <c r="E1319" i="2"/>
  <c r="E1325" i="2"/>
  <c r="F1343" i="2"/>
  <c r="E1373" i="2"/>
  <c r="E1393" i="2"/>
  <c r="E1402" i="2"/>
  <c r="E1401" i="2"/>
  <c r="E1521" i="2"/>
  <c r="E1237" i="2"/>
  <c r="E1247" i="2"/>
  <c r="E1255" i="2"/>
  <c r="E1258" i="2"/>
  <c r="E1281" i="2"/>
  <c r="E1303" i="2"/>
  <c r="G1303" i="2" s="1"/>
  <c r="E1332" i="2"/>
  <c r="E1336" i="2"/>
  <c r="G1336" i="2" s="1"/>
  <c r="E1340" i="2"/>
  <c r="G1343" i="2"/>
  <c r="E1348" i="2"/>
  <c r="G1348" i="2" s="1"/>
  <c r="E1284" i="2"/>
  <c r="E1309" i="2"/>
  <c r="G1312" i="2"/>
  <c r="E1329" i="2"/>
  <c r="E1349" i="2"/>
  <c r="E1354" i="2"/>
  <c r="I1354" i="2" s="1"/>
  <c r="E1403" i="2"/>
  <c r="E1431" i="2"/>
  <c r="G1431" i="2" s="1"/>
  <c r="E1427" i="2"/>
  <c r="E1429" i="2"/>
  <c r="E1441" i="2"/>
  <c r="E1454" i="2"/>
  <c r="G1454" i="2" s="1"/>
  <c r="E1261" i="2"/>
  <c r="E1333" i="2"/>
  <c r="E1395" i="2"/>
  <c r="E1432" i="2"/>
  <c r="E1461" i="2"/>
  <c r="E1553" i="2"/>
  <c r="E1245" i="2"/>
  <c r="E1273" i="2"/>
  <c r="H1273" i="2" s="1"/>
  <c r="E1291" i="2"/>
  <c r="G1291" i="2" s="1"/>
  <c r="E1297" i="2"/>
  <c r="E1300" i="2"/>
  <c r="G1326" i="2"/>
  <c r="E1367" i="2"/>
  <c r="G1367" i="2" s="1"/>
  <c r="E1366" i="2"/>
  <c r="E1396" i="2"/>
  <c r="E1443" i="2"/>
  <c r="G1443" i="2" s="1"/>
  <c r="G1168" i="2"/>
  <c r="G1184" i="2"/>
  <c r="E1253" i="2"/>
  <c r="E1270" i="2"/>
  <c r="G1270" i="2" s="1"/>
  <c r="E1285" i="2"/>
  <c r="E1288" i="2"/>
  <c r="E1316" i="2"/>
  <c r="G1316" i="2" s="1"/>
  <c r="E1323" i="2"/>
  <c r="E1337" i="2"/>
  <c r="G1337" i="2" s="1"/>
  <c r="E1355" i="2"/>
  <c r="E1358" i="2"/>
  <c r="E1360" i="2"/>
  <c r="E1359" i="2"/>
  <c r="E1361" i="2"/>
  <c r="E1368" i="2"/>
  <c r="G1599" i="2"/>
  <c r="F1599" i="2"/>
  <c r="E1141" i="2"/>
  <c r="E1157" i="2"/>
  <c r="G1159" i="2"/>
  <c r="E1173" i="2"/>
  <c r="E1189" i="2"/>
  <c r="E1205" i="2"/>
  <c r="E1221" i="2"/>
  <c r="G1240" i="2"/>
  <c r="E1279" i="2"/>
  <c r="E1307" i="2"/>
  <c r="E1310" i="2"/>
  <c r="E1313" i="2"/>
  <c r="H1313" i="2" s="1"/>
  <c r="E1320" i="2"/>
  <c r="E1344" i="2"/>
  <c r="I1344" i="2" s="1"/>
  <c r="G1351" i="2"/>
  <c r="E1350" i="2"/>
  <c r="G1350" i="2" s="1"/>
  <c r="E1405" i="2"/>
  <c r="E1423" i="2"/>
  <c r="E1256" i="2"/>
  <c r="E1259" i="2"/>
  <c r="G1259" i="2" s="1"/>
  <c r="G1288" i="2"/>
  <c r="E1301" i="2"/>
  <c r="E1304" i="2"/>
  <c r="E1317" i="2"/>
  <c r="H1318" i="2" s="1"/>
  <c r="E1345" i="2"/>
  <c r="E1356" i="2"/>
  <c r="E1369" i="2"/>
  <c r="E1376" i="2"/>
  <c r="H1377" i="2" s="1"/>
  <c r="E1375" i="2"/>
  <c r="G1375" i="2" s="1"/>
  <c r="G1377" i="2"/>
  <c r="E1383" i="2"/>
  <c r="G1383" i="2" s="1"/>
  <c r="E1397" i="2"/>
  <c r="G1397" i="2" s="1"/>
  <c r="E1406" i="2"/>
  <c r="H1407" i="2" s="1"/>
  <c r="E1435" i="2"/>
  <c r="E1470" i="2"/>
  <c r="G1470" i="2" s="1"/>
  <c r="E1495" i="2"/>
  <c r="E1668" i="2"/>
  <c r="G1668" i="2" s="1"/>
  <c r="E1420" i="2"/>
  <c r="E1447" i="2"/>
  <c r="E1479" i="2"/>
  <c r="E1502" i="2"/>
  <c r="G1502" i="2" s="1"/>
  <c r="E1527" i="2"/>
  <c r="E1534" i="2"/>
  <c r="G1534" i="2" s="1"/>
  <c r="E1559" i="2"/>
  <c r="F1566" i="2"/>
  <c r="E1616" i="2"/>
  <c r="E1624" i="2"/>
  <c r="E1658" i="2"/>
  <c r="G1808" i="2"/>
  <c r="F1808" i="2"/>
  <c r="G2072" i="2"/>
  <c r="F2072" i="2"/>
  <c r="E1379" i="2"/>
  <c r="E1411" i="2"/>
  <c r="E1426" i="2"/>
  <c r="E1448" i="2"/>
  <c r="E1451" i="2"/>
  <c r="E1480" i="2"/>
  <c r="E1528" i="2"/>
  <c r="E1560" i="2"/>
  <c r="E1352" i="2"/>
  <c r="H1352" i="2" s="1"/>
  <c r="E1382" i="2"/>
  <c r="E1388" i="2"/>
  <c r="E1391" i="2"/>
  <c r="E1414" i="2"/>
  <c r="E1436" i="2"/>
  <c r="H1436" i="2" s="1"/>
  <c r="E1439" i="2"/>
  <c r="E1445" i="2"/>
  <c r="E1463" i="2"/>
  <c r="E1471" i="2"/>
  <c r="E1485" i="2"/>
  <c r="G1485" i="2" s="1"/>
  <c r="E1607" i="2"/>
  <c r="E1608" i="2"/>
  <c r="E1625" i="2"/>
  <c r="E1623" i="2"/>
  <c r="E1620" i="2"/>
  <c r="E1642" i="2"/>
  <c r="E1639" i="2"/>
  <c r="E1638" i="2"/>
  <c r="G1638" i="2" s="1"/>
  <c r="E1442" i="2"/>
  <c r="H1443" i="2" s="1"/>
  <c r="E1464" i="2"/>
  <c r="E1486" i="2"/>
  <c r="E1497" i="2"/>
  <c r="E1503" i="2"/>
  <c r="E1516" i="2"/>
  <c r="E1535" i="2"/>
  <c r="H1536" i="2" s="1"/>
  <c r="E1548" i="2"/>
  <c r="G1548" i="2" s="1"/>
  <c r="E1567" i="2"/>
  <c r="H1567" i="2" s="1"/>
  <c r="E1586" i="2"/>
  <c r="G1586" i="2" s="1"/>
  <c r="E1592" i="2"/>
  <c r="E1643" i="2"/>
  <c r="E1662" i="2"/>
  <c r="G1662" i="2" s="1"/>
  <c r="E1661" i="2"/>
  <c r="H1662" i="2" s="1"/>
  <c r="E1660" i="2"/>
  <c r="E1374" i="2"/>
  <c r="E1385" i="2"/>
  <c r="E1394" i="2"/>
  <c r="G1394" i="2" s="1"/>
  <c r="H1401" i="2"/>
  <c r="E1417" i="2"/>
  <c r="H1417" i="2" s="1"/>
  <c r="E1452" i="2"/>
  <c r="E1455" i="2"/>
  <c r="E1498" i="2"/>
  <c r="E1529" i="2"/>
  <c r="G1529" i="2" s="1"/>
  <c r="E1561" i="2"/>
  <c r="E1594" i="2"/>
  <c r="H1595" i="2" s="1"/>
  <c r="F1890" i="2"/>
  <c r="E1430" i="2"/>
  <c r="E1458" i="2"/>
  <c r="G1458" i="2" s="1"/>
  <c r="G1461" i="2"/>
  <c r="E1468" i="2"/>
  <c r="E1481" i="2"/>
  <c r="G1481" i="2" s="1"/>
  <c r="E1504" i="2"/>
  <c r="E1509" i="2"/>
  <c r="E1530" i="2"/>
  <c r="E1536" i="2"/>
  <c r="G1536" i="2" s="1"/>
  <c r="E1541" i="2"/>
  <c r="E1562" i="2"/>
  <c r="E1568" i="2"/>
  <c r="G1568" i="2" s="1"/>
  <c r="E1573" i="2"/>
  <c r="E1627" i="2"/>
  <c r="E1653" i="2"/>
  <c r="H1654" i="2" s="1"/>
  <c r="E1418" i="2"/>
  <c r="E1421" i="2"/>
  <c r="G1421" i="2" s="1"/>
  <c r="E1424" i="2"/>
  <c r="G1424" i="2" s="1"/>
  <c r="E1433" i="2"/>
  <c r="H1433" i="2" s="1"/>
  <c r="E1472" i="2"/>
  <c r="E1482" i="2"/>
  <c r="E1487" i="2"/>
  <c r="H1488" i="2" s="1"/>
  <c r="E1491" i="2"/>
  <c r="E1490" i="2"/>
  <c r="E1492" i="2"/>
  <c r="E1510" i="2"/>
  <c r="E1542" i="2"/>
  <c r="E1574" i="2"/>
  <c r="E1580" i="2"/>
  <c r="E1579" i="2"/>
  <c r="E1588" i="2"/>
  <c r="E1595" i="2"/>
  <c r="E1637" i="2"/>
  <c r="E1740" i="2"/>
  <c r="G1740" i="2" s="1"/>
  <c r="E1736" i="2"/>
  <c r="E1741" i="2"/>
  <c r="E1738" i="2"/>
  <c r="E1856" i="2"/>
  <c r="G1856" i="2" s="1"/>
  <c r="E1835" i="2"/>
  <c r="E1861" i="2"/>
  <c r="H1350" i="2"/>
  <c r="E1380" i="2"/>
  <c r="E1386" i="2"/>
  <c r="E1412" i="2"/>
  <c r="G1438" i="2"/>
  <c r="E1446" i="2"/>
  <c r="E1475" i="2"/>
  <c r="E1476" i="2"/>
  <c r="E1505" i="2"/>
  <c r="E1517" i="2"/>
  <c r="E1537" i="2"/>
  <c r="E1549" i="2"/>
  <c r="G1549" i="2" s="1"/>
  <c r="E1569" i="2"/>
  <c r="E1581" i="2"/>
  <c r="E1601" i="2"/>
  <c r="E1598" i="2"/>
  <c r="E1646" i="2"/>
  <c r="E1372" i="2"/>
  <c r="E1389" i="2"/>
  <c r="H1389" i="2" s="1"/>
  <c r="E1392" i="2"/>
  <c r="G1392" i="2" s="1"/>
  <c r="G1418" i="2"/>
  <c r="E1434" i="2"/>
  <c r="G1434" i="2" s="1"/>
  <c r="E1437" i="2"/>
  <c r="E1440" i="2"/>
  <c r="E1511" i="2"/>
  <c r="G1511" i="2" s="1"/>
  <c r="E1518" i="2"/>
  <c r="G1518" i="2" s="1"/>
  <c r="G1545" i="2"/>
  <c r="E1543" i="2"/>
  <c r="G1543" i="2" s="1"/>
  <c r="E1550" i="2"/>
  <c r="G1550" i="2" s="1"/>
  <c r="E1575" i="2"/>
  <c r="E1582" i="2"/>
  <c r="E1602" i="2"/>
  <c r="E1610" i="2"/>
  <c r="E1628" i="2"/>
  <c r="G1376" i="2"/>
  <c r="E1459" i="2"/>
  <c r="H1459" i="2" s="1"/>
  <c r="E1462" i="2"/>
  <c r="E1488" i="2"/>
  <c r="E1512" i="2"/>
  <c r="E1544" i="2"/>
  <c r="E1576" i="2"/>
  <c r="E1626" i="2"/>
  <c r="G1626" i="2" s="1"/>
  <c r="E1655" i="2"/>
  <c r="G1655" i="2" s="1"/>
  <c r="G1395" i="2"/>
  <c r="E1398" i="2"/>
  <c r="E1404" i="2"/>
  <c r="G1415" i="2"/>
  <c r="G1437" i="2"/>
  <c r="E1450" i="2"/>
  <c r="H1451" i="2" s="1"/>
  <c r="E1453" i="2"/>
  <c r="E1456" i="2"/>
  <c r="G1456" i="2" s="1"/>
  <c r="E1465" i="2"/>
  <c r="G1465" i="2" s="1"/>
  <c r="E1493" i="2"/>
  <c r="G1493" i="2" s="1"/>
  <c r="E1583" i="2"/>
  <c r="E1630" i="2"/>
  <c r="G1630" i="2" s="1"/>
  <c r="E1656" i="2"/>
  <c r="G1353" i="2"/>
  <c r="E1422" i="2"/>
  <c r="H1422" i="2" s="1"/>
  <c r="E1428" i="2"/>
  <c r="G1442" i="2"/>
  <c r="E1469" i="2"/>
  <c r="G1469" i="2" s="1"/>
  <c r="E1489" i="2"/>
  <c r="E1494" i="2"/>
  <c r="E1500" i="2"/>
  <c r="G1500" i="2" s="1"/>
  <c r="E1519" i="2"/>
  <c r="E1532" i="2"/>
  <c r="E1551" i="2"/>
  <c r="E1564" i="2"/>
  <c r="G1564" i="2" s="1"/>
  <c r="E1613" i="2"/>
  <c r="E1679" i="2"/>
  <c r="E1705" i="2"/>
  <c r="E1378" i="2"/>
  <c r="E1410" i="2"/>
  <c r="G1417" i="2"/>
  <c r="G1453" i="2"/>
  <c r="E1466" i="2"/>
  <c r="H1469" i="2"/>
  <c r="E1477" i="2"/>
  <c r="E1513" i="2"/>
  <c r="E1545" i="2"/>
  <c r="E1577" i="2"/>
  <c r="E1596" i="2"/>
  <c r="E1622" i="2"/>
  <c r="E1640" i="2"/>
  <c r="E1381" i="2"/>
  <c r="E1384" i="2"/>
  <c r="H1385" i="2" s="1"/>
  <c r="G1388" i="2"/>
  <c r="E1390" i="2"/>
  <c r="G1390" i="2" s="1"/>
  <c r="G1401" i="2"/>
  <c r="E1413" i="2"/>
  <c r="E1416" i="2"/>
  <c r="E1419" i="2"/>
  <c r="H1425" i="2"/>
  <c r="E1438" i="2"/>
  <c r="E1444" i="2"/>
  <c r="E1478" i="2"/>
  <c r="E1484" i="2"/>
  <c r="G1484" i="2" s="1"/>
  <c r="E1514" i="2"/>
  <c r="E1520" i="2"/>
  <c r="G1520" i="2" s="1"/>
  <c r="E1525" i="2"/>
  <c r="E1546" i="2"/>
  <c r="E1552" i="2"/>
  <c r="G1552" i="2" s="1"/>
  <c r="H1559" i="2"/>
  <c r="G1559" i="2"/>
  <c r="E1557" i="2"/>
  <c r="G1557" i="2" s="1"/>
  <c r="E1591" i="2"/>
  <c r="E1605" i="2"/>
  <c r="E1604" i="2"/>
  <c r="E1603" i="2"/>
  <c r="E1631" i="2"/>
  <c r="E1728" i="2"/>
  <c r="E1723" i="2"/>
  <c r="E1730" i="2"/>
  <c r="E1733" i="2"/>
  <c r="E1720" i="2"/>
  <c r="E1725" i="2"/>
  <c r="E1718" i="2"/>
  <c r="H1680" i="2"/>
  <c r="E1685" i="2"/>
  <c r="E1766" i="2"/>
  <c r="E1889" i="2"/>
  <c r="H1890" i="2" s="1"/>
  <c r="E1881" i="2"/>
  <c r="E1820" i="2"/>
  <c r="E1821" i="2"/>
  <c r="E1818" i="2"/>
  <c r="G1818" i="2" s="1"/>
  <c r="G1934" i="2"/>
  <c r="F1934" i="2"/>
  <c r="E1634" i="2"/>
  <c r="E1666" i="2"/>
  <c r="E1680" i="2"/>
  <c r="E1686" i="2"/>
  <c r="E1787" i="2"/>
  <c r="H1788" i="2" s="1"/>
  <c r="E1786" i="2"/>
  <c r="E1806" i="2"/>
  <c r="E1807" i="2"/>
  <c r="H1808" i="2" s="1"/>
  <c r="E1796" i="2"/>
  <c r="G1796" i="2" s="1"/>
  <c r="E1804" i="2"/>
  <c r="E1809" i="2"/>
  <c r="I1809" i="2" s="1"/>
  <c r="E1589" i="2"/>
  <c r="E1659" i="2"/>
  <c r="E1692" i="2"/>
  <c r="E1693" i="2"/>
  <c r="E1690" i="2"/>
  <c r="E1706" i="2"/>
  <c r="E1713" i="2"/>
  <c r="E1734" i="2"/>
  <c r="G1734" i="2" s="1"/>
  <c r="E1742" i="2"/>
  <c r="H1742" i="2" s="1"/>
  <c r="E1768" i="2"/>
  <c r="E1798" i="2"/>
  <c r="G2011" i="2"/>
  <c r="F2011" i="2"/>
  <c r="E1508" i="2"/>
  <c r="E1524" i="2"/>
  <c r="H1525" i="2" s="1"/>
  <c r="E1540" i="2"/>
  <c r="E1556" i="2"/>
  <c r="E1572" i="2"/>
  <c r="E1597" i="2"/>
  <c r="E1611" i="2"/>
  <c r="E1614" i="2"/>
  <c r="E1617" i="2"/>
  <c r="E1647" i="2"/>
  <c r="E1650" i="2"/>
  <c r="E1663" i="2"/>
  <c r="E1667" i="2"/>
  <c r="H1667" i="2" s="1"/>
  <c r="E1675" i="2"/>
  <c r="E1681" i="2"/>
  <c r="E1700" i="2"/>
  <c r="E1707" i="2"/>
  <c r="E1714" i="2"/>
  <c r="E1467" i="2"/>
  <c r="E1483" i="2"/>
  <c r="E1499" i="2"/>
  <c r="E1515" i="2"/>
  <c r="G1515" i="2" s="1"/>
  <c r="E1531" i="2"/>
  <c r="E1547" i="2"/>
  <c r="E1563" i="2"/>
  <c r="G1565" i="2"/>
  <c r="E1584" i="2"/>
  <c r="E1600" i="2"/>
  <c r="E1635" i="2"/>
  <c r="E1641" i="2"/>
  <c r="E1644" i="2"/>
  <c r="E1687" i="2"/>
  <c r="E1752" i="2"/>
  <c r="E1778" i="2"/>
  <c r="H1485" i="2"/>
  <c r="E1506" i="2"/>
  <c r="E1522" i="2"/>
  <c r="E1538" i="2"/>
  <c r="E1554" i="2"/>
  <c r="E1570" i="2"/>
  <c r="E1671" i="2"/>
  <c r="I1671" i="2" s="1"/>
  <c r="E1688" i="2"/>
  <c r="E1715" i="2"/>
  <c r="E1721" i="2"/>
  <c r="E1852" i="2"/>
  <c r="E1606" i="2"/>
  <c r="G1606" i="2" s="1"/>
  <c r="E1629" i="2"/>
  <c r="E1632" i="2"/>
  <c r="E1651" i="2"/>
  <c r="G1651" i="2" s="1"/>
  <c r="E1654" i="2"/>
  <c r="G1654" i="2" s="1"/>
  <c r="E1657" i="2"/>
  <c r="E1672" i="2"/>
  <c r="E1695" i="2"/>
  <c r="E1701" i="2"/>
  <c r="G1701" i="2" s="1"/>
  <c r="E1780" i="2"/>
  <c r="H1563" i="2"/>
  <c r="E1587" i="2"/>
  <c r="E1609" i="2"/>
  <c r="G1609" i="2" s="1"/>
  <c r="G1660" i="2"/>
  <c r="E1682" i="2"/>
  <c r="E1702" i="2"/>
  <c r="E1727" i="2"/>
  <c r="E1814" i="2"/>
  <c r="E1612" i="2"/>
  <c r="E1615" i="2"/>
  <c r="H1616" i="2" s="1"/>
  <c r="E1621" i="2"/>
  <c r="H1621" i="2" s="1"/>
  <c r="E1648" i="2"/>
  <c r="H1660" i="2"/>
  <c r="E1664" i="2"/>
  <c r="E1683" i="2"/>
  <c r="E1689" i="2"/>
  <c r="E1737" i="2"/>
  <c r="G1737" i="2" s="1"/>
  <c r="E1745" i="2"/>
  <c r="E1743" i="2"/>
  <c r="E1790" i="2"/>
  <c r="E1788" i="2"/>
  <c r="E1791" i="2"/>
  <c r="E1590" i="2"/>
  <c r="G1598" i="2"/>
  <c r="G1602" i="2"/>
  <c r="G1612" i="2"/>
  <c r="G1669" i="2"/>
  <c r="E1676" i="2"/>
  <c r="E1717" i="2"/>
  <c r="E1746" i="2"/>
  <c r="E1803" i="2"/>
  <c r="E1618" i="2"/>
  <c r="G1618" i="2" s="1"/>
  <c r="G1637" i="2"/>
  <c r="E1645" i="2"/>
  <c r="H1646" i="2" s="1"/>
  <c r="E1677" i="2"/>
  <c r="E1696" i="2"/>
  <c r="G1696" i="2" s="1"/>
  <c r="E1722" i="2"/>
  <c r="E1755" i="2"/>
  <c r="E1754" i="2"/>
  <c r="E1827" i="2"/>
  <c r="E1828" i="2"/>
  <c r="G1828" i="2" s="1"/>
  <c r="E1826" i="2"/>
  <c r="E1585" i="2"/>
  <c r="G1585" i="2" s="1"/>
  <c r="E1593" i="2"/>
  <c r="E1633" i="2"/>
  <c r="E1636" i="2"/>
  <c r="G1636" i="2" s="1"/>
  <c r="E1665" i="2"/>
  <c r="E1669" i="2"/>
  <c r="E1673" i="2"/>
  <c r="G1673" i="2" s="1"/>
  <c r="E1678" i="2"/>
  <c r="E1703" i="2"/>
  <c r="G1703" i="2" s="1"/>
  <c r="E1764" i="2"/>
  <c r="E1884" i="2"/>
  <c r="E1507" i="2"/>
  <c r="E1523" i="2"/>
  <c r="G1525" i="2"/>
  <c r="E1539" i="2"/>
  <c r="G1541" i="2"/>
  <c r="E1555" i="2"/>
  <c r="E1571" i="2"/>
  <c r="G1573" i="2"/>
  <c r="G1653" i="2"/>
  <c r="E1704" i="2"/>
  <c r="E1794" i="2"/>
  <c r="G1794" i="2" s="1"/>
  <c r="E1578" i="2"/>
  <c r="H1600" i="2"/>
  <c r="E1619" i="2"/>
  <c r="H1620" i="2" s="1"/>
  <c r="G1623" i="2"/>
  <c r="E1649" i="2"/>
  <c r="E1652" i="2"/>
  <c r="H1652" i="2" s="1"/>
  <c r="E1674" i="2"/>
  <c r="G1685" i="2"/>
  <c r="E1684" i="2"/>
  <c r="E1711" i="2"/>
  <c r="E1762" i="2"/>
  <c r="E1765" i="2"/>
  <c r="E1761" i="2"/>
  <c r="E1784" i="2"/>
  <c r="E1749" i="2"/>
  <c r="E1758" i="2"/>
  <c r="G1765" i="2"/>
  <c r="G1911" i="2"/>
  <c r="E1710" i="2"/>
  <c r="E1771" i="2"/>
  <c r="E1781" i="2"/>
  <c r="G1781" i="2" s="1"/>
  <c r="E1795" i="2"/>
  <c r="E1815" i="2"/>
  <c r="E1850" i="2"/>
  <c r="E1849" i="2"/>
  <c r="E1851" i="2"/>
  <c r="G1851" i="2" s="1"/>
  <c r="E1853" i="2"/>
  <c r="E1871" i="2"/>
  <c r="E2059" i="2"/>
  <c r="E2056" i="2"/>
  <c r="E2055" i="2"/>
  <c r="E2060" i="2"/>
  <c r="E1747" i="2"/>
  <c r="G1747" i="2" s="1"/>
  <c r="E1799" i="2"/>
  <c r="E1891" i="2"/>
  <c r="G1914" i="2"/>
  <c r="G2030" i="2"/>
  <c r="F2155" i="2"/>
  <c r="E1731" i="2"/>
  <c r="E1750" i="2"/>
  <c r="E1756" i="2"/>
  <c r="G1756" i="2" s="1"/>
  <c r="E1759" i="2"/>
  <c r="E1816" i="2"/>
  <c r="E1893" i="2"/>
  <c r="F1914" i="2"/>
  <c r="G1961" i="2"/>
  <c r="F1961" i="2"/>
  <c r="E1997" i="2"/>
  <c r="E2002" i="2"/>
  <c r="E1984" i="2"/>
  <c r="E1947" i="2"/>
  <c r="G1947" i="2" s="1"/>
  <c r="E1939" i="2"/>
  <c r="H1940" i="2" s="1"/>
  <c r="E1935" i="2"/>
  <c r="I1935" i="2" s="1"/>
  <c r="E1946" i="2"/>
  <c r="E1980" i="2"/>
  <c r="E1956" i="2"/>
  <c r="E1691" i="2"/>
  <c r="E1708" i="2"/>
  <c r="E1753" i="2"/>
  <c r="G1753" i="2" s="1"/>
  <c r="E1810" i="2"/>
  <c r="E1830" i="2"/>
  <c r="E1855" i="2"/>
  <c r="G1937" i="2"/>
  <c r="E2045" i="2"/>
  <c r="E2048" i="2"/>
  <c r="E2041" i="2"/>
  <c r="G1713" i="2"/>
  <c r="G1717" i="2"/>
  <c r="E1726" i="2"/>
  <c r="G1726" i="2" s="1"/>
  <c r="E1772" i="2"/>
  <c r="E1775" i="2"/>
  <c r="E1785" i="2"/>
  <c r="H1785" i="2" s="1"/>
  <c r="E1811" i="2"/>
  <c r="E1817" i="2"/>
  <c r="G1817" i="2" s="1"/>
  <c r="E1838" i="2"/>
  <c r="E1874" i="2"/>
  <c r="G1874" i="2" s="1"/>
  <c r="E1900" i="2"/>
  <c r="E1897" i="2"/>
  <c r="G1897" i="2" s="1"/>
  <c r="E1894" i="2"/>
  <c r="G1894" i="2" s="1"/>
  <c r="E1905" i="2"/>
  <c r="F1937" i="2"/>
  <c r="E1716" i="2"/>
  <c r="G1716" i="2" s="1"/>
  <c r="E1739" i="2"/>
  <c r="E1769" i="2"/>
  <c r="G1769" i="2" s="1"/>
  <c r="E1800" i="2"/>
  <c r="E1805" i="2"/>
  <c r="H1806" i="2" s="1"/>
  <c r="E1839" i="2"/>
  <c r="E1917" i="2"/>
  <c r="E1916" i="2"/>
  <c r="E1909" i="2"/>
  <c r="E1729" i="2"/>
  <c r="G1729" i="2" s="1"/>
  <c r="E1744" i="2"/>
  <c r="E1763" i="2"/>
  <c r="E1782" i="2"/>
  <c r="E1824" i="2"/>
  <c r="E1837" i="2"/>
  <c r="G1837" i="2" s="1"/>
  <c r="E1694" i="2"/>
  <c r="E1699" i="2"/>
  <c r="H1699" i="2" s="1"/>
  <c r="E1719" i="2"/>
  <c r="E1724" i="2"/>
  <c r="H1724" i="2" s="1"/>
  <c r="E1751" i="2"/>
  <c r="G1751" i="2" s="1"/>
  <c r="E1779" i="2"/>
  <c r="E1789" i="2"/>
  <c r="E1792" i="2"/>
  <c r="E1801" i="2"/>
  <c r="E1822" i="2"/>
  <c r="G1822" i="2" s="1"/>
  <c r="E1823" i="2"/>
  <c r="E1840" i="2"/>
  <c r="E1846" i="2"/>
  <c r="E1843" i="2"/>
  <c r="H1843" i="2" s="1"/>
  <c r="E1848" i="2"/>
  <c r="G1733" i="2"/>
  <c r="E1748" i="2"/>
  <c r="G1748" i="2" s="1"/>
  <c r="E1757" i="2"/>
  <c r="G1782" i="2"/>
  <c r="E1793" i="2"/>
  <c r="E1825" i="2"/>
  <c r="E1966" i="2"/>
  <c r="E1709" i="2"/>
  <c r="G1709" i="2" s="1"/>
  <c r="E1732" i="2"/>
  <c r="G1732" i="2" s="1"/>
  <c r="E1797" i="2"/>
  <c r="E1819" i="2"/>
  <c r="E1832" i="2"/>
  <c r="E1858" i="2"/>
  <c r="E1925" i="2"/>
  <c r="H1926" i="2" s="1"/>
  <c r="E1921" i="2"/>
  <c r="E1918" i="2"/>
  <c r="E1941" i="2"/>
  <c r="E2038" i="2"/>
  <c r="E1697" i="2"/>
  <c r="E1767" i="2"/>
  <c r="E1770" i="2"/>
  <c r="E1773" i="2"/>
  <c r="E1783" i="2"/>
  <c r="G1783" i="2" s="1"/>
  <c r="E1813" i="2"/>
  <c r="E1833" i="2"/>
  <c r="E1842" i="2"/>
  <c r="G1842" i="2" s="1"/>
  <c r="E1886" i="2"/>
  <c r="E1873" i="2"/>
  <c r="E1887" i="2"/>
  <c r="E1930" i="2"/>
  <c r="E1735" i="2"/>
  <c r="E1760" i="2"/>
  <c r="E1802" i="2"/>
  <c r="G1802" i="2" s="1"/>
  <c r="G1821" i="2"/>
  <c r="E1834" i="2"/>
  <c r="E1878" i="2"/>
  <c r="G1878" i="2" s="1"/>
  <c r="E1910" i="2"/>
  <c r="E1995" i="2"/>
  <c r="G2085" i="2"/>
  <c r="F2085" i="2"/>
  <c r="E1902" i="2"/>
  <c r="E1908" i="2"/>
  <c r="E1927" i="2"/>
  <c r="E1864" i="2"/>
  <c r="H1865" i="2" s="1"/>
  <c r="E1867" i="2"/>
  <c r="E1870" i="2"/>
  <c r="E1896" i="2"/>
  <c r="E1899" i="2"/>
  <c r="E1945" i="2"/>
  <c r="H1946" i="2" s="1"/>
  <c r="E1967" i="2"/>
  <c r="E1965" i="2"/>
  <c r="G1965" i="2" s="1"/>
  <c r="E1987" i="2"/>
  <c r="E2031" i="2"/>
  <c r="E2029" i="2"/>
  <c r="E2025" i="2"/>
  <c r="E2040" i="2"/>
  <c r="E2051" i="2"/>
  <c r="E1876" i="2"/>
  <c r="E1879" i="2"/>
  <c r="E1924" i="2"/>
  <c r="E1974" i="2"/>
  <c r="F2100" i="2"/>
  <c r="E1859" i="2"/>
  <c r="G1859" i="2" s="1"/>
  <c r="E1882" i="2"/>
  <c r="G1910" i="2"/>
  <c r="E1951" i="2"/>
  <c r="E1950" i="2"/>
  <c r="E1949" i="2"/>
  <c r="E1960" i="2"/>
  <c r="E2013" i="2"/>
  <c r="E2014" i="2"/>
  <c r="E2171" i="2"/>
  <c r="G2171" i="2" s="1"/>
  <c r="E2173" i="2"/>
  <c r="E2172" i="2"/>
  <c r="E2160" i="2"/>
  <c r="E2163" i="2"/>
  <c r="E1812" i="2"/>
  <c r="E1885" i="2"/>
  <c r="E1888" i="2"/>
  <c r="G1888" i="2" s="1"/>
  <c r="E1942" i="2"/>
  <c r="E1955" i="2"/>
  <c r="G1955" i="2" s="1"/>
  <c r="E1962" i="2"/>
  <c r="H1962" i="2" s="1"/>
  <c r="E1973" i="2"/>
  <c r="E1975" i="2"/>
  <c r="E2024" i="2"/>
  <c r="G2024" i="2" s="1"/>
  <c r="E1831" i="2"/>
  <c r="G1831" i="2" s="1"/>
  <c r="E1836" i="2"/>
  <c r="E1841" i="2"/>
  <c r="E1906" i="2"/>
  <c r="E1912" i="2"/>
  <c r="E1938" i="2"/>
  <c r="H1938" i="2" s="1"/>
  <c r="E1957" i="2"/>
  <c r="H1958" i="2" s="1"/>
  <c r="E1976" i="2"/>
  <c r="G1976" i="2" s="1"/>
  <c r="E1989" i="2"/>
  <c r="G1989" i="2" s="1"/>
  <c r="E1998" i="2"/>
  <c r="E2146" i="2"/>
  <c r="E2145" i="2"/>
  <c r="E2144" i="2"/>
  <c r="G2144" i="2" s="1"/>
  <c r="E1854" i="2"/>
  <c r="G1854" i="2" s="1"/>
  <c r="E1862" i="2"/>
  <c r="E1865" i="2"/>
  <c r="E1868" i="2"/>
  <c r="E1931" i="2"/>
  <c r="G1931" i="2" s="1"/>
  <c r="E1952" i="2"/>
  <c r="E1968" i="2"/>
  <c r="G1970" i="2"/>
  <c r="E1969" i="2"/>
  <c r="E1981" i="2"/>
  <c r="E2034" i="2"/>
  <c r="E2044" i="2"/>
  <c r="E1844" i="2"/>
  <c r="E1877" i="2"/>
  <c r="E1903" i="2"/>
  <c r="G1917" i="2"/>
  <c r="E1915" i="2"/>
  <c r="I1915" i="2" s="1"/>
  <c r="E1922" i="2"/>
  <c r="E1928" i="2"/>
  <c r="E1932" i="2"/>
  <c r="E1948" i="2"/>
  <c r="E1953" i="2"/>
  <c r="E1990" i="2"/>
  <c r="E2118" i="2"/>
  <c r="G2118" i="2" s="1"/>
  <c r="E2116" i="2"/>
  <c r="G2116" i="2" s="1"/>
  <c r="E2119" i="2"/>
  <c r="E1857" i="2"/>
  <c r="G1857" i="2" s="1"/>
  <c r="E1936" i="2"/>
  <c r="G1936" i="2" s="1"/>
  <c r="E1963" i="2"/>
  <c r="E1970" i="2"/>
  <c r="E2067" i="2"/>
  <c r="E2078" i="2"/>
  <c r="E2092" i="2"/>
  <c r="E2080" i="2"/>
  <c r="E1829" i="2"/>
  <c r="E1847" i="2"/>
  <c r="G1847" i="2" s="1"/>
  <c r="E1860" i="2"/>
  <c r="E1880" i="2"/>
  <c r="E1883" i="2"/>
  <c r="G1883" i="2" s="1"/>
  <c r="G1890" i="2"/>
  <c r="E1919" i="2"/>
  <c r="E1964" i="2"/>
  <c r="H1965" i="2" s="1"/>
  <c r="E1971" i="2"/>
  <c r="H1971" i="2" s="1"/>
  <c r="E2005" i="2"/>
  <c r="E2008" i="2"/>
  <c r="E2136" i="2"/>
  <c r="G2136" i="2" s="1"/>
  <c r="E1863" i="2"/>
  <c r="E1892" i="2"/>
  <c r="E1895" i="2"/>
  <c r="E1904" i="2"/>
  <c r="E1907" i="2"/>
  <c r="E1929" i="2"/>
  <c r="G1929" i="2" s="1"/>
  <c r="E1959" i="2"/>
  <c r="H1960" i="2" s="1"/>
  <c r="E1992" i="2"/>
  <c r="G1992" i="2" s="1"/>
  <c r="E2017" i="2"/>
  <c r="G2017" i="2" s="1"/>
  <c r="E2164" i="2"/>
  <c r="G1815" i="2"/>
  <c r="G1833" i="2"/>
  <c r="E1866" i="2"/>
  <c r="H1867" i="2" s="1"/>
  <c r="E1898" i="2"/>
  <c r="G1898" i="2" s="1"/>
  <c r="E1944" i="2"/>
  <c r="E1954" i="2"/>
  <c r="E2001" i="2"/>
  <c r="E2046" i="2"/>
  <c r="G1846" i="2"/>
  <c r="E1869" i="2"/>
  <c r="G1869" i="2" s="1"/>
  <c r="E1872" i="2"/>
  <c r="E1875" i="2"/>
  <c r="E1901" i="2"/>
  <c r="G1901" i="2" s="1"/>
  <c r="E1920" i="2"/>
  <c r="E1923" i="2"/>
  <c r="E1940" i="2"/>
  <c r="G1940" i="2" s="1"/>
  <c r="E1991" i="2"/>
  <c r="E1988" i="2"/>
  <c r="E1985" i="2"/>
  <c r="G1985" i="2" s="1"/>
  <c r="E1845" i="2"/>
  <c r="E1933" i="2"/>
  <c r="E1979" i="2"/>
  <c r="E1993" i="2"/>
  <c r="E2010" i="2"/>
  <c r="E2009" i="2"/>
  <c r="H2010" i="2" s="1"/>
  <c r="E1996" i="2"/>
  <c r="H1997" i="2" s="1"/>
  <c r="E1999" i="2"/>
  <c r="E2021" i="2"/>
  <c r="H2022" i="2" s="1"/>
  <c r="E2084" i="2"/>
  <c r="E2086" i="2"/>
  <c r="H2086" i="2" s="1"/>
  <c r="E2156" i="2"/>
  <c r="E1972" i="2"/>
  <c r="E1977" i="2"/>
  <c r="E1982" i="2"/>
  <c r="E2018" i="2"/>
  <c r="E2028" i="2"/>
  <c r="G2028" i="2" s="1"/>
  <c r="E2052" i="2"/>
  <c r="E2120" i="2"/>
  <c r="E2015" i="2"/>
  <c r="E2035" i="2"/>
  <c r="E2101" i="2"/>
  <c r="H2101" i="2" s="1"/>
  <c r="E2103" i="2"/>
  <c r="E2102" i="2"/>
  <c r="E2022" i="2"/>
  <c r="G2022" i="2" s="1"/>
  <c r="E2061" i="2"/>
  <c r="E2068" i="2"/>
  <c r="E2104" i="2"/>
  <c r="F2177" i="2"/>
  <c r="E2032" i="2"/>
  <c r="E2049" i="2"/>
  <c r="G2049" i="2" s="1"/>
  <c r="E2057" i="2"/>
  <c r="E2062" i="2"/>
  <c r="E2088" i="2"/>
  <c r="E2095" i="2"/>
  <c r="E2149" i="2"/>
  <c r="G2177" i="2"/>
  <c r="E1994" i="2"/>
  <c r="G1994" i="2" s="1"/>
  <c r="E2006" i="2"/>
  <c r="G2006" i="2" s="1"/>
  <c r="E2012" i="2"/>
  <c r="G2012" i="2" s="1"/>
  <c r="G2040" i="2"/>
  <c r="E2053" i="2"/>
  <c r="H2054" i="2" s="1"/>
  <c r="E2079" i="2"/>
  <c r="G2079" i="2" s="1"/>
  <c r="E2081" i="2"/>
  <c r="E2112" i="2"/>
  <c r="G2112" i="2" s="1"/>
  <c r="E2108" i="2"/>
  <c r="E2139" i="2"/>
  <c r="G2139" i="2" s="1"/>
  <c r="E2140" i="2"/>
  <c r="E2159" i="2"/>
  <c r="G2159" i="2" s="1"/>
  <c r="E2169" i="2"/>
  <c r="G2169" i="2" s="1"/>
  <c r="H1912" i="2"/>
  <c r="E2000" i="2"/>
  <c r="E2003" i="2"/>
  <c r="E2019" i="2"/>
  <c r="E2036" i="2"/>
  <c r="E2039" i="2"/>
  <c r="H2040" i="2" s="1"/>
  <c r="E2042" i="2"/>
  <c r="G2042" i="2" s="1"/>
  <c r="E2113" i="2"/>
  <c r="E2123" i="2"/>
  <c r="E2141" i="2"/>
  <c r="E1983" i="2"/>
  <c r="G1983" i="2" s="1"/>
  <c r="G1997" i="2"/>
  <c r="E2043" i="2"/>
  <c r="E2063" i="2"/>
  <c r="G2063" i="2" s="1"/>
  <c r="E2075" i="2"/>
  <c r="G2075" i="2" s="1"/>
  <c r="E1978" i="2"/>
  <c r="E1986" i="2"/>
  <c r="E2016" i="2"/>
  <c r="E2033" i="2"/>
  <c r="E2050" i="2"/>
  <c r="E2054" i="2"/>
  <c r="E2070" i="2"/>
  <c r="G2070" i="2" s="1"/>
  <c r="E2096" i="2"/>
  <c r="E2133" i="2"/>
  <c r="E2152" i="2"/>
  <c r="E2148" i="2"/>
  <c r="E1958" i="2"/>
  <c r="G1958" i="2" s="1"/>
  <c r="G1973" i="2"/>
  <c r="G2005" i="2"/>
  <c r="E2020" i="2"/>
  <c r="E2023" i="2"/>
  <c r="E2026" i="2"/>
  <c r="G2026" i="2" s="1"/>
  <c r="E2047" i="2"/>
  <c r="E2107" i="2"/>
  <c r="G2107" i="2" s="1"/>
  <c r="E2004" i="2"/>
  <c r="H2005" i="2" s="1"/>
  <c r="G2008" i="2"/>
  <c r="G2013" i="2"/>
  <c r="E2027" i="2"/>
  <c r="E2064" i="2"/>
  <c r="E2071" i="2"/>
  <c r="E2090" i="2"/>
  <c r="G2100" i="2"/>
  <c r="E2182" i="2"/>
  <c r="E2176" i="2"/>
  <c r="E2180" i="2"/>
  <c r="F2192" i="2"/>
  <c r="G2192" i="2"/>
  <c r="F2268" i="2"/>
  <c r="E1943" i="2"/>
  <c r="E2007" i="2"/>
  <c r="E2037" i="2"/>
  <c r="E2065" i="2"/>
  <c r="E2077" i="2"/>
  <c r="H2077" i="2" s="1"/>
  <c r="E2099" i="2"/>
  <c r="H2100" i="2" s="1"/>
  <c r="E2126" i="2"/>
  <c r="E2134" i="2"/>
  <c r="H2134" i="2" s="1"/>
  <c r="E2135" i="2"/>
  <c r="E2128" i="2"/>
  <c r="G2268" i="2"/>
  <c r="G2084" i="2"/>
  <c r="E2125" i="2"/>
  <c r="E2137" i="2"/>
  <c r="E2143" i="2"/>
  <c r="G2143" i="2" s="1"/>
  <c r="E2206" i="2"/>
  <c r="G2206" i="2" s="1"/>
  <c r="E2208" i="2"/>
  <c r="E2207" i="2"/>
  <c r="E2378" i="2"/>
  <c r="G2378" i="2" s="1"/>
  <c r="E2384" i="2"/>
  <c r="H2385" i="2" s="1"/>
  <c r="E2380" i="2"/>
  <c r="E2359" i="2"/>
  <c r="E2083" i="2"/>
  <c r="E2091" i="2"/>
  <c r="E2094" i="2"/>
  <c r="E2122" i="2"/>
  <c r="E2131" i="2"/>
  <c r="E2153" i="2"/>
  <c r="E2170" i="2"/>
  <c r="E2174" i="2"/>
  <c r="H2174" i="2" s="1"/>
  <c r="E2297" i="2"/>
  <c r="E2105" i="2"/>
  <c r="I2217" i="2"/>
  <c r="H2217" i="2"/>
  <c r="E2111" i="2"/>
  <c r="E2114" i="2"/>
  <c r="G2114" i="2" s="1"/>
  <c r="E2178" i="2"/>
  <c r="H2178" i="2" s="1"/>
  <c r="F2210" i="2"/>
  <c r="F2224" i="2"/>
  <c r="E2314" i="2"/>
  <c r="E2073" i="2"/>
  <c r="I2073" i="2" s="1"/>
  <c r="E2089" i="2"/>
  <c r="G2089" i="2" s="1"/>
  <c r="E2097" i="2"/>
  <c r="E2117" i="2"/>
  <c r="E2147" i="2"/>
  <c r="E2157" i="2"/>
  <c r="G2157" i="2" s="1"/>
  <c r="E2167" i="2"/>
  <c r="E2179" i="2"/>
  <c r="G2187" i="2"/>
  <c r="E2190" i="2"/>
  <c r="G2190" i="2" s="1"/>
  <c r="G2210" i="2"/>
  <c r="G2216" i="2"/>
  <c r="E2315" i="2"/>
  <c r="F2217" i="2"/>
  <c r="F2236" i="2"/>
  <c r="G2059" i="2"/>
  <c r="G2176" i="2"/>
  <c r="E2184" i="2"/>
  <c r="E2199" i="2"/>
  <c r="G2199" i="2" s="1"/>
  <c r="E2204" i="2"/>
  <c r="E2211" i="2"/>
  <c r="I2211" i="2" s="1"/>
  <c r="G2236" i="2"/>
  <c r="E2275" i="2"/>
  <c r="H2276" i="2" s="1"/>
  <c r="E2274" i="2"/>
  <c r="E2261" i="2"/>
  <c r="E2332" i="2"/>
  <c r="E2058" i="2"/>
  <c r="E2076" i="2"/>
  <c r="G2076" i="2" s="1"/>
  <c r="E2129" i="2"/>
  <c r="E2132" i="2"/>
  <c r="G2132" i="2" s="1"/>
  <c r="E2138" i="2"/>
  <c r="E2150" i="2"/>
  <c r="G2155" i="2"/>
  <c r="E2175" i="2"/>
  <c r="E2205" i="2"/>
  <c r="E2212" i="2"/>
  <c r="E2087" i="2"/>
  <c r="G2087" i="2" s="1"/>
  <c r="G2092" i="2"/>
  <c r="E2109" i="2"/>
  <c r="H2109" i="2" s="1"/>
  <c r="E2151" i="2"/>
  <c r="E2154" i="2"/>
  <c r="H2155" i="2" s="1"/>
  <c r="E2188" i="2"/>
  <c r="H2188" i="2" s="1"/>
  <c r="E2226" i="2"/>
  <c r="G2226" i="2" s="1"/>
  <c r="E2222" i="2"/>
  <c r="E2238" i="2"/>
  <c r="E2233" i="2"/>
  <c r="E2289" i="2"/>
  <c r="E2288" i="2"/>
  <c r="E2279" i="2"/>
  <c r="E2282" i="2"/>
  <c r="E2276" i="2"/>
  <c r="E2366" i="2"/>
  <c r="E2066" i="2"/>
  <c r="E2098" i="2"/>
  <c r="G2098" i="2" s="1"/>
  <c r="E2106" i="2"/>
  <c r="E2115" i="2"/>
  <c r="H2115" i="2" s="1"/>
  <c r="E2158" i="2"/>
  <c r="E2189" i="2"/>
  <c r="E2194" i="2"/>
  <c r="E2213" i="2"/>
  <c r="E2228" i="2"/>
  <c r="E2250" i="2"/>
  <c r="G2250" i="2" s="1"/>
  <c r="E2121" i="2"/>
  <c r="H2125" i="2"/>
  <c r="E2142" i="2"/>
  <c r="E2161" i="2"/>
  <c r="E2165" i="2"/>
  <c r="E2168" i="2"/>
  <c r="E2218" i="2"/>
  <c r="I2218" i="2" s="1"/>
  <c r="E2229" i="2"/>
  <c r="G2229" i="2" s="1"/>
  <c r="E2069" i="2"/>
  <c r="G2069" i="2" s="1"/>
  <c r="E2074" i="2"/>
  <c r="E2082" i="2"/>
  <c r="E2124" i="2"/>
  <c r="E2127" i="2"/>
  <c r="E2130" i="2"/>
  <c r="E2183" i="2"/>
  <c r="E2200" i="2"/>
  <c r="E2219" i="2"/>
  <c r="G2219" i="2" s="1"/>
  <c r="E2240" i="2"/>
  <c r="H2241" i="2" s="1"/>
  <c r="E2304" i="2"/>
  <c r="E2093" i="2"/>
  <c r="H2093" i="2" s="1"/>
  <c r="E2162" i="2"/>
  <c r="H2163" i="2"/>
  <c r="E2185" i="2"/>
  <c r="E2195" i="2"/>
  <c r="H2195" i="2" s="1"/>
  <c r="E2201" i="2"/>
  <c r="G2201" i="2" s="1"/>
  <c r="E2241" i="2"/>
  <c r="E2110" i="2"/>
  <c r="G2178" i="2"/>
  <c r="E2186" i="2"/>
  <c r="G2186" i="2" s="1"/>
  <c r="E2196" i="2"/>
  <c r="E2242" i="2"/>
  <c r="E2232" i="2"/>
  <c r="E2255" i="2"/>
  <c r="H2256" i="2" s="1"/>
  <c r="E2254" i="2"/>
  <c r="E2197" i="2"/>
  <c r="G2217" i="2"/>
  <c r="E2225" i="2"/>
  <c r="E2262" i="2"/>
  <c r="E2290" i="2"/>
  <c r="G2290" i="2" s="1"/>
  <c r="E2325" i="2"/>
  <c r="E2324" i="2"/>
  <c r="E2403" i="2"/>
  <c r="G2403" i="2" s="1"/>
  <c r="E2402" i="2"/>
  <c r="E2256" i="2"/>
  <c r="G2256" i="2" s="1"/>
  <c r="E2298" i="2"/>
  <c r="E2307" i="2"/>
  <c r="G2307" i="2" s="1"/>
  <c r="E2306" i="2"/>
  <c r="G2306" i="2" s="1"/>
  <c r="E2300" i="2"/>
  <c r="G2395" i="2"/>
  <c r="E2377" i="2"/>
  <c r="I2425" i="2"/>
  <c r="F2424" i="2"/>
  <c r="H2425" i="2"/>
  <c r="E2251" i="2"/>
  <c r="E2258" i="2"/>
  <c r="F2428" i="2"/>
  <c r="E2252" i="2"/>
  <c r="E2369" i="2"/>
  <c r="G2369" i="2" s="1"/>
  <c r="E2362" i="2"/>
  <c r="E2203" i="2"/>
  <c r="E2214" i="2"/>
  <c r="E2245" i="2"/>
  <c r="E2264" i="2"/>
  <c r="G2264" i="2" s="1"/>
  <c r="E2316" i="2"/>
  <c r="G2316" i="2" s="1"/>
  <c r="E2318" i="2"/>
  <c r="E2336" i="2"/>
  <c r="H2337" i="2" s="1"/>
  <c r="I2426" i="2"/>
  <c r="G2425" i="2"/>
  <c r="F2425" i="2"/>
  <c r="E2166" i="2"/>
  <c r="G2166" i="2" s="1"/>
  <c r="E2230" i="2"/>
  <c r="H2231" i="2" s="1"/>
  <c r="E2247" i="2"/>
  <c r="E2265" i="2"/>
  <c r="E2388" i="2"/>
  <c r="E2198" i="2"/>
  <c r="G2198" i="2" s="1"/>
  <c r="G2224" i="2"/>
  <c r="E2234" i="2"/>
  <c r="E2337" i="2"/>
  <c r="E2398" i="2"/>
  <c r="F2426" i="2"/>
  <c r="G2436" i="2"/>
  <c r="F2436" i="2"/>
  <c r="E2193" i="2"/>
  <c r="I2193" i="2" s="1"/>
  <c r="E2209" i="2"/>
  <c r="H2210" i="2" s="1"/>
  <c r="E2220" i="2"/>
  <c r="E2223" i="2"/>
  <c r="H2224" i="2" s="1"/>
  <c r="E2235" i="2"/>
  <c r="H2236" i="2" s="1"/>
  <c r="E2248" i="2"/>
  <c r="G2248" i="2" s="1"/>
  <c r="E2272" i="2"/>
  <c r="E2329" i="2"/>
  <c r="E2181" i="2"/>
  <c r="E2227" i="2"/>
  <c r="E2239" i="2"/>
  <c r="E2249" i="2"/>
  <c r="E2259" i="2"/>
  <c r="G2259" i="2" s="1"/>
  <c r="E2308" i="2"/>
  <c r="G2308" i="2" s="1"/>
  <c r="E2311" i="2"/>
  <c r="G2311" i="2" s="1"/>
  <c r="E2363" i="2"/>
  <c r="H2364" i="2" s="1"/>
  <c r="E2418" i="2"/>
  <c r="H2419" i="2" s="1"/>
  <c r="H2198" i="2"/>
  <c r="E2244" i="2"/>
  <c r="E2266" i="2"/>
  <c r="G2266" i="2" s="1"/>
  <c r="E2215" i="2"/>
  <c r="E2231" i="2"/>
  <c r="G2231" i="2" s="1"/>
  <c r="E2340" i="2"/>
  <c r="E2391" i="2"/>
  <c r="G2428" i="2"/>
  <c r="F2439" i="2"/>
  <c r="I2440" i="2"/>
  <c r="E2191" i="2"/>
  <c r="H2192" i="2" s="1"/>
  <c r="E2260" i="2"/>
  <c r="G2260" i="2" s="1"/>
  <c r="E2296" i="2"/>
  <c r="G2296" i="2" s="1"/>
  <c r="E2322" i="2"/>
  <c r="E2330" i="2"/>
  <c r="G2330" i="2" s="1"/>
  <c r="E2373" i="2"/>
  <c r="G2373" i="2" s="1"/>
  <c r="E2372" i="2"/>
  <c r="G2372" i="2" s="1"/>
  <c r="E2410" i="2"/>
  <c r="G2410" i="2" s="1"/>
  <c r="H2440" i="2"/>
  <c r="G2440" i="2"/>
  <c r="E2344" i="2"/>
  <c r="G2344" i="2" s="1"/>
  <c r="E2355" i="2"/>
  <c r="G2355" i="2" s="1"/>
  <c r="E2417" i="2"/>
  <c r="E2293" i="2"/>
  <c r="G2298" i="2"/>
  <c r="E2370" i="2"/>
  <c r="E2421" i="2"/>
  <c r="G2421" i="2" s="1"/>
  <c r="H2426" i="2"/>
  <c r="G2426" i="2"/>
  <c r="F2440" i="2"/>
  <c r="H2449" i="2"/>
  <c r="G2449" i="2"/>
  <c r="G2432" i="2"/>
  <c r="G2448" i="2"/>
  <c r="I2449" i="2"/>
  <c r="E2341" i="2"/>
  <c r="G2341" i="2" s="1"/>
  <c r="G2346" i="2"/>
  <c r="E2348" i="2"/>
  <c r="E2356" i="2"/>
  <c r="F2432" i="2"/>
  <c r="G2444" i="2"/>
  <c r="F2448" i="2"/>
  <c r="H2228" i="2"/>
  <c r="E2283" i="2"/>
  <c r="H2284" i="2" s="1"/>
  <c r="E2286" i="2"/>
  <c r="E2312" i="2"/>
  <c r="G2312" i="2" s="1"/>
  <c r="E2323" i="2"/>
  <c r="G2323" i="2" s="1"/>
  <c r="E2345" i="2"/>
  <c r="E2352" i="2"/>
  <c r="E2385" i="2"/>
  <c r="E2407" i="2"/>
  <c r="E2411" i="2"/>
  <c r="E2414" i="2"/>
  <c r="F2453" i="2"/>
  <c r="G2261" i="2"/>
  <c r="G2328" i="2"/>
  <c r="E2338" i="2"/>
  <c r="G2338" i="2" s="1"/>
  <c r="E2389" i="2"/>
  <c r="G2389" i="2" s="1"/>
  <c r="E2396" i="2"/>
  <c r="I2396" i="2" s="1"/>
  <c r="E2404" i="2"/>
  <c r="G2404" i="2" s="1"/>
  <c r="E2433" i="2"/>
  <c r="E2437" i="2"/>
  <c r="H2437" i="2" s="1"/>
  <c r="F2449" i="2"/>
  <c r="E2263" i="2"/>
  <c r="E2273" i="2"/>
  <c r="G2273" i="2" s="1"/>
  <c r="E2305" i="2"/>
  <c r="G2305" i="2" s="1"/>
  <c r="G2325" i="2"/>
  <c r="E2327" i="2"/>
  <c r="G2327" i="2" s="1"/>
  <c r="E2331" i="2"/>
  <c r="E2334" i="2"/>
  <c r="E2360" i="2"/>
  <c r="G2360" i="2" s="1"/>
  <c r="E2371" i="2"/>
  <c r="E2393" i="2"/>
  <c r="E2400" i="2"/>
  <c r="H2401" i="2" s="1"/>
  <c r="E2269" i="2"/>
  <c r="H2269" i="2" s="1"/>
  <c r="E2309" i="2"/>
  <c r="G2309" i="2" s="1"/>
  <c r="G2314" i="2"/>
  <c r="E2386" i="2"/>
  <c r="G2386" i="2" s="1"/>
  <c r="G2451" i="2"/>
  <c r="E2257" i="2"/>
  <c r="E2267" i="2"/>
  <c r="H2268" i="2" s="1"/>
  <c r="E2270" i="2"/>
  <c r="E2291" i="2"/>
  <c r="E2313" i="2"/>
  <c r="H2314" i="2" s="1"/>
  <c r="E2320" i="2"/>
  <c r="E2353" i="2"/>
  <c r="G2353" i="2" s="1"/>
  <c r="E2375" i="2"/>
  <c r="E2379" i="2"/>
  <c r="H2380" i="2" s="1"/>
  <c r="E2382" i="2"/>
  <c r="E2408" i="2"/>
  <c r="G2408" i="2" s="1"/>
  <c r="E2419" i="2"/>
  <c r="G2419" i="2" s="1"/>
  <c r="E2434" i="2"/>
  <c r="G2434" i="2" s="1"/>
  <c r="G2439" i="2"/>
  <c r="E2450" i="2"/>
  <c r="H2451" i="2" s="1"/>
  <c r="E2277" i="2"/>
  <c r="E2357" i="2"/>
  <c r="E2364" i="2"/>
  <c r="G2424" i="2"/>
  <c r="E2429" i="2"/>
  <c r="E2243" i="2"/>
  <c r="E2280" i="2"/>
  <c r="G2280" i="2" s="1"/>
  <c r="G2293" i="2"/>
  <c r="E2295" i="2"/>
  <c r="E2299" i="2"/>
  <c r="H2300" i="2" s="1"/>
  <c r="E2302" i="2"/>
  <c r="E2328" i="2"/>
  <c r="E2339" i="2"/>
  <c r="E2346" i="2"/>
  <c r="E2361" i="2"/>
  <c r="E2368" i="2"/>
  <c r="E2401" i="2"/>
  <c r="G2401" i="2" s="1"/>
  <c r="E2423" i="2"/>
  <c r="H2424" i="2" s="1"/>
  <c r="E2427" i="2"/>
  <c r="I2427" i="2" s="1"/>
  <c r="E2430" i="2"/>
  <c r="E2442" i="2"/>
  <c r="E2446" i="2"/>
  <c r="E2445" i="2"/>
  <c r="I2445" i="2" s="1"/>
  <c r="G2450" i="2"/>
  <c r="G2274" i="2"/>
  <c r="E2281" i="2"/>
  <c r="E2284" i="2"/>
  <c r="G2284" i="2" s="1"/>
  <c r="E2292" i="2"/>
  <c r="E2354" i="2"/>
  <c r="E2405" i="2"/>
  <c r="G2405" i="2" s="1"/>
  <c r="E2412" i="2"/>
  <c r="E2420" i="2"/>
  <c r="H2450" i="2"/>
  <c r="E2246" i="2"/>
  <c r="E2271" i="2"/>
  <c r="E2278" i="2"/>
  <c r="E2321" i="2"/>
  <c r="E2343" i="2"/>
  <c r="H2344" i="2" s="1"/>
  <c r="E2347" i="2"/>
  <c r="E2350" i="2"/>
  <c r="G2359" i="2"/>
  <c r="E2376" i="2"/>
  <c r="E2387" i="2"/>
  <c r="G2387" i="2" s="1"/>
  <c r="E2394" i="2"/>
  <c r="E2409" i="2"/>
  <c r="G2412" i="2"/>
  <c r="E2416" i="2"/>
  <c r="E2435" i="2"/>
  <c r="E2443" i="2"/>
  <c r="H2444" i="2" s="1"/>
  <c r="E2287" i="2"/>
  <c r="H2287" i="2" s="1"/>
  <c r="E2303" i="2"/>
  <c r="E2319" i="2"/>
  <c r="G2319" i="2" s="1"/>
  <c r="E2335" i="2"/>
  <c r="E2351" i="2"/>
  <c r="G2351" i="2" s="1"/>
  <c r="E2367" i="2"/>
  <c r="G2367" i="2" s="1"/>
  <c r="E2383" i="2"/>
  <c r="G2383" i="2" s="1"/>
  <c r="E2399" i="2"/>
  <c r="E2415" i="2"/>
  <c r="G2415" i="2" s="1"/>
  <c r="E2431" i="2"/>
  <c r="G2431" i="2" s="1"/>
  <c r="E2447" i="2"/>
  <c r="G2447" i="2" s="1"/>
  <c r="E2294" i="2"/>
  <c r="G2294" i="2" s="1"/>
  <c r="E2310" i="2"/>
  <c r="G2310" i="2" s="1"/>
  <c r="E2326" i="2"/>
  <c r="G2326" i="2" s="1"/>
  <c r="E2342" i="2"/>
  <c r="H2342" i="2" s="1"/>
  <c r="E2358" i="2"/>
  <c r="E2374" i="2"/>
  <c r="E2390" i="2"/>
  <c r="G2390" i="2" s="1"/>
  <c r="E2406" i="2"/>
  <c r="E2422" i="2"/>
  <c r="E2438" i="2"/>
  <c r="E2454" i="2"/>
  <c r="H2454" i="2" s="1"/>
  <c r="E2237" i="2"/>
  <c r="H2238" i="2" s="1"/>
  <c r="E2253" i="2"/>
  <c r="G2253" i="2" s="1"/>
  <c r="E2285" i="2"/>
  <c r="H2286" i="2" s="1"/>
  <c r="E2301" i="2"/>
  <c r="E2317" i="2"/>
  <c r="H2318" i="2" s="1"/>
  <c r="E2333" i="2"/>
  <c r="E2349" i="2"/>
  <c r="E2365" i="2"/>
  <c r="E2381" i="2"/>
  <c r="E2397" i="2"/>
  <c r="E2413" i="2"/>
  <c r="G2453" i="2"/>
  <c r="H2321" i="2" l="1"/>
  <c r="I2442" i="2"/>
  <c r="G1843" i="2"/>
  <c r="H1598" i="2"/>
  <c r="F153" i="2"/>
  <c r="H942" i="2"/>
  <c r="G2240" i="2"/>
  <c r="H2367" i="2"/>
  <c r="H1147" i="2"/>
  <c r="H826" i="2"/>
  <c r="H773" i="2"/>
  <c r="F118" i="2"/>
  <c r="H2312" i="2"/>
  <c r="H1969" i="2"/>
  <c r="G326" i="2"/>
  <c r="H1678" i="2"/>
  <c r="H1269" i="2"/>
  <c r="H844" i="2"/>
  <c r="I124" i="2"/>
  <c r="G92" i="2"/>
  <c r="I40" i="2"/>
  <c r="H2374" i="2"/>
  <c r="G2221" i="2"/>
  <c r="H1365" i="2"/>
  <c r="H1266" i="2"/>
  <c r="H1084" i="2"/>
  <c r="H689" i="2"/>
  <c r="G54" i="2"/>
  <c r="H2061" i="2"/>
  <c r="I1070" i="2"/>
  <c r="H873" i="2"/>
  <c r="G341" i="2"/>
  <c r="I91" i="2"/>
  <c r="G2343" i="2"/>
  <c r="G1889" i="2"/>
  <c r="H2222" i="2"/>
  <c r="H2394" i="2"/>
  <c r="G2441" i="2"/>
  <c r="H2289" i="2"/>
  <c r="H2053" i="2"/>
  <c r="H1135" i="2"/>
  <c r="H859" i="2"/>
  <c r="H789" i="2"/>
  <c r="G267" i="2"/>
  <c r="I154" i="2"/>
  <c r="G21" i="2"/>
  <c r="H177" i="2"/>
  <c r="H153" i="2"/>
  <c r="H2240" i="2"/>
  <c r="H2214" i="2"/>
  <c r="H1922" i="2"/>
  <c r="H1774" i="2"/>
  <c r="G1699" i="2"/>
  <c r="H1431" i="2"/>
  <c r="H1372" i="2"/>
  <c r="H1070" i="2"/>
  <c r="H1000" i="2"/>
  <c r="H591" i="2"/>
  <c r="I292" i="2"/>
  <c r="I327" i="2"/>
  <c r="H2130" i="2"/>
  <c r="H1945" i="2"/>
  <c r="H1747" i="2"/>
  <c r="H1664" i="2"/>
  <c r="H1618" i="2"/>
  <c r="H1635" i="2"/>
  <c r="H1463" i="2"/>
  <c r="H1580" i="2"/>
  <c r="H1159" i="2"/>
  <c r="G1064" i="2"/>
  <c r="H1079" i="2"/>
  <c r="H905" i="2"/>
  <c r="H599" i="2"/>
  <c r="I199" i="2"/>
  <c r="F198" i="2"/>
  <c r="H2360" i="2"/>
  <c r="I2222" i="2"/>
  <c r="H1626" i="2"/>
  <c r="H1142" i="2"/>
  <c r="I1352" i="2"/>
  <c r="H963" i="2"/>
  <c r="G941" i="2"/>
  <c r="H367" i="2"/>
  <c r="H241" i="2"/>
  <c r="H1978" i="2"/>
  <c r="H1760" i="2"/>
  <c r="I615" i="2"/>
  <c r="H470" i="2"/>
  <c r="F291" i="2"/>
  <c r="G39" i="2"/>
  <c r="F123" i="2"/>
  <c r="H2453" i="2"/>
  <c r="F2441" i="2"/>
  <c r="H2441" i="2"/>
  <c r="G2195" i="2"/>
  <c r="H1776" i="2"/>
  <c r="H1294" i="2"/>
  <c r="H1604" i="2"/>
  <c r="H1387" i="2"/>
  <c r="H959" i="2"/>
  <c r="H522" i="2"/>
  <c r="H441" i="2"/>
  <c r="H658" i="2"/>
  <c r="H178" i="2"/>
  <c r="F614" i="2"/>
  <c r="H2296" i="2"/>
  <c r="H2164" i="2"/>
  <c r="H1606" i="2"/>
  <c r="H590" i="2"/>
  <c r="H50" i="2"/>
  <c r="G34" i="2"/>
  <c r="F284" i="2"/>
  <c r="H2017" i="2"/>
  <c r="G2392" i="2"/>
  <c r="H2304" i="2"/>
  <c r="H2356" i="2"/>
  <c r="H2253" i="2"/>
  <c r="G2193" i="2"/>
  <c r="H2103" i="2"/>
  <c r="H1798" i="2"/>
  <c r="H1685" i="2"/>
  <c r="H1659" i="2"/>
  <c r="H1366" i="2"/>
  <c r="H1211" i="2"/>
  <c r="H1148" i="2"/>
  <c r="G860" i="2"/>
  <c r="G920" i="2"/>
  <c r="H1122" i="2"/>
  <c r="H800" i="2"/>
  <c r="H635" i="2"/>
  <c r="H365" i="2"/>
  <c r="H309" i="2"/>
  <c r="H477" i="2"/>
  <c r="H390" i="2"/>
  <c r="H2382" i="2"/>
  <c r="G2021" i="2"/>
  <c r="H1985" i="2"/>
  <c r="G1134" i="2"/>
  <c r="H1339" i="2"/>
  <c r="H979" i="2"/>
  <c r="H925" i="2"/>
  <c r="H938" i="2"/>
  <c r="H622" i="2"/>
  <c r="H779" i="2"/>
  <c r="H410" i="2"/>
  <c r="G145" i="2"/>
  <c r="H329" i="2"/>
  <c r="I329" i="2"/>
  <c r="F2452" i="2"/>
  <c r="G2202" i="2"/>
  <c r="G1913" i="2"/>
  <c r="H1968" i="2"/>
  <c r="H1838" i="2"/>
  <c r="I1938" i="2"/>
  <c r="H1781" i="2"/>
  <c r="H1240" i="2"/>
  <c r="H956" i="2"/>
  <c r="H730" i="2"/>
  <c r="H729" i="2"/>
  <c r="H478" i="2"/>
  <c r="G329" i="2"/>
  <c r="G2452" i="2"/>
  <c r="G2109" i="2"/>
  <c r="F1926" i="2"/>
  <c r="H1766" i="2"/>
  <c r="H947" i="2"/>
  <c r="F286" i="2"/>
  <c r="H27" i="2"/>
  <c r="G36" i="2"/>
  <c r="H2452" i="2"/>
  <c r="H2183" i="2"/>
  <c r="G1944" i="2"/>
  <c r="H1127" i="2"/>
  <c r="H705" i="2"/>
  <c r="G993" i="2"/>
  <c r="H455" i="2"/>
  <c r="G336" i="2"/>
  <c r="F634" i="2"/>
  <c r="G681" i="2"/>
  <c r="G1433" i="2"/>
  <c r="H1282" i="2"/>
  <c r="H1278" i="2"/>
  <c r="G800" i="2"/>
  <c r="H391" i="2"/>
  <c r="H458" i="2"/>
  <c r="H267" i="2"/>
  <c r="H209" i="2"/>
  <c r="I2453" i="2"/>
  <c r="H2430" i="2"/>
  <c r="I2393" i="2"/>
  <c r="H2434" i="2"/>
  <c r="H1456" i="2"/>
  <c r="H1609" i="2"/>
  <c r="H1143" i="2"/>
  <c r="H1200" i="2"/>
  <c r="H1328" i="2"/>
  <c r="H941" i="2"/>
  <c r="G638" i="2"/>
  <c r="H699" i="2"/>
  <c r="H788" i="2"/>
  <c r="G948" i="2"/>
  <c r="H849" i="2"/>
  <c r="H688" i="2"/>
  <c r="H361" i="2"/>
  <c r="H330" i="2"/>
  <c r="G126" i="2"/>
  <c r="G82" i="2"/>
  <c r="I2452" i="2"/>
  <c r="H2392" i="2"/>
  <c r="H2355" i="2"/>
  <c r="G2295" i="2"/>
  <c r="H2323" i="2"/>
  <c r="H1651" i="2"/>
  <c r="H1657" i="2"/>
  <c r="H1158" i="2"/>
  <c r="H1296" i="2"/>
  <c r="H966" i="2"/>
  <c r="G958" i="2"/>
  <c r="H983" i="2"/>
  <c r="H949" i="2"/>
  <c r="H884" i="2"/>
  <c r="G704" i="2"/>
  <c r="H894" i="2"/>
  <c r="H783" i="2"/>
  <c r="H638" i="2"/>
  <c r="H359" i="2"/>
  <c r="F544" i="2"/>
  <c r="H2414" i="2"/>
  <c r="H2372" i="2"/>
  <c r="H2083" i="2"/>
  <c r="H2194" i="2"/>
  <c r="H1983" i="2"/>
  <c r="H1915" i="2"/>
  <c r="H1773" i="2"/>
  <c r="H1914" i="2"/>
  <c r="H1481" i="2"/>
  <c r="H1254" i="2"/>
  <c r="H1072" i="2"/>
  <c r="H1078" i="2"/>
  <c r="H657" i="2"/>
  <c r="H588" i="2"/>
  <c r="I849" i="2"/>
  <c r="H641" i="2"/>
  <c r="H2378" i="2"/>
  <c r="H2104" i="2"/>
  <c r="I1914" i="2"/>
  <c r="G1621" i="2"/>
  <c r="H1515" i="2"/>
  <c r="H1058" i="2"/>
  <c r="H1048" i="2"/>
  <c r="H861" i="2"/>
  <c r="H895" i="2"/>
  <c r="F849" i="2"/>
  <c r="H379" i="2"/>
  <c r="G478" i="2"/>
  <c r="H2305" i="2"/>
  <c r="H407" i="2"/>
  <c r="H1730" i="2"/>
  <c r="H1737" i="2"/>
  <c r="H1497" i="2"/>
  <c r="H1229" i="2"/>
  <c r="H1588" i="2"/>
  <c r="H1809" i="2"/>
  <c r="I2203" i="2"/>
  <c r="G2016" i="2"/>
  <c r="H2068" i="2"/>
  <c r="I1927" i="2"/>
  <c r="H1703" i="2"/>
  <c r="H1552" i="2"/>
  <c r="H1300" i="2"/>
  <c r="G1031" i="2"/>
  <c r="H617" i="2"/>
  <c r="H545" i="2"/>
  <c r="H581" i="2"/>
  <c r="H210" i="2"/>
  <c r="H106" i="2"/>
  <c r="H2336" i="2"/>
  <c r="H1639" i="2"/>
  <c r="H1612" i="2"/>
  <c r="H1729" i="2"/>
  <c r="H1477" i="2"/>
  <c r="H1638" i="2"/>
  <c r="H1386" i="2"/>
  <c r="H1447" i="2"/>
  <c r="H1362" i="2"/>
  <c r="H1354" i="2"/>
  <c r="H1209" i="2"/>
  <c r="H1461" i="2"/>
  <c r="H990" i="2"/>
  <c r="H813" i="2"/>
  <c r="H870" i="2"/>
  <c r="G592" i="2"/>
  <c r="H459" i="2"/>
  <c r="H668" i="2"/>
  <c r="G194" i="2"/>
  <c r="G174" i="2"/>
  <c r="H213" i="2"/>
  <c r="G1459" i="2"/>
  <c r="H2352" i="2"/>
  <c r="I2454" i="2"/>
  <c r="H2422" i="2"/>
  <c r="G2130" i="2"/>
  <c r="H2126" i="2"/>
  <c r="H1764" i="2"/>
  <c r="H2042" i="2"/>
  <c r="H1753" i="2"/>
  <c r="H1421" i="2"/>
  <c r="G1242" i="2"/>
  <c r="H1193" i="2"/>
  <c r="H850" i="2"/>
  <c r="H843" i="2"/>
  <c r="H698" i="2"/>
  <c r="I330" i="2"/>
  <c r="H85" i="2"/>
  <c r="H49" i="2"/>
  <c r="H255" i="2"/>
  <c r="H21" i="2"/>
  <c r="H2398" i="2"/>
  <c r="H2310" i="2"/>
  <c r="H2348" i="2"/>
  <c r="H2326" i="2"/>
  <c r="H2139" i="2"/>
  <c r="H2102" i="2"/>
  <c r="H2089" i="2"/>
  <c r="H1889" i="2"/>
  <c r="H2120" i="2"/>
  <c r="G1772" i="2"/>
  <c r="H1818" i="2"/>
  <c r="G1634" i="2"/>
  <c r="G1579" i="2"/>
  <c r="H1117" i="2"/>
  <c r="I1328" i="2"/>
  <c r="H1053" i="2"/>
  <c r="G862" i="2"/>
  <c r="H421" i="2"/>
  <c r="G309" i="2"/>
  <c r="H542" i="2"/>
  <c r="H519" i="2"/>
  <c r="H140" i="2"/>
  <c r="I146" i="2"/>
  <c r="I285" i="2"/>
  <c r="H1857" i="2"/>
  <c r="G2391" i="2"/>
  <c r="H2098" i="2"/>
  <c r="G2289" i="2"/>
  <c r="H2066" i="2"/>
  <c r="H1782" i="2"/>
  <c r="H1927" i="2"/>
  <c r="G850" i="2"/>
  <c r="H910" i="2"/>
  <c r="I1093" i="2"/>
  <c r="G983" i="2"/>
  <c r="H768" i="2"/>
  <c r="H1008" i="2"/>
  <c r="H506" i="2"/>
  <c r="H243" i="2"/>
  <c r="G1945" i="2"/>
  <c r="G1605" i="2"/>
  <c r="J2426" i="2"/>
  <c r="H2226" i="2"/>
  <c r="J2217" i="2"/>
  <c r="H2015" i="2"/>
  <c r="H1691" i="2"/>
  <c r="G1420" i="2"/>
  <c r="G1671" i="2"/>
  <c r="H1319" i="2"/>
  <c r="H1164" i="2"/>
  <c r="G1058" i="2"/>
  <c r="G1009" i="2"/>
  <c r="I883" i="2"/>
  <c r="H535" i="2"/>
  <c r="G365" i="2"/>
  <c r="H179" i="2"/>
  <c r="H234" i="2"/>
  <c r="H293" i="2"/>
  <c r="H2400" i="2"/>
  <c r="H2016" i="2"/>
  <c r="H1929" i="2"/>
  <c r="G2015" i="2"/>
  <c r="G1766" i="2"/>
  <c r="H1367" i="2"/>
  <c r="H1237" i="2"/>
  <c r="H1204" i="2"/>
  <c r="H926" i="2"/>
  <c r="G876" i="2"/>
  <c r="H887" i="2"/>
  <c r="H679" i="2"/>
  <c r="H721" i="2"/>
  <c r="H510" i="2"/>
  <c r="H618" i="2"/>
  <c r="H586" i="2"/>
  <c r="H238" i="2"/>
  <c r="H2338" i="2"/>
  <c r="H2259" i="2"/>
  <c r="G2115" i="2"/>
  <c r="H2332" i="2"/>
  <c r="G1805" i="2"/>
  <c r="H1541" i="2"/>
  <c r="G1497" i="2"/>
  <c r="H1286" i="2"/>
  <c r="H883" i="2"/>
  <c r="H756" i="2"/>
  <c r="G522" i="2"/>
  <c r="H349" i="2"/>
  <c r="H513" i="2"/>
  <c r="H35" i="2"/>
  <c r="H38" i="2"/>
  <c r="H393" i="2"/>
  <c r="H2335" i="2"/>
  <c r="H1684" i="2"/>
  <c r="G1664" i="2"/>
  <c r="J1343" i="2"/>
  <c r="H1136" i="2"/>
  <c r="I1313" i="2"/>
  <c r="G1071" i="2"/>
  <c r="H876" i="2"/>
  <c r="H651" i="2"/>
  <c r="G652" i="2"/>
  <c r="H299" i="2"/>
  <c r="H41" i="2"/>
  <c r="H278" i="2"/>
  <c r="H193" i="2"/>
  <c r="I36" i="2"/>
  <c r="H43" i="2"/>
  <c r="H2412" i="2"/>
  <c r="G2303" i="2"/>
  <c r="H1520" i="2"/>
  <c r="G1093" i="2"/>
  <c r="I1031" i="2"/>
  <c r="H676" i="2"/>
  <c r="H406" i="2"/>
  <c r="H382" i="2"/>
  <c r="H137" i="2"/>
  <c r="H36" i="2"/>
  <c r="H1437" i="2"/>
  <c r="G905" i="2"/>
  <c r="H304" i="2"/>
  <c r="H490" i="2"/>
  <c r="F35" i="2"/>
  <c r="H2290" i="2"/>
  <c r="G1652" i="2"/>
  <c r="H1630" i="2"/>
  <c r="H2307" i="2"/>
  <c r="H2298" i="2"/>
  <c r="H2032" i="2"/>
  <c r="G1650" i="2"/>
  <c r="H1511" i="2"/>
  <c r="H1276" i="2"/>
  <c r="H1270" i="2"/>
  <c r="G887" i="2"/>
  <c r="G493" i="2"/>
  <c r="G249" i="2"/>
  <c r="H343" i="2"/>
  <c r="G342" i="2"/>
  <c r="J262" i="2"/>
  <c r="H199" i="2"/>
  <c r="H2047" i="2"/>
  <c r="H2384" i="2"/>
  <c r="H2288" i="2"/>
  <c r="H2212" i="2"/>
  <c r="H1493" i="2"/>
  <c r="H1264" i="2"/>
  <c r="H1353" i="2"/>
  <c r="H1113" i="2"/>
  <c r="H1087" i="2"/>
  <c r="H1157" i="2"/>
  <c r="H1021" i="2"/>
  <c r="H832" i="2"/>
  <c r="H636" i="2"/>
  <c r="H42" i="2"/>
  <c r="H94" i="2"/>
  <c r="H76" i="2"/>
  <c r="H130" i="2"/>
  <c r="H462" i="2"/>
  <c r="I35" i="2"/>
  <c r="H1817" i="2"/>
  <c r="H2257" i="2"/>
  <c r="I2086" i="2"/>
  <c r="H1655" i="2"/>
  <c r="H1395" i="2"/>
  <c r="G1422" i="2"/>
  <c r="H1663" i="2"/>
  <c r="H1360" i="2"/>
  <c r="G872" i="2"/>
  <c r="G994" i="2"/>
  <c r="G962" i="2"/>
  <c r="H1036" i="2"/>
  <c r="H426" i="2"/>
  <c r="H331" i="2"/>
  <c r="G538" i="2"/>
  <c r="G241" i="2"/>
  <c r="H1858" i="2"/>
  <c r="H1529" i="2"/>
  <c r="H1228" i="2"/>
  <c r="H934" i="2"/>
  <c r="H753" i="2"/>
  <c r="G615" i="2"/>
  <c r="H538" i="2"/>
  <c r="H154" i="2"/>
  <c r="H2275" i="2"/>
  <c r="H2264" i="2"/>
  <c r="H2404" i="2"/>
  <c r="H2021" i="2"/>
  <c r="H1268" i="2"/>
  <c r="G998" i="2"/>
  <c r="G934" i="2"/>
  <c r="H769" i="2"/>
  <c r="H601" i="2"/>
  <c r="H270" i="2"/>
  <c r="G178" i="2"/>
  <c r="H1435" i="2"/>
  <c r="H1104" i="2"/>
  <c r="H1037" i="2"/>
  <c r="G588" i="2"/>
  <c r="H409" i="2"/>
  <c r="G409" i="2"/>
  <c r="H194" i="2"/>
  <c r="H474" i="2"/>
  <c r="H105" i="2"/>
  <c r="G847" i="2"/>
  <c r="H437" i="2"/>
  <c r="H457" i="2"/>
  <c r="H292" i="2"/>
  <c r="J339" i="2"/>
  <c r="G890" i="2"/>
  <c r="F890" i="2"/>
  <c r="F2375" i="2"/>
  <c r="I2376" i="2"/>
  <c r="I2408" i="2"/>
  <c r="F2407" i="2"/>
  <c r="F2417" i="2"/>
  <c r="I2418" i="2"/>
  <c r="I2341" i="2"/>
  <c r="H2341" i="2"/>
  <c r="F2340" i="2"/>
  <c r="G2340" i="2"/>
  <c r="I2419" i="2"/>
  <c r="F2418" i="2"/>
  <c r="F2239" i="2"/>
  <c r="I2240" i="2"/>
  <c r="I2221" i="2"/>
  <c r="F2220" i="2"/>
  <c r="H2221" i="2"/>
  <c r="F2234" i="2"/>
  <c r="I2235" i="2"/>
  <c r="H2235" i="2"/>
  <c r="J2425" i="2"/>
  <c r="F2214" i="2"/>
  <c r="H2215" i="2"/>
  <c r="I2215" i="2"/>
  <c r="I2429" i="2"/>
  <c r="I2233" i="2"/>
  <c r="H2233" i="2"/>
  <c r="F2232" i="2"/>
  <c r="G2185" i="2"/>
  <c r="F2185" i="2"/>
  <c r="I2186" i="2"/>
  <c r="H2186" i="2"/>
  <c r="I2201" i="2"/>
  <c r="H2201" i="2"/>
  <c r="F2200" i="2"/>
  <c r="G2214" i="2"/>
  <c r="I2277" i="2"/>
  <c r="H2277" i="2"/>
  <c r="F2276" i="2"/>
  <c r="I2213" i="2"/>
  <c r="F2212" i="2"/>
  <c r="H2213" i="2"/>
  <c r="F2058" i="2"/>
  <c r="H2059" i="2"/>
  <c r="I2059" i="2"/>
  <c r="G2058" i="2"/>
  <c r="I2008" i="2"/>
  <c r="H2008" i="2"/>
  <c r="G2007" i="2"/>
  <c r="F2007" i="2"/>
  <c r="H2048" i="2"/>
  <c r="F2148" i="2"/>
  <c r="I2149" i="2"/>
  <c r="H2149" i="2"/>
  <c r="F2033" i="2"/>
  <c r="I2034" i="2"/>
  <c r="H2034" i="2"/>
  <c r="F2019" i="2"/>
  <c r="H2020" i="2"/>
  <c r="I2020" i="2"/>
  <c r="F2095" i="2"/>
  <c r="I2096" i="2"/>
  <c r="H2096" i="2"/>
  <c r="F1872" i="2"/>
  <c r="I1873" i="2"/>
  <c r="G1872" i="2"/>
  <c r="I1896" i="2"/>
  <c r="F1895" i="2"/>
  <c r="G1895" i="2"/>
  <c r="G1880" i="2"/>
  <c r="F1880" i="2"/>
  <c r="I1881" i="2"/>
  <c r="H1881" i="2"/>
  <c r="G1903" i="2"/>
  <c r="I1904" i="2"/>
  <c r="F1903" i="2"/>
  <c r="I1975" i="2"/>
  <c r="H1975" i="2"/>
  <c r="G1974" i="2"/>
  <c r="F1974" i="2"/>
  <c r="I1736" i="2"/>
  <c r="H1736" i="2"/>
  <c r="F1735" i="2"/>
  <c r="G1735" i="2"/>
  <c r="I1771" i="2"/>
  <c r="H1771" i="2"/>
  <c r="F1770" i="2"/>
  <c r="G1770" i="2"/>
  <c r="F1757" i="2"/>
  <c r="I1758" i="2"/>
  <c r="G1757" i="2"/>
  <c r="F1792" i="2"/>
  <c r="I1793" i="2"/>
  <c r="H1793" i="2"/>
  <c r="I1892" i="2"/>
  <c r="F1891" i="2"/>
  <c r="I1891" i="2"/>
  <c r="H1892" i="2"/>
  <c r="G1891" i="2"/>
  <c r="F1849" i="2"/>
  <c r="I1850" i="2"/>
  <c r="H1850" i="2"/>
  <c r="F1571" i="2"/>
  <c r="I1572" i="2"/>
  <c r="H1572" i="2"/>
  <c r="G1571" i="2"/>
  <c r="I1755" i="2"/>
  <c r="H1755" i="2"/>
  <c r="F1754" i="2"/>
  <c r="F1615" i="2"/>
  <c r="I1616" i="2"/>
  <c r="F1780" i="2"/>
  <c r="I1781" i="2"/>
  <c r="G1780" i="2"/>
  <c r="G1522" i="2"/>
  <c r="F1522" i="2"/>
  <c r="I1523" i="2"/>
  <c r="H1523" i="2"/>
  <c r="I1726" i="2"/>
  <c r="G1725" i="2"/>
  <c r="F1725" i="2"/>
  <c r="H1726" i="2"/>
  <c r="F1404" i="2"/>
  <c r="I1405" i="2"/>
  <c r="H1405" i="2"/>
  <c r="G1404" i="2"/>
  <c r="F1440" i="2"/>
  <c r="I1441" i="2"/>
  <c r="H1441" i="2"/>
  <c r="H1440" i="2"/>
  <c r="F1307" i="2"/>
  <c r="I1308" i="2"/>
  <c r="H1308" i="2"/>
  <c r="G1307" i="2"/>
  <c r="F1429" i="2"/>
  <c r="I1430" i="2"/>
  <c r="H1430" i="2"/>
  <c r="G1429" i="2"/>
  <c r="I1403" i="2"/>
  <c r="G1402" i="2"/>
  <c r="F1402" i="2"/>
  <c r="H1403" i="2"/>
  <c r="F1197" i="2"/>
  <c r="I1198" i="2"/>
  <c r="H1198" i="2"/>
  <c r="G1222" i="2"/>
  <c r="F1222" i="2"/>
  <c r="I1223" i="2"/>
  <c r="H1223" i="2"/>
  <c r="F1202" i="2"/>
  <c r="I1203" i="2"/>
  <c r="H1203" i="2"/>
  <c r="F1081" i="2"/>
  <c r="I1082" i="2"/>
  <c r="H1082" i="2"/>
  <c r="F1032" i="2"/>
  <c r="I1033" i="2"/>
  <c r="G1032" i="2"/>
  <c r="H1033" i="2"/>
  <c r="H1032" i="2"/>
  <c r="F1001" i="2"/>
  <c r="I1002" i="2"/>
  <c r="G1001" i="2"/>
  <c r="H1002" i="2"/>
  <c r="G1076" i="2"/>
  <c r="F1076" i="2"/>
  <c r="I1077" i="2"/>
  <c r="H1077" i="2"/>
  <c r="F889" i="2"/>
  <c r="I890" i="2"/>
  <c r="H889" i="2"/>
  <c r="G889" i="2"/>
  <c r="F806" i="2"/>
  <c r="I807" i="2"/>
  <c r="H807" i="2"/>
  <c r="G806" i="2"/>
  <c r="I802" i="2"/>
  <c r="H802" i="2"/>
  <c r="F801" i="2"/>
  <c r="H801" i="2"/>
  <c r="G801" i="2"/>
  <c r="F815" i="2"/>
  <c r="I816" i="2"/>
  <c r="H815" i="2"/>
  <c r="G815" i="2"/>
  <c r="I815" i="2"/>
  <c r="F627" i="2"/>
  <c r="I628" i="2"/>
  <c r="H628" i="2"/>
  <c r="G627" i="2"/>
  <c r="F418" i="2"/>
  <c r="I419" i="2"/>
  <c r="H419" i="2"/>
  <c r="G418" i="2"/>
  <c r="I436" i="2"/>
  <c r="H436" i="2"/>
  <c r="F435" i="2"/>
  <c r="G435" i="2"/>
  <c r="I2244" i="2"/>
  <c r="F2243" i="2"/>
  <c r="H2244" i="2"/>
  <c r="H2371" i="2"/>
  <c r="F2282" i="2"/>
  <c r="I2283" i="2"/>
  <c r="H2283" i="2"/>
  <c r="F2152" i="2"/>
  <c r="I2153" i="2"/>
  <c r="I1750" i="2"/>
  <c r="H1750" i="2"/>
  <c r="F1749" i="2"/>
  <c r="G1749" i="2"/>
  <c r="F1607" i="2"/>
  <c r="I1608" i="2"/>
  <c r="H1608" i="2"/>
  <c r="I1394" i="2"/>
  <c r="H1394" i="2"/>
  <c r="G1393" i="2"/>
  <c r="F1393" i="2"/>
  <c r="F918" i="2"/>
  <c r="I919" i="2"/>
  <c r="H919" i="2"/>
  <c r="H918" i="2"/>
  <c r="G918" i="2"/>
  <c r="F374" i="2"/>
  <c r="I375" i="2"/>
  <c r="H374" i="2"/>
  <c r="H375" i="2"/>
  <c r="G374" i="2"/>
  <c r="I2327" i="2"/>
  <c r="F2326" i="2"/>
  <c r="H2327" i="2"/>
  <c r="F2385" i="2"/>
  <c r="I2386" i="2"/>
  <c r="I2374" i="2"/>
  <c r="F2373" i="2"/>
  <c r="F2209" i="2"/>
  <c r="I2210" i="2"/>
  <c r="J2210" i="2" s="1"/>
  <c r="G2407" i="2"/>
  <c r="F2162" i="2"/>
  <c r="I2163" i="2"/>
  <c r="G2162" i="2"/>
  <c r="I2214" i="2"/>
  <c r="F2213" i="2"/>
  <c r="G2213" i="2"/>
  <c r="I2280" i="2"/>
  <c r="G2279" i="2"/>
  <c r="F2279" i="2"/>
  <c r="I2176" i="2"/>
  <c r="G2175" i="2"/>
  <c r="F2175" i="2"/>
  <c r="I2262" i="2"/>
  <c r="H2262" i="2"/>
  <c r="F2261" i="2"/>
  <c r="I2168" i="2"/>
  <c r="H2168" i="2"/>
  <c r="F2167" i="2"/>
  <c r="I2171" i="2"/>
  <c r="G2170" i="2"/>
  <c r="F2170" i="2"/>
  <c r="F2208" i="2"/>
  <c r="I2209" i="2"/>
  <c r="G2208" i="2"/>
  <c r="G2135" i="2"/>
  <c r="F2135" i="2"/>
  <c r="I2136" i="2"/>
  <c r="F2071" i="2"/>
  <c r="H2072" i="2"/>
  <c r="I2072" i="2"/>
  <c r="H2019" i="2"/>
  <c r="F2000" i="2"/>
  <c r="I2001" i="2"/>
  <c r="G2081" i="2"/>
  <c r="F2081" i="2"/>
  <c r="I2082" i="2"/>
  <c r="H2165" i="2"/>
  <c r="F2164" i="2"/>
  <c r="I2165" i="2"/>
  <c r="F1955" i="2"/>
  <c r="I1956" i="2"/>
  <c r="H1956" i="2"/>
  <c r="I1880" i="2"/>
  <c r="G1879" i="2"/>
  <c r="F1879" i="2"/>
  <c r="G1754" i="2"/>
  <c r="F1789" i="2"/>
  <c r="I1790" i="2"/>
  <c r="H1790" i="2"/>
  <c r="F1769" i="2"/>
  <c r="I1770" i="2"/>
  <c r="H1770" i="2"/>
  <c r="I1851" i="2"/>
  <c r="F1850" i="2"/>
  <c r="H1851" i="2"/>
  <c r="G1850" i="2"/>
  <c r="I1785" i="2"/>
  <c r="G1784" i="2"/>
  <c r="F1784" i="2"/>
  <c r="I1723" i="2"/>
  <c r="F1722" i="2"/>
  <c r="H1723" i="2"/>
  <c r="G1722" i="2"/>
  <c r="G1792" i="2"/>
  <c r="I1815" i="2"/>
  <c r="F1814" i="2"/>
  <c r="G1814" i="2"/>
  <c r="I1696" i="2"/>
  <c r="G1695" i="2"/>
  <c r="F1695" i="2"/>
  <c r="F1531" i="2"/>
  <c r="I1532" i="2"/>
  <c r="H1532" i="2"/>
  <c r="F1742" i="2"/>
  <c r="I1743" i="2"/>
  <c r="H1743" i="2"/>
  <c r="I1734" i="2"/>
  <c r="F1733" i="2"/>
  <c r="H1734" i="2"/>
  <c r="I1547" i="2"/>
  <c r="F1546" i="2"/>
  <c r="G1546" i="2"/>
  <c r="H1547" i="2"/>
  <c r="I1490" i="2"/>
  <c r="H1490" i="2"/>
  <c r="G1489" i="2"/>
  <c r="F1489" i="2"/>
  <c r="I1739" i="2"/>
  <c r="H1739" i="2"/>
  <c r="G1738" i="2"/>
  <c r="F1738" i="2"/>
  <c r="G1490" i="2"/>
  <c r="F1490" i="2"/>
  <c r="I1491" i="2"/>
  <c r="H1491" i="2"/>
  <c r="I1375" i="2"/>
  <c r="F1374" i="2"/>
  <c r="H1375" i="2"/>
  <c r="I1465" i="2"/>
  <c r="G1464" i="2"/>
  <c r="F1464" i="2"/>
  <c r="F1279" i="2"/>
  <c r="I1280" i="2"/>
  <c r="G1279" i="2"/>
  <c r="H1280" i="2"/>
  <c r="I1374" i="2"/>
  <c r="G1373" i="2"/>
  <c r="F1373" i="2"/>
  <c r="I1409" i="2"/>
  <c r="F1408" i="2"/>
  <c r="H1409" i="2"/>
  <c r="I1220" i="2"/>
  <c r="H1220" i="2"/>
  <c r="G1219" i="2"/>
  <c r="F1219" i="2"/>
  <c r="H1108" i="2"/>
  <c r="I1108" i="2"/>
  <c r="F1107" i="2"/>
  <c r="G1107" i="2"/>
  <c r="G1081" i="2"/>
  <c r="I764" i="2"/>
  <c r="G763" i="2"/>
  <c r="F763" i="2"/>
  <c r="H763" i="2"/>
  <c r="H764" i="2"/>
  <c r="I972" i="2"/>
  <c r="G971" i="2"/>
  <c r="F971" i="2"/>
  <c r="H972" i="2"/>
  <c r="I694" i="2"/>
  <c r="G693" i="2"/>
  <c r="F693" i="2"/>
  <c r="H694" i="2"/>
  <c r="F642" i="2"/>
  <c r="I643" i="2"/>
  <c r="H643" i="2"/>
  <c r="G642" i="2"/>
  <c r="H642" i="2"/>
  <c r="I412" i="2"/>
  <c r="F411" i="2"/>
  <c r="H412" i="2"/>
  <c r="G411" i="2"/>
  <c r="I326" i="2"/>
  <c r="F325" i="2"/>
  <c r="H325" i="2"/>
  <c r="H326" i="2"/>
  <c r="G325" i="2"/>
  <c r="I345" i="2"/>
  <c r="G344" i="2"/>
  <c r="F344" i="2"/>
  <c r="H345" i="2"/>
  <c r="F73" i="2"/>
  <c r="I74" i="2"/>
  <c r="H74" i="2"/>
  <c r="H73" i="2"/>
  <c r="G73" i="2"/>
  <c r="I2206" i="2"/>
  <c r="G2205" i="2"/>
  <c r="F2205" i="2"/>
  <c r="F1708" i="2"/>
  <c r="H1709" i="2"/>
  <c r="I1709" i="2"/>
  <c r="G1506" i="2"/>
  <c r="F1506" i="2"/>
  <c r="H1507" i="2"/>
  <c r="I1507" i="2"/>
  <c r="F1253" i="2"/>
  <c r="I1254" i="2"/>
  <c r="I1081" i="2"/>
  <c r="G1080" i="2"/>
  <c r="F1080" i="2"/>
  <c r="H1081" i="2"/>
  <c r="I971" i="2"/>
  <c r="H971" i="2"/>
  <c r="F970" i="2"/>
  <c r="G970" i="2"/>
  <c r="F2365" i="2"/>
  <c r="I2366" i="2"/>
  <c r="G2365" i="2"/>
  <c r="I2436" i="2"/>
  <c r="H2436" i="2"/>
  <c r="F2435" i="2"/>
  <c r="I2446" i="2"/>
  <c r="G2445" i="2"/>
  <c r="F2445" i="2"/>
  <c r="F2353" i="2"/>
  <c r="I2354" i="2"/>
  <c r="H2354" i="2"/>
  <c r="I2434" i="2"/>
  <c r="F2433" i="2"/>
  <c r="H2328" i="2"/>
  <c r="I2371" i="2"/>
  <c r="F2370" i="2"/>
  <c r="G2371" i="2"/>
  <c r="F2227" i="2"/>
  <c r="I2228" i="2"/>
  <c r="G2200" i="2"/>
  <c r="H2243" i="2"/>
  <c r="G2349" i="2"/>
  <c r="F2349" i="2"/>
  <c r="I2350" i="2"/>
  <c r="I2311" i="2"/>
  <c r="F2310" i="2"/>
  <c r="H2311" i="2"/>
  <c r="I2417" i="2"/>
  <c r="F2416" i="2"/>
  <c r="G2416" i="2"/>
  <c r="H2366" i="2"/>
  <c r="F2346" i="2"/>
  <c r="I2347" i="2"/>
  <c r="H2347" i="2"/>
  <c r="H2428" i="2"/>
  <c r="H2445" i="2"/>
  <c r="F2309" i="2"/>
  <c r="I2310" i="2"/>
  <c r="I2361" i="2"/>
  <c r="F2360" i="2"/>
  <c r="H2361" i="2"/>
  <c r="G2418" i="2"/>
  <c r="I2353" i="2"/>
  <c r="G2352" i="2"/>
  <c r="F2352" i="2"/>
  <c r="I2356" i="2"/>
  <c r="F2355" i="2"/>
  <c r="F2330" i="2"/>
  <c r="I2331" i="2"/>
  <c r="H2331" i="2"/>
  <c r="I2232" i="2"/>
  <c r="F2231" i="2"/>
  <c r="I2364" i="2"/>
  <c r="G2363" i="2"/>
  <c r="F2363" i="2"/>
  <c r="F2193" i="2"/>
  <c r="I2194" i="2"/>
  <c r="F2198" i="2"/>
  <c r="I2199" i="2"/>
  <c r="H2199" i="2"/>
  <c r="G2167" i="2"/>
  <c r="I2198" i="2"/>
  <c r="G2197" i="2"/>
  <c r="F2197" i="2"/>
  <c r="I2243" i="2"/>
  <c r="F2242" i="2"/>
  <c r="F2130" i="2"/>
  <c r="I2131" i="2"/>
  <c r="G2165" i="2"/>
  <c r="F2165" i="2"/>
  <c r="I2166" i="2"/>
  <c r="H2166" i="2"/>
  <c r="I2195" i="2"/>
  <c r="F2194" i="2"/>
  <c r="G2194" i="2"/>
  <c r="F2188" i="2"/>
  <c r="I2189" i="2"/>
  <c r="H2189" i="2"/>
  <c r="G2276" i="2"/>
  <c r="I2158" i="2"/>
  <c r="H2158" i="2"/>
  <c r="F2157" i="2"/>
  <c r="F2178" i="2"/>
  <c r="I2179" i="2"/>
  <c r="H2179" i="2"/>
  <c r="G2164" i="2"/>
  <c r="F2206" i="2"/>
  <c r="H2207" i="2"/>
  <c r="I2207" i="2"/>
  <c r="F2134" i="2"/>
  <c r="I2135" i="2"/>
  <c r="H2135" i="2"/>
  <c r="G2134" i="2"/>
  <c r="G2066" i="2"/>
  <c r="F2026" i="2"/>
  <c r="I2027" i="2"/>
  <c r="H2027" i="2"/>
  <c r="F2016" i="2"/>
  <c r="I2017" i="2"/>
  <c r="H1928" i="2"/>
  <c r="F2079" i="2"/>
  <c r="H2080" i="2"/>
  <c r="I2080" i="2"/>
  <c r="G2033" i="2"/>
  <c r="H2026" i="2"/>
  <c r="I2010" i="2"/>
  <c r="F2009" i="2"/>
  <c r="G2009" i="2"/>
  <c r="I1986" i="2"/>
  <c r="F1985" i="2"/>
  <c r="G2046" i="2"/>
  <c r="F2046" i="2"/>
  <c r="I2047" i="2"/>
  <c r="G2093" i="2"/>
  <c r="I1864" i="2"/>
  <c r="G1863" i="2"/>
  <c r="F1863" i="2"/>
  <c r="H1864" i="2"/>
  <c r="F1829" i="2"/>
  <c r="I1830" i="2"/>
  <c r="H1830" i="2"/>
  <c r="F2118" i="2"/>
  <c r="I2119" i="2"/>
  <c r="H2119" i="2"/>
  <c r="F1865" i="2"/>
  <c r="I1866" i="2"/>
  <c r="H1866" i="2"/>
  <c r="G1865" i="2"/>
  <c r="G1922" i="2"/>
  <c r="G1887" i="2"/>
  <c r="I1888" i="2"/>
  <c r="F1887" i="2"/>
  <c r="I1780" i="2"/>
  <c r="G1779" i="2"/>
  <c r="F1779" i="2"/>
  <c r="H1780" i="2"/>
  <c r="G1746" i="2"/>
  <c r="I1800" i="2"/>
  <c r="H1800" i="2"/>
  <c r="F1799" i="2"/>
  <c r="G1799" i="2"/>
  <c r="F1696" i="2"/>
  <c r="I1697" i="2"/>
  <c r="H1697" i="2"/>
  <c r="F1727" i="2"/>
  <c r="I1728" i="2"/>
  <c r="H1728" i="2"/>
  <c r="G1727" i="2"/>
  <c r="I1673" i="2"/>
  <c r="G1672" i="2"/>
  <c r="F1672" i="2"/>
  <c r="H1673" i="2"/>
  <c r="F1721" i="2"/>
  <c r="I1722" i="2"/>
  <c r="H1722" i="2"/>
  <c r="G1721" i="2"/>
  <c r="H1721" i="2"/>
  <c r="I1618" i="2"/>
  <c r="G1617" i="2"/>
  <c r="F1617" i="2"/>
  <c r="F1821" i="2"/>
  <c r="I1822" i="2"/>
  <c r="H1822" i="2"/>
  <c r="F1628" i="2"/>
  <c r="I1629" i="2"/>
  <c r="H1629" i="2"/>
  <c r="G1628" i="2"/>
  <c r="F1491" i="2"/>
  <c r="I1492" i="2"/>
  <c r="H1492" i="2"/>
  <c r="G1491" i="2"/>
  <c r="G1627" i="2"/>
  <c r="F1627" i="2"/>
  <c r="I1628" i="2"/>
  <c r="H1628" i="2"/>
  <c r="H1627" i="2"/>
  <c r="F1479" i="2"/>
  <c r="I1480" i="2"/>
  <c r="H1480" i="2"/>
  <c r="G1479" i="2"/>
  <c r="H1166" i="2"/>
  <c r="F1165" i="2"/>
  <c r="I1166" i="2"/>
  <c r="H1258" i="2"/>
  <c r="I1209" i="2"/>
  <c r="G1208" i="2"/>
  <c r="F1208" i="2"/>
  <c r="I1098" i="2"/>
  <c r="H1098" i="2"/>
  <c r="G1097" i="2"/>
  <c r="F1097" i="2"/>
  <c r="F877" i="2"/>
  <c r="H878" i="2"/>
  <c r="I878" i="2"/>
  <c r="H877" i="2"/>
  <c r="G877" i="2"/>
  <c r="I686" i="2"/>
  <c r="H686" i="2"/>
  <c r="G685" i="2"/>
  <c r="F685" i="2"/>
  <c r="I432" i="2"/>
  <c r="H432" i="2"/>
  <c r="F431" i="2"/>
  <c r="G431" i="2"/>
  <c r="I376" i="2"/>
  <c r="H376" i="2"/>
  <c r="F375" i="2"/>
  <c r="G375" i="2"/>
  <c r="I288" i="2"/>
  <c r="F287" i="2"/>
  <c r="I287" i="2"/>
  <c r="H287" i="2"/>
  <c r="H288" i="2"/>
  <c r="G287" i="2"/>
  <c r="I440" i="2"/>
  <c r="H440" i="2"/>
  <c r="G439" i="2"/>
  <c r="F439" i="2"/>
  <c r="H439" i="2"/>
  <c r="F2003" i="2"/>
  <c r="I2004" i="2"/>
  <c r="H2004" i="2"/>
  <c r="G2003" i="2"/>
  <c r="G2014" i="2"/>
  <c r="F2014" i="2"/>
  <c r="I2015" i="2"/>
  <c r="I1590" i="2"/>
  <c r="G1589" i="2"/>
  <c r="F1589" i="2"/>
  <c r="I1182" i="2"/>
  <c r="H1182" i="2"/>
  <c r="F1181" i="2"/>
  <c r="H1181" i="2"/>
  <c r="G1181" i="2"/>
  <c r="I2334" i="2"/>
  <c r="G2333" i="2"/>
  <c r="F2333" i="2"/>
  <c r="I2279" i="2"/>
  <c r="F2278" i="2"/>
  <c r="H2279" i="2"/>
  <c r="G2278" i="2"/>
  <c r="F2339" i="2"/>
  <c r="I2340" i="2"/>
  <c r="H2340" i="2"/>
  <c r="I2321" i="2"/>
  <c r="G2320" i="2"/>
  <c r="F2320" i="2"/>
  <c r="I2405" i="2"/>
  <c r="F2404" i="2"/>
  <c r="H2405" i="2"/>
  <c r="I2346" i="2"/>
  <c r="G2345" i="2"/>
  <c r="F2345" i="2"/>
  <c r="I2433" i="2"/>
  <c r="I2345" i="2"/>
  <c r="F2344" i="2"/>
  <c r="H2345" i="2"/>
  <c r="I2323" i="2"/>
  <c r="G2322" i="2"/>
  <c r="F2322" i="2"/>
  <c r="G2232" i="2"/>
  <c r="I2312" i="2"/>
  <c r="F2311" i="2"/>
  <c r="I2337" i="2"/>
  <c r="G2336" i="2"/>
  <c r="F2336" i="2"/>
  <c r="F2362" i="2"/>
  <c r="I2363" i="2"/>
  <c r="H2363" i="2"/>
  <c r="I2259" i="2"/>
  <c r="G2258" i="2"/>
  <c r="F2258" i="2"/>
  <c r="I2404" i="2"/>
  <c r="F2403" i="2"/>
  <c r="H2393" i="2"/>
  <c r="G2243" i="2"/>
  <c r="F2127" i="2"/>
  <c r="I2128" i="2"/>
  <c r="H2128" i="2"/>
  <c r="G2161" i="2"/>
  <c r="F2161" i="2"/>
  <c r="I2162" i="2"/>
  <c r="H2162" i="2"/>
  <c r="I2190" i="2"/>
  <c r="F2189" i="2"/>
  <c r="G2189" i="2"/>
  <c r="H2190" i="2"/>
  <c r="I2237" i="2"/>
  <c r="I2148" i="2"/>
  <c r="F2147" i="2"/>
  <c r="G2148" i="2"/>
  <c r="G2209" i="2"/>
  <c r="I1944" i="2"/>
  <c r="H1944" i="2"/>
  <c r="F1943" i="2"/>
  <c r="G2000" i="2"/>
  <c r="F1983" i="2"/>
  <c r="I1984" i="2"/>
  <c r="H1984" i="2"/>
  <c r="G2082" i="2"/>
  <c r="H2058" i="2"/>
  <c r="I2019" i="2"/>
  <c r="G2018" i="2"/>
  <c r="F2018" i="2"/>
  <c r="H2012" i="2"/>
  <c r="I1989" i="2"/>
  <c r="G1988" i="2"/>
  <c r="F1988" i="2"/>
  <c r="F2001" i="2"/>
  <c r="I2002" i="2"/>
  <c r="H2002" i="2"/>
  <c r="F1844" i="2"/>
  <c r="I1845" i="2"/>
  <c r="H1845" i="2"/>
  <c r="G1844" i="2"/>
  <c r="F1862" i="2"/>
  <c r="I1863" i="2"/>
  <c r="G1862" i="2"/>
  <c r="H1863" i="2"/>
  <c r="I1913" i="2"/>
  <c r="G1912" i="2"/>
  <c r="F1912" i="2"/>
  <c r="F1942" i="2"/>
  <c r="I1943" i="2"/>
  <c r="I2014" i="2"/>
  <c r="H2014" i="2"/>
  <c r="F2013" i="2"/>
  <c r="I1874" i="2"/>
  <c r="G1873" i="2"/>
  <c r="F1873" i="2"/>
  <c r="F1732" i="2"/>
  <c r="I1733" i="2"/>
  <c r="H1733" i="2"/>
  <c r="I1849" i="2"/>
  <c r="F1848" i="2"/>
  <c r="G1848" i="2"/>
  <c r="H1758" i="2"/>
  <c r="H1746" i="2"/>
  <c r="G1980" i="2"/>
  <c r="F1980" i="2"/>
  <c r="I1981" i="2"/>
  <c r="H1981" i="2"/>
  <c r="G1789" i="2"/>
  <c r="F1539" i="2"/>
  <c r="I1540" i="2"/>
  <c r="H1540" i="2"/>
  <c r="G1539" i="2"/>
  <c r="G1633" i="2"/>
  <c r="F1633" i="2"/>
  <c r="I1634" i="2"/>
  <c r="H1634" i="2"/>
  <c r="I1744" i="2"/>
  <c r="H1744" i="2"/>
  <c r="G1743" i="2"/>
  <c r="F1743" i="2"/>
  <c r="F1614" i="2"/>
  <c r="I1615" i="2"/>
  <c r="G1614" i="2"/>
  <c r="H1615" i="2"/>
  <c r="F1713" i="2"/>
  <c r="I1714" i="2"/>
  <c r="F1820" i="2"/>
  <c r="I1821" i="2"/>
  <c r="G1820" i="2"/>
  <c r="H1821" i="2"/>
  <c r="I1724" i="2"/>
  <c r="G1723" i="2"/>
  <c r="F1723" i="2"/>
  <c r="I1641" i="2"/>
  <c r="H1641" i="2"/>
  <c r="F1640" i="2"/>
  <c r="G1640" i="2"/>
  <c r="F1410" i="2"/>
  <c r="I1411" i="2"/>
  <c r="H1411" i="2"/>
  <c r="G1410" i="2"/>
  <c r="F1610" i="2"/>
  <c r="I1611" i="2"/>
  <c r="G1610" i="2"/>
  <c r="H1611" i="2"/>
  <c r="I1404" i="2"/>
  <c r="F1403" i="2"/>
  <c r="G1403" i="2"/>
  <c r="H1404" i="2"/>
  <c r="G1085" i="2"/>
  <c r="I1096" i="2"/>
  <c r="F1095" i="2"/>
  <c r="G1095" i="2"/>
  <c r="H1095" i="2"/>
  <c r="H1096" i="2"/>
  <c r="I1095" i="2"/>
  <c r="I1213" i="2"/>
  <c r="G1212" i="2"/>
  <c r="F1212" i="2"/>
  <c r="H1213" i="2"/>
  <c r="F1096" i="2"/>
  <c r="I1097" i="2"/>
  <c r="H1097" i="2"/>
  <c r="G1096" i="2"/>
  <c r="I559" i="2"/>
  <c r="F558" i="2"/>
  <c r="H559" i="2"/>
  <c r="H558" i="2"/>
  <c r="G558" i="2"/>
  <c r="F564" i="2"/>
  <c r="I565" i="2"/>
  <c r="H565" i="2"/>
  <c r="G564" i="2"/>
  <c r="F217" i="2"/>
  <c r="I218" i="2"/>
  <c r="G217" i="2"/>
  <c r="H217" i="2"/>
  <c r="H157" i="2"/>
  <c r="I2359" i="2"/>
  <c r="F2358" i="2"/>
  <c r="H2359" i="2"/>
  <c r="G2358" i="2"/>
  <c r="I2403" i="2"/>
  <c r="G2402" i="2"/>
  <c r="F2402" i="2"/>
  <c r="I2129" i="2"/>
  <c r="H2129" i="2"/>
  <c r="G2128" i="2"/>
  <c r="F2128" i="2"/>
  <c r="F1797" i="2"/>
  <c r="I1798" i="2"/>
  <c r="G1797" i="2"/>
  <c r="F1486" i="2"/>
  <c r="I1487" i="2"/>
  <c r="H1487" i="2"/>
  <c r="F1427" i="2"/>
  <c r="I1428" i="2"/>
  <c r="H1428" i="2"/>
  <c r="G1427" i="2"/>
  <c r="G1253" i="2"/>
  <c r="F845" i="2"/>
  <c r="H846" i="2"/>
  <c r="I846" i="2"/>
  <c r="G845" i="2"/>
  <c r="F797" i="2"/>
  <c r="I798" i="2"/>
  <c r="H798" i="2"/>
  <c r="I404" i="2"/>
  <c r="H404" i="2"/>
  <c r="F403" i="2"/>
  <c r="G403" i="2"/>
  <c r="I2295" i="2"/>
  <c r="F2294" i="2"/>
  <c r="H2295" i="2"/>
  <c r="F2446" i="2"/>
  <c r="G2446" i="2"/>
  <c r="I2447" i="2"/>
  <c r="H2447" i="2"/>
  <c r="G2317" i="2"/>
  <c r="F2317" i="2"/>
  <c r="I2318" i="2"/>
  <c r="F2447" i="2"/>
  <c r="I2448" i="2"/>
  <c r="I2410" i="2"/>
  <c r="F2409" i="2"/>
  <c r="G2409" i="2"/>
  <c r="F2271" i="2"/>
  <c r="I2272" i="2"/>
  <c r="H2272" i="2"/>
  <c r="F2442" i="2"/>
  <c r="I2443" i="2"/>
  <c r="H2443" i="2"/>
  <c r="F2277" i="2"/>
  <c r="I2278" i="2"/>
  <c r="H2278" i="2"/>
  <c r="I2314" i="2"/>
  <c r="G2313" i="2"/>
  <c r="F2313" i="2"/>
  <c r="H2435" i="2"/>
  <c r="I2270" i="2"/>
  <c r="F2269" i="2"/>
  <c r="H2339" i="2"/>
  <c r="H2408" i="2"/>
  <c r="I2297" i="2"/>
  <c r="F2296" i="2"/>
  <c r="H2297" i="2"/>
  <c r="H2232" i="2"/>
  <c r="I2309" i="2"/>
  <c r="H2309" i="2"/>
  <c r="F2308" i="2"/>
  <c r="F2181" i="2"/>
  <c r="I2182" i="2"/>
  <c r="H2182" i="2"/>
  <c r="G2437" i="2"/>
  <c r="F2318" i="2"/>
  <c r="I2319" i="2"/>
  <c r="G2318" i="2"/>
  <c r="G2370" i="2"/>
  <c r="H2396" i="2"/>
  <c r="G2203" i="2"/>
  <c r="I2125" i="2"/>
  <c r="F2124" i="2"/>
  <c r="G2124" i="2"/>
  <c r="G2142" i="2"/>
  <c r="F2142" i="2"/>
  <c r="I2143" i="2"/>
  <c r="H2143" i="2"/>
  <c r="G2181" i="2"/>
  <c r="I2289" i="2"/>
  <c r="F2288" i="2"/>
  <c r="G2288" i="2"/>
  <c r="F2150" i="2"/>
  <c r="I2151" i="2"/>
  <c r="H2151" i="2"/>
  <c r="G2150" i="2"/>
  <c r="I2275" i="2"/>
  <c r="F2274" i="2"/>
  <c r="H2148" i="2"/>
  <c r="I2154" i="2"/>
  <c r="H2154" i="2"/>
  <c r="F2153" i="2"/>
  <c r="H2209" i="2"/>
  <c r="H2136" i="2"/>
  <c r="I2269" i="2"/>
  <c r="F2064" i="2"/>
  <c r="I2065" i="2"/>
  <c r="H2065" i="2"/>
  <c r="G2064" i="2"/>
  <c r="G2023" i="2"/>
  <c r="F2023" i="2"/>
  <c r="I2024" i="2"/>
  <c r="H2024" i="2"/>
  <c r="H2000" i="2"/>
  <c r="H1896" i="2"/>
  <c r="H2082" i="2"/>
  <c r="H2131" i="2"/>
  <c r="I1983" i="2"/>
  <c r="G1982" i="2"/>
  <c r="F1982" i="2"/>
  <c r="F2010" i="2"/>
  <c r="I2011" i="2"/>
  <c r="H2011" i="2"/>
  <c r="I1992" i="2"/>
  <c r="G1991" i="2"/>
  <c r="F1991" i="2"/>
  <c r="G1971" i="2"/>
  <c r="I2018" i="2"/>
  <c r="H2018" i="2"/>
  <c r="F2017" i="2"/>
  <c r="F2044" i="2"/>
  <c r="I2045" i="2"/>
  <c r="H2045" i="2"/>
  <c r="H1855" i="2"/>
  <c r="F1854" i="2"/>
  <c r="I1855" i="2"/>
  <c r="H1907" i="2"/>
  <c r="F1906" i="2"/>
  <c r="I1907" i="2"/>
  <c r="F1960" i="2"/>
  <c r="I1961" i="2"/>
  <c r="H1961" i="2"/>
  <c r="G1960" i="2"/>
  <c r="I1900" i="2"/>
  <c r="H1900" i="2"/>
  <c r="F1899" i="2"/>
  <c r="F1697" i="2"/>
  <c r="I1698" i="2"/>
  <c r="H1698" i="2"/>
  <c r="G1697" i="2"/>
  <c r="H1844" i="2"/>
  <c r="F1751" i="2"/>
  <c r="I1752" i="2"/>
  <c r="H1752" i="2"/>
  <c r="F1729" i="2"/>
  <c r="I1730" i="2"/>
  <c r="F1716" i="2"/>
  <c r="I1717" i="2"/>
  <c r="H1717" i="2"/>
  <c r="I1947" i="2"/>
  <c r="F1946" i="2"/>
  <c r="G1946" i="2"/>
  <c r="H1947" i="2"/>
  <c r="F1756" i="2"/>
  <c r="I1757" i="2"/>
  <c r="H1757" i="2"/>
  <c r="H1748" i="2"/>
  <c r="I1796" i="2"/>
  <c r="G1795" i="2"/>
  <c r="F1795" i="2"/>
  <c r="H1796" i="2"/>
  <c r="F1762" i="2"/>
  <c r="I1763" i="2"/>
  <c r="H1763" i="2"/>
  <c r="H1762" i="2"/>
  <c r="G1762" i="2"/>
  <c r="I1579" i="2"/>
  <c r="F1578" i="2"/>
  <c r="G1578" i="2"/>
  <c r="H1579" i="2"/>
  <c r="F1657" i="2"/>
  <c r="H1658" i="2"/>
  <c r="I1658" i="2"/>
  <c r="G1657" i="2"/>
  <c r="I1716" i="2"/>
  <c r="G1715" i="2"/>
  <c r="F1715" i="2"/>
  <c r="H1716" i="2"/>
  <c r="G1499" i="2"/>
  <c r="F1499" i="2"/>
  <c r="I1500" i="2"/>
  <c r="H1500" i="2"/>
  <c r="H1499" i="2"/>
  <c r="H1714" i="2"/>
  <c r="I1808" i="2"/>
  <c r="J1808" i="2" s="1"/>
  <c r="G1807" i="2"/>
  <c r="F1807" i="2"/>
  <c r="I1623" i="2"/>
  <c r="H1623" i="2"/>
  <c r="F1622" i="2"/>
  <c r="G1622" i="2"/>
  <c r="G1742" i="2"/>
  <c r="I1488" i="2"/>
  <c r="G1487" i="2"/>
  <c r="F1487" i="2"/>
  <c r="F1661" i="2"/>
  <c r="G1661" i="2"/>
  <c r="I1662" i="2"/>
  <c r="I1320" i="2"/>
  <c r="F1319" i="2"/>
  <c r="H1320" i="2"/>
  <c r="G1319" i="2"/>
  <c r="F1314" i="2"/>
  <c r="I1315" i="2"/>
  <c r="H1315" i="2"/>
  <c r="G1314" i="2"/>
  <c r="H1314" i="2"/>
  <c r="F1362" i="2"/>
  <c r="I1363" i="2"/>
  <c r="H1363" i="2"/>
  <c r="G1362" i="2"/>
  <c r="G1202" i="2"/>
  <c r="G1209" i="2"/>
  <c r="F1209" i="2"/>
  <c r="I1210" i="2"/>
  <c r="H1210" i="2"/>
  <c r="I1227" i="2"/>
  <c r="G1226" i="2"/>
  <c r="F1226" i="2"/>
  <c r="H1227" i="2"/>
  <c r="I864" i="2"/>
  <c r="H864" i="2"/>
  <c r="F863" i="2"/>
  <c r="G863" i="2"/>
  <c r="I727" i="2"/>
  <c r="H727" i="2"/>
  <c r="G726" i="2"/>
  <c r="F726" i="2"/>
  <c r="F701" i="2"/>
  <c r="I702" i="2"/>
  <c r="H702" i="2"/>
  <c r="G701" i="2"/>
  <c r="H701" i="2"/>
  <c r="F362" i="2"/>
  <c r="I363" i="2"/>
  <c r="H362" i="2"/>
  <c r="G362" i="2"/>
  <c r="H363" i="2"/>
  <c r="F473" i="2"/>
  <c r="I474" i="2"/>
  <c r="G473" i="2"/>
  <c r="F181" i="2"/>
  <c r="I182" i="2"/>
  <c r="H182" i="2"/>
  <c r="G181" i="2"/>
  <c r="H181" i="2"/>
  <c r="I2343" i="2"/>
  <c r="F2342" i="2"/>
  <c r="H2343" i="2"/>
  <c r="I2169" i="2"/>
  <c r="G2168" i="2"/>
  <c r="F2168" i="2"/>
  <c r="H2169" i="2"/>
  <c r="F2047" i="2"/>
  <c r="I2048" i="2"/>
  <c r="G2047" i="2"/>
  <c r="F1892" i="2"/>
  <c r="I1893" i="2"/>
  <c r="H1893" i="2"/>
  <c r="G1892" i="2"/>
  <c r="F1767" i="2"/>
  <c r="I1768" i="2"/>
  <c r="H1768" i="2"/>
  <c r="G1767" i="2"/>
  <c r="I1648" i="2"/>
  <c r="G1647" i="2"/>
  <c r="F1647" i="2"/>
  <c r="I1518" i="2"/>
  <c r="F1517" i="2"/>
  <c r="G1517" i="2"/>
  <c r="H1518" i="2"/>
  <c r="I2355" i="2"/>
  <c r="F2354" i="2"/>
  <c r="G2354" i="2"/>
  <c r="I2302" i="2"/>
  <c r="G2301" i="2"/>
  <c r="F2301" i="2"/>
  <c r="F2431" i="2"/>
  <c r="I2432" i="2"/>
  <c r="H2403" i="2"/>
  <c r="I2247" i="2"/>
  <c r="F2246" i="2"/>
  <c r="H2247" i="2"/>
  <c r="G2246" i="2"/>
  <c r="I2329" i="2"/>
  <c r="F2328" i="2"/>
  <c r="H2329" i="2"/>
  <c r="I2451" i="2"/>
  <c r="J2451" i="2" s="1"/>
  <c r="F2450" i="2"/>
  <c r="G2435" i="2"/>
  <c r="G2271" i="2"/>
  <c r="F2334" i="2"/>
  <c r="I2335" i="2"/>
  <c r="G2334" i="2"/>
  <c r="G2339" i="2"/>
  <c r="I2357" i="2"/>
  <c r="H2357" i="2"/>
  <c r="F2356" i="2"/>
  <c r="I2261" i="2"/>
  <c r="F2260" i="2"/>
  <c r="H2261" i="2"/>
  <c r="H2227" i="2"/>
  <c r="I2389" i="2"/>
  <c r="H2389" i="2"/>
  <c r="G2388" i="2"/>
  <c r="F2388" i="2"/>
  <c r="H2319" i="2"/>
  <c r="H2370" i="2"/>
  <c r="H2334" i="2"/>
  <c r="H2203" i="2"/>
  <c r="H2181" i="2"/>
  <c r="F2289" i="2"/>
  <c r="I2290" i="2"/>
  <c r="G2154" i="2"/>
  <c r="I2155" i="2"/>
  <c r="J2155" i="2" s="1"/>
  <c r="F2154" i="2"/>
  <c r="G2152" i="2"/>
  <c r="I2276" i="2"/>
  <c r="F2275" i="2"/>
  <c r="G2127" i="2"/>
  <c r="F2114" i="2"/>
  <c r="I2115" i="2"/>
  <c r="I2132" i="2"/>
  <c r="G2131" i="2"/>
  <c r="F2131" i="2"/>
  <c r="H2171" i="2"/>
  <c r="F2126" i="2"/>
  <c r="I2127" i="2"/>
  <c r="G2020" i="2"/>
  <c r="F2020" i="2"/>
  <c r="I2021" i="2"/>
  <c r="I1987" i="2"/>
  <c r="F1986" i="2"/>
  <c r="H1987" i="2"/>
  <c r="H2142" i="2"/>
  <c r="F2141" i="2"/>
  <c r="I2142" i="2"/>
  <c r="H1880" i="2"/>
  <c r="F2102" i="2"/>
  <c r="I2103" i="2"/>
  <c r="G2102" i="2"/>
  <c r="I1978" i="2"/>
  <c r="G1977" i="2"/>
  <c r="F1977" i="2"/>
  <c r="I1955" i="2"/>
  <c r="F1954" i="2"/>
  <c r="G1954" i="2"/>
  <c r="H1955" i="2"/>
  <c r="F2008" i="2"/>
  <c r="I2009" i="2"/>
  <c r="I2035" i="2"/>
  <c r="H2035" i="2"/>
  <c r="G2034" i="2"/>
  <c r="F2034" i="2"/>
  <c r="I2145" i="2"/>
  <c r="H2145" i="2"/>
  <c r="F2144" i="2"/>
  <c r="F1888" i="2"/>
  <c r="I1889" i="2"/>
  <c r="H1950" i="2"/>
  <c r="F1949" i="2"/>
  <c r="I1950" i="2"/>
  <c r="G1949" i="2"/>
  <c r="F2040" i="2"/>
  <c r="I2041" i="2"/>
  <c r="H2041" i="2"/>
  <c r="H1943" i="2"/>
  <c r="H1888" i="2"/>
  <c r="I2039" i="2"/>
  <c r="H2039" i="2"/>
  <c r="G2038" i="2"/>
  <c r="F2038" i="2"/>
  <c r="F1724" i="2"/>
  <c r="H1725" i="2"/>
  <c r="I1725" i="2"/>
  <c r="G1724" i="2"/>
  <c r="F1785" i="2"/>
  <c r="I1786" i="2"/>
  <c r="H1786" i="2"/>
  <c r="G1935" i="2"/>
  <c r="I1936" i="2"/>
  <c r="F1935" i="2"/>
  <c r="H1935" i="2"/>
  <c r="I1751" i="2"/>
  <c r="G1750" i="2"/>
  <c r="F1750" i="2"/>
  <c r="H1751" i="2"/>
  <c r="I1748" i="2"/>
  <c r="F1747" i="2"/>
  <c r="F1523" i="2"/>
  <c r="I1524" i="2"/>
  <c r="H1524" i="2"/>
  <c r="G1523" i="2"/>
  <c r="F1682" i="2"/>
  <c r="I1683" i="2"/>
  <c r="H1683" i="2"/>
  <c r="G1682" i="2"/>
  <c r="H1696" i="2"/>
  <c r="F1687" i="2"/>
  <c r="I1688" i="2"/>
  <c r="H1688" i="2"/>
  <c r="G1687" i="2"/>
  <c r="I1598" i="2"/>
  <c r="G1597" i="2"/>
  <c r="F1597" i="2"/>
  <c r="F1806" i="2"/>
  <c r="I1807" i="2"/>
  <c r="H1807" i="2"/>
  <c r="G1806" i="2"/>
  <c r="F1881" i="2"/>
  <c r="I1882" i="2"/>
  <c r="H1882" i="2"/>
  <c r="I1597" i="2"/>
  <c r="F1596" i="2"/>
  <c r="H1597" i="2"/>
  <c r="G1596" i="2"/>
  <c r="F1582" i="2"/>
  <c r="I1583" i="2"/>
  <c r="H1583" i="2"/>
  <c r="G1582" i="2"/>
  <c r="F1740" i="2"/>
  <c r="I1741" i="2"/>
  <c r="H1741" i="2"/>
  <c r="F1662" i="2"/>
  <c r="I1663" i="2"/>
  <c r="I1424" i="2"/>
  <c r="G1423" i="2"/>
  <c r="F1423" i="2"/>
  <c r="H1424" i="2"/>
  <c r="F1358" i="2"/>
  <c r="I1359" i="2"/>
  <c r="H1359" i="2"/>
  <c r="G1358" i="2"/>
  <c r="I1358" i="2"/>
  <c r="H1358" i="2"/>
  <c r="I1232" i="2"/>
  <c r="F1231" i="2"/>
  <c r="G1231" i="2"/>
  <c r="H1232" i="2"/>
  <c r="H1202" i="2"/>
  <c r="I1272" i="2"/>
  <c r="F1271" i="2"/>
  <c r="H1272" i="2"/>
  <c r="I1156" i="2"/>
  <c r="H1156" i="2"/>
  <c r="G1155" i="2"/>
  <c r="F1155" i="2"/>
  <c r="I997" i="2"/>
  <c r="H997" i="2"/>
  <c r="F996" i="2"/>
  <c r="G996" i="2"/>
  <c r="I529" i="2"/>
  <c r="F528" i="2"/>
  <c r="H529" i="2"/>
  <c r="G528" i="2"/>
  <c r="G589" i="2"/>
  <c r="F589" i="2"/>
  <c r="I590" i="2"/>
  <c r="F232" i="2"/>
  <c r="I233" i="2"/>
  <c r="G232" i="2"/>
  <c r="I158" i="2"/>
  <c r="G157" i="2"/>
  <c r="F157" i="2"/>
  <c r="H158" i="2"/>
  <c r="I123" i="2"/>
  <c r="H123" i="2"/>
  <c r="F122" i="2"/>
  <c r="G122" i="2"/>
  <c r="I75" i="2"/>
  <c r="H75" i="2"/>
  <c r="F74" i="2"/>
  <c r="G74" i="2"/>
  <c r="F81" i="2"/>
  <c r="I82" i="2"/>
  <c r="G81" i="2"/>
  <c r="H82" i="2"/>
  <c r="I2438" i="2"/>
  <c r="H2438" i="2"/>
  <c r="F2437" i="2"/>
  <c r="I2226" i="2"/>
  <c r="G2225" i="2"/>
  <c r="F2225" i="2"/>
  <c r="H2225" i="2"/>
  <c r="G2090" i="2"/>
  <c r="F2090" i="2"/>
  <c r="H2091" i="2"/>
  <c r="I2091" i="2"/>
  <c r="I2120" i="2"/>
  <c r="G2119" i="2"/>
  <c r="F2119" i="2"/>
  <c r="I1817" i="2"/>
  <c r="F1816" i="2"/>
  <c r="G1816" i="2"/>
  <c r="F2415" i="2"/>
  <c r="I2416" i="2"/>
  <c r="I2324" i="2"/>
  <c r="F2323" i="2"/>
  <c r="I2266" i="2"/>
  <c r="G2265" i="2"/>
  <c r="F2265" i="2"/>
  <c r="F2196" i="2"/>
  <c r="I2197" i="2"/>
  <c r="H2197" i="2"/>
  <c r="G2196" i="2"/>
  <c r="H2122" i="2"/>
  <c r="F2121" i="2"/>
  <c r="I2122" i="2"/>
  <c r="G2121" i="2"/>
  <c r="I2234" i="2"/>
  <c r="F2233" i="2"/>
  <c r="G2233" i="2"/>
  <c r="G2151" i="2"/>
  <c r="F2151" i="2"/>
  <c r="I2152" i="2"/>
  <c r="I2118" i="2"/>
  <c r="G2117" i="2"/>
  <c r="F2117" i="2"/>
  <c r="I2112" i="2"/>
  <c r="F2111" i="2"/>
  <c r="I2123" i="2"/>
  <c r="G2122" i="2"/>
  <c r="F2122" i="2"/>
  <c r="F2143" i="2"/>
  <c r="I2144" i="2"/>
  <c r="H2118" i="2"/>
  <c r="F2027" i="2"/>
  <c r="I2028" i="2"/>
  <c r="H2028" i="2"/>
  <c r="G2027" i="2"/>
  <c r="F2123" i="2"/>
  <c r="I2124" i="2"/>
  <c r="H2124" i="2"/>
  <c r="I2033" i="2"/>
  <c r="F2032" i="2"/>
  <c r="H2033" i="2"/>
  <c r="F2103" i="2"/>
  <c r="I2104" i="2"/>
  <c r="I1973" i="2"/>
  <c r="F1972" i="2"/>
  <c r="G1972" i="2"/>
  <c r="I1994" i="2"/>
  <c r="G1993" i="2"/>
  <c r="F1993" i="2"/>
  <c r="H1994" i="2"/>
  <c r="I2079" i="2"/>
  <c r="F2078" i="2"/>
  <c r="G2078" i="2"/>
  <c r="F1981" i="2"/>
  <c r="I1982" i="2"/>
  <c r="H1982" i="2"/>
  <c r="G2147" i="2"/>
  <c r="H1873" i="2"/>
  <c r="F1885" i="2"/>
  <c r="I1886" i="2"/>
  <c r="G1885" i="2"/>
  <c r="G1950" i="2"/>
  <c r="F1950" i="2"/>
  <c r="I1951" i="2"/>
  <c r="H1951" i="2"/>
  <c r="F1910" i="2"/>
  <c r="I1911" i="2"/>
  <c r="H1911" i="2"/>
  <c r="H1887" i="2"/>
  <c r="F1886" i="2"/>
  <c r="I1887" i="2"/>
  <c r="I1942" i="2"/>
  <c r="G1941" i="2"/>
  <c r="F1941" i="2"/>
  <c r="H1942" i="2"/>
  <c r="H1849" i="2"/>
  <c r="F1719" i="2"/>
  <c r="H1720" i="2"/>
  <c r="I1720" i="2"/>
  <c r="G1719" i="2"/>
  <c r="F1731" i="2"/>
  <c r="H1732" i="2"/>
  <c r="I1732" i="2"/>
  <c r="G1771" i="2"/>
  <c r="I1772" i="2"/>
  <c r="F1771" i="2"/>
  <c r="F1507" i="2"/>
  <c r="I1508" i="2"/>
  <c r="H1508" i="2"/>
  <c r="G1507" i="2"/>
  <c r="F1593" i="2"/>
  <c r="I1594" i="2"/>
  <c r="H1594" i="2"/>
  <c r="G1593" i="2"/>
  <c r="F1644" i="2"/>
  <c r="I1645" i="2"/>
  <c r="H1645" i="2"/>
  <c r="H1644" i="2"/>
  <c r="G1572" i="2"/>
  <c r="F1572" i="2"/>
  <c r="I1573" i="2"/>
  <c r="H1573" i="2"/>
  <c r="H1891" i="2"/>
  <c r="I1479" i="2"/>
  <c r="G1478" i="2"/>
  <c r="F1478" i="2"/>
  <c r="H1479" i="2"/>
  <c r="F1577" i="2"/>
  <c r="I1578" i="2"/>
  <c r="H1578" i="2"/>
  <c r="I1577" i="2"/>
  <c r="G1576" i="2"/>
  <c r="F1576" i="2"/>
  <c r="H1577" i="2"/>
  <c r="F1472" i="2"/>
  <c r="I1473" i="2"/>
  <c r="H1473" i="2"/>
  <c r="G1472" i="2"/>
  <c r="I1595" i="2"/>
  <c r="G1594" i="2"/>
  <c r="F1594" i="2"/>
  <c r="G1644" i="2"/>
  <c r="I1472" i="2"/>
  <c r="G1471" i="2"/>
  <c r="F1471" i="2"/>
  <c r="H1472" i="2"/>
  <c r="G1486" i="2"/>
  <c r="F1369" i="2"/>
  <c r="I1370" i="2"/>
  <c r="H1370" i="2"/>
  <c r="H1369" i="2"/>
  <c r="G1369" i="2"/>
  <c r="F1355" i="2"/>
  <c r="I1356" i="2"/>
  <c r="H1356" i="2"/>
  <c r="G1355" i="2"/>
  <c r="I1259" i="2"/>
  <c r="F1258" i="2"/>
  <c r="H1259" i="2"/>
  <c r="G1258" i="2"/>
  <c r="I1303" i="2"/>
  <c r="F1302" i="2"/>
  <c r="G1302" i="2"/>
  <c r="I1216" i="2"/>
  <c r="F1215" i="2"/>
  <c r="H1216" i="2"/>
  <c r="G1215" i="2"/>
  <c r="I1309" i="2"/>
  <c r="H1309" i="2"/>
  <c r="G1308" i="2"/>
  <c r="F1308" i="2"/>
  <c r="F1109" i="2"/>
  <c r="I1110" i="2"/>
  <c r="H1110" i="2"/>
  <c r="G1109" i="2"/>
  <c r="I1186" i="2"/>
  <c r="G1185" i="2"/>
  <c r="F1185" i="2"/>
  <c r="H1186" i="2"/>
  <c r="F1115" i="2"/>
  <c r="I1116" i="2"/>
  <c r="H1116" i="2"/>
  <c r="I1252" i="2"/>
  <c r="G1251" i="2"/>
  <c r="F1251" i="2"/>
  <c r="H1252" i="2"/>
  <c r="G1115" i="2"/>
  <c r="I1163" i="2"/>
  <c r="G1162" i="2"/>
  <c r="F1162" i="2"/>
  <c r="H1163" i="2"/>
  <c r="G1044" i="2"/>
  <c r="F1044" i="2"/>
  <c r="I1045" i="2"/>
  <c r="H1045" i="2"/>
  <c r="I974" i="2"/>
  <c r="G973" i="2"/>
  <c r="F973" i="2"/>
  <c r="H974" i="2"/>
  <c r="F1014" i="2"/>
  <c r="I1015" i="2"/>
  <c r="G1014" i="2"/>
  <c r="I633" i="2"/>
  <c r="G632" i="2"/>
  <c r="F632" i="2"/>
  <c r="H633" i="2"/>
  <c r="I348" i="2"/>
  <c r="H348" i="2"/>
  <c r="F347" i="2"/>
  <c r="G347" i="2"/>
  <c r="F369" i="2"/>
  <c r="I370" i="2"/>
  <c r="H370" i="2"/>
  <c r="G369" i="2"/>
  <c r="H369" i="2"/>
  <c r="I197" i="2"/>
  <c r="G196" i="2"/>
  <c r="F196" i="2"/>
  <c r="H197" i="2"/>
  <c r="F88" i="2"/>
  <c r="I89" i="2"/>
  <c r="H89" i="2"/>
  <c r="I88" i="2"/>
  <c r="H88" i="2"/>
  <c r="G88" i="2"/>
  <c r="I54" i="2"/>
  <c r="F53" i="2"/>
  <c r="I53" i="2"/>
  <c r="G53" i="2"/>
  <c r="H54" i="2"/>
  <c r="H53" i="2"/>
  <c r="I2378" i="2"/>
  <c r="F2377" i="2"/>
  <c r="G2377" i="2"/>
  <c r="F2430" i="2"/>
  <c r="G2430" i="2"/>
  <c r="I2431" i="2"/>
  <c r="H2431" i="2"/>
  <c r="G2375" i="2"/>
  <c r="H2112" i="2"/>
  <c r="H2152" i="2"/>
  <c r="I2254" i="2"/>
  <c r="F2253" i="2"/>
  <c r="F2399" i="2"/>
  <c r="I2400" i="2"/>
  <c r="F2394" i="2"/>
  <c r="H2395" i="2"/>
  <c r="I2395" i="2"/>
  <c r="I2428" i="2"/>
  <c r="G2427" i="2"/>
  <c r="F2427" i="2"/>
  <c r="F2291" i="2"/>
  <c r="I2292" i="2"/>
  <c r="H2292" i="2"/>
  <c r="I2328" i="2"/>
  <c r="F2327" i="2"/>
  <c r="G2394" i="2"/>
  <c r="I2313" i="2"/>
  <c r="F2312" i="2"/>
  <c r="H2313" i="2"/>
  <c r="H2353" i="2"/>
  <c r="J2440" i="2"/>
  <c r="H2448" i="2"/>
  <c r="I2273" i="2"/>
  <c r="G2272" i="2"/>
  <c r="F2272" i="2"/>
  <c r="H2427" i="2"/>
  <c r="I2248" i="2"/>
  <c r="G2247" i="2"/>
  <c r="F2247" i="2"/>
  <c r="G2337" i="2"/>
  <c r="G2251" i="2"/>
  <c r="F2251" i="2"/>
  <c r="I2252" i="2"/>
  <c r="H2252" i="2"/>
  <c r="F2300" i="2"/>
  <c r="I2301" i="2"/>
  <c r="H2301" i="2"/>
  <c r="G2300" i="2"/>
  <c r="I2325" i="2"/>
  <c r="F2324" i="2"/>
  <c r="H2325" i="2"/>
  <c r="G2269" i="2"/>
  <c r="F2186" i="2"/>
  <c r="I2187" i="2"/>
  <c r="H2187" i="2"/>
  <c r="G2111" i="2"/>
  <c r="G2158" i="2"/>
  <c r="F2158" i="2"/>
  <c r="I2159" i="2"/>
  <c r="H2159" i="2"/>
  <c r="I2239" i="2"/>
  <c r="G2238" i="2"/>
  <c r="F2238" i="2"/>
  <c r="H2144" i="2"/>
  <c r="I2316" i="2"/>
  <c r="F2315" i="2"/>
  <c r="G2315" i="2"/>
  <c r="I2095" i="2"/>
  <c r="F2094" i="2"/>
  <c r="G2094" i="2"/>
  <c r="I2138" i="2"/>
  <c r="H2138" i="2"/>
  <c r="G2137" i="2"/>
  <c r="F2137" i="2"/>
  <c r="I2100" i="2"/>
  <c r="J2100" i="2" s="1"/>
  <c r="G2099" i="2"/>
  <c r="F2099" i="2"/>
  <c r="F1978" i="2"/>
  <c r="I1979" i="2"/>
  <c r="H1979" i="2"/>
  <c r="I2102" i="2"/>
  <c r="G2101" i="2"/>
  <c r="F2101" i="2"/>
  <c r="I2157" i="2"/>
  <c r="G2156" i="2"/>
  <c r="F2156" i="2"/>
  <c r="I2156" i="2"/>
  <c r="H1986" i="2"/>
  <c r="H2009" i="2"/>
  <c r="I2068" i="2"/>
  <c r="G2067" i="2"/>
  <c r="F2067" i="2"/>
  <c r="I1954" i="2"/>
  <c r="H1954" i="2"/>
  <c r="F1953" i="2"/>
  <c r="G1953" i="2"/>
  <c r="I1970" i="2"/>
  <c r="F1969" i="2"/>
  <c r="G1969" i="2"/>
  <c r="H2147" i="2"/>
  <c r="F1951" i="2"/>
  <c r="I1952" i="2"/>
  <c r="G1951" i="2"/>
  <c r="H1952" i="2"/>
  <c r="H1874" i="2"/>
  <c r="F1878" i="2"/>
  <c r="I1879" i="2"/>
  <c r="H1879" i="2"/>
  <c r="I1919" i="2"/>
  <c r="H1919" i="2"/>
  <c r="F1918" i="2"/>
  <c r="G1918" i="2"/>
  <c r="G1849" i="2"/>
  <c r="F1699" i="2"/>
  <c r="I1700" i="2"/>
  <c r="H1700" i="2"/>
  <c r="I1910" i="2"/>
  <c r="G1909" i="2"/>
  <c r="F1909" i="2"/>
  <c r="H1910" i="2"/>
  <c r="F1947" i="2"/>
  <c r="I1948" i="2"/>
  <c r="H1948" i="2"/>
  <c r="H2156" i="2"/>
  <c r="G1711" i="2"/>
  <c r="F1711" i="2"/>
  <c r="I1712" i="2"/>
  <c r="H1712" i="2"/>
  <c r="G1785" i="2"/>
  <c r="I1885" i="2"/>
  <c r="H1885" i="2"/>
  <c r="G1884" i="2"/>
  <c r="F1884" i="2"/>
  <c r="F1737" i="2"/>
  <c r="I1738" i="2"/>
  <c r="H1738" i="2"/>
  <c r="F1641" i="2"/>
  <c r="I1642" i="2"/>
  <c r="H1642" i="2"/>
  <c r="G1641" i="2"/>
  <c r="I1468" i="2"/>
  <c r="H1468" i="2"/>
  <c r="G1467" i="2"/>
  <c r="F1467" i="2"/>
  <c r="H1467" i="2"/>
  <c r="G1556" i="2"/>
  <c r="F1556" i="2"/>
  <c r="I1557" i="2"/>
  <c r="I1691" i="2"/>
  <c r="G1690" i="2"/>
  <c r="F1690" i="2"/>
  <c r="I1787" i="2"/>
  <c r="H1787" i="2"/>
  <c r="G1786" i="2"/>
  <c r="F1786" i="2"/>
  <c r="H1557" i="2"/>
  <c r="G1577" i="2"/>
  <c r="F1561" i="2"/>
  <c r="I1562" i="2"/>
  <c r="H1562" i="2"/>
  <c r="I1593" i="2"/>
  <c r="G1592" i="2"/>
  <c r="F1592" i="2"/>
  <c r="H1593" i="2"/>
  <c r="H1486" i="2"/>
  <c r="I1357" i="2"/>
  <c r="H1357" i="2"/>
  <c r="G1356" i="2"/>
  <c r="F1356" i="2"/>
  <c r="F1255" i="2"/>
  <c r="I1256" i="2"/>
  <c r="H1256" i="2"/>
  <c r="H1255" i="2"/>
  <c r="G1255" i="2"/>
  <c r="F1399" i="2"/>
  <c r="I1400" i="2"/>
  <c r="H1400" i="2"/>
  <c r="G1399" i="2"/>
  <c r="I1086" i="2"/>
  <c r="H1086" i="2"/>
  <c r="F1085" i="2"/>
  <c r="H1115" i="2"/>
  <c r="F988" i="2"/>
  <c r="I989" i="2"/>
  <c r="H989" i="2"/>
  <c r="G988" i="2"/>
  <c r="F1179" i="2"/>
  <c r="I1180" i="2"/>
  <c r="H1179" i="2"/>
  <c r="G1179" i="2"/>
  <c r="H1180" i="2"/>
  <c r="I940" i="2"/>
  <c r="G939" i="2"/>
  <c r="F939" i="2"/>
  <c r="H940" i="2"/>
  <c r="H845" i="2"/>
  <c r="F841" i="2"/>
  <c r="I842" i="2"/>
  <c r="G841" i="2"/>
  <c r="H842" i="2"/>
  <c r="I801" i="2"/>
  <c r="G602" i="2"/>
  <c r="F602" i="2"/>
  <c r="I603" i="2"/>
  <c r="H603" i="2"/>
  <c r="F516" i="2"/>
  <c r="I517" i="2"/>
  <c r="H517" i="2"/>
  <c r="G516" i="2"/>
  <c r="F288" i="2"/>
  <c r="I289" i="2"/>
  <c r="H289" i="2"/>
  <c r="G288" i="2"/>
  <c r="G533" i="2"/>
  <c r="F533" i="2"/>
  <c r="I534" i="2"/>
  <c r="H534" i="2"/>
  <c r="F553" i="2"/>
  <c r="G553" i="2"/>
  <c r="I554" i="2"/>
  <c r="H554" i="2"/>
  <c r="I553" i="2"/>
  <c r="H553" i="2"/>
  <c r="F195" i="2"/>
  <c r="I196" i="2"/>
  <c r="H196" i="2"/>
  <c r="G195" i="2"/>
  <c r="I133" i="2"/>
  <c r="H133" i="2"/>
  <c r="G132" i="2"/>
  <c r="F132" i="2"/>
  <c r="G67" i="2"/>
  <c r="F67" i="2"/>
  <c r="I68" i="2"/>
  <c r="H68" i="2"/>
  <c r="I2362" i="2"/>
  <c r="G2361" i="2"/>
  <c r="F2361" i="2"/>
  <c r="I2180" i="2"/>
  <c r="H2180" i="2"/>
  <c r="G2179" i="2"/>
  <c r="F2179" i="2"/>
  <c r="F1996" i="2"/>
  <c r="I1997" i="2"/>
  <c r="G1996" i="2"/>
  <c r="I1495" i="2"/>
  <c r="G1494" i="2"/>
  <c r="F1494" i="2"/>
  <c r="H1495" i="2"/>
  <c r="H2324" i="2"/>
  <c r="I1972" i="2"/>
  <c r="F1971" i="2"/>
  <c r="H1972" i="2"/>
  <c r="I1949" i="2"/>
  <c r="F1948" i="2"/>
  <c r="H1949" i="2"/>
  <c r="G1948" i="2"/>
  <c r="F1841" i="2"/>
  <c r="I1842" i="2"/>
  <c r="H1842" i="2"/>
  <c r="F1812" i="2"/>
  <c r="H1813" i="2"/>
  <c r="G1812" i="2"/>
  <c r="I1813" i="2"/>
  <c r="H1812" i="2"/>
  <c r="I2030" i="2"/>
  <c r="H2030" i="2"/>
  <c r="G2029" i="2"/>
  <c r="F2029" i="2"/>
  <c r="H1871" i="2"/>
  <c r="I1871" i="2"/>
  <c r="F1870" i="2"/>
  <c r="G1870" i="2"/>
  <c r="F1840" i="2"/>
  <c r="I1841" i="2"/>
  <c r="G1840" i="2"/>
  <c r="H1841" i="2"/>
  <c r="F1694" i="2"/>
  <c r="H1695" i="2"/>
  <c r="I1695" i="2"/>
  <c r="G1694" i="2"/>
  <c r="G1916" i="2"/>
  <c r="F1916" i="2"/>
  <c r="I1917" i="2"/>
  <c r="H1917" i="2"/>
  <c r="I1906" i="2"/>
  <c r="G1905" i="2"/>
  <c r="F1905" i="2"/>
  <c r="I1985" i="2"/>
  <c r="G1984" i="2"/>
  <c r="F1984" i="2"/>
  <c r="I2057" i="2"/>
  <c r="H2057" i="2"/>
  <c r="F2056" i="2"/>
  <c r="I1711" i="2"/>
  <c r="H1711" i="2"/>
  <c r="G1710" i="2"/>
  <c r="F1710" i="2"/>
  <c r="F1764" i="2"/>
  <c r="I1765" i="2"/>
  <c r="H1765" i="2"/>
  <c r="G1764" i="2"/>
  <c r="F1826" i="2"/>
  <c r="I1827" i="2"/>
  <c r="H1827" i="2"/>
  <c r="F1689" i="2"/>
  <c r="I1690" i="2"/>
  <c r="H1690" i="2"/>
  <c r="G1689" i="2"/>
  <c r="F1714" i="2"/>
  <c r="I1715" i="2"/>
  <c r="H1715" i="2"/>
  <c r="G1714" i="2"/>
  <c r="G1540" i="2"/>
  <c r="F1540" i="2"/>
  <c r="I1541" i="2"/>
  <c r="G1787" i="2"/>
  <c r="I1788" i="2"/>
  <c r="F1787" i="2"/>
  <c r="I1445" i="2"/>
  <c r="G1444" i="2"/>
  <c r="F1444" i="2"/>
  <c r="F1513" i="2"/>
  <c r="I1514" i="2"/>
  <c r="H1514" i="2"/>
  <c r="G1513" i="2"/>
  <c r="I1545" i="2"/>
  <c r="G1544" i="2"/>
  <c r="F1544" i="2"/>
  <c r="H1545" i="2"/>
  <c r="H1427" i="2"/>
  <c r="F1529" i="2"/>
  <c r="I1530" i="2"/>
  <c r="H1530" i="2"/>
  <c r="I1481" i="2"/>
  <c r="G1480" i="2"/>
  <c r="F1480" i="2"/>
  <c r="I1625" i="2"/>
  <c r="G1624" i="2"/>
  <c r="F1624" i="2"/>
  <c r="H1625" i="2"/>
  <c r="I1346" i="2"/>
  <c r="F1345" i="2"/>
  <c r="G1345" i="2"/>
  <c r="H1346" i="2"/>
  <c r="F1323" i="2"/>
  <c r="I1324" i="2"/>
  <c r="H1324" i="2"/>
  <c r="G1323" i="2"/>
  <c r="I1334" i="2"/>
  <c r="G1333" i="2"/>
  <c r="F1333" i="2"/>
  <c r="H1334" i="2"/>
  <c r="G1247" i="2"/>
  <c r="F1247" i="2"/>
  <c r="I1248" i="2"/>
  <c r="H1248" i="2"/>
  <c r="I1474" i="2"/>
  <c r="H1474" i="2"/>
  <c r="F1473" i="2"/>
  <c r="I1291" i="2"/>
  <c r="F1290" i="2"/>
  <c r="H1290" i="2"/>
  <c r="G1290" i="2"/>
  <c r="H1291" i="2"/>
  <c r="I1184" i="2"/>
  <c r="F1183" i="2"/>
  <c r="H1184" i="2"/>
  <c r="G1183" i="2"/>
  <c r="I986" i="2"/>
  <c r="H986" i="2"/>
  <c r="G985" i="2"/>
  <c r="F985" i="2"/>
  <c r="F945" i="2"/>
  <c r="I946" i="2"/>
  <c r="H946" i="2"/>
  <c r="G945" i="2"/>
  <c r="F838" i="2"/>
  <c r="I839" i="2"/>
  <c r="H839" i="2"/>
  <c r="G838" i="2"/>
  <c r="I788" i="2"/>
  <c r="F787" i="2"/>
  <c r="G787" i="2"/>
  <c r="I443" i="2"/>
  <c r="F442" i="2"/>
  <c r="H442" i="2"/>
  <c r="G442" i="2"/>
  <c r="H443" i="2"/>
  <c r="G236" i="2"/>
  <c r="F236" i="2"/>
  <c r="I237" i="2"/>
  <c r="H237" i="2"/>
  <c r="G280" i="2"/>
  <c r="F280" i="2"/>
  <c r="I281" i="2"/>
  <c r="H281" i="2"/>
  <c r="F514" i="2"/>
  <c r="I515" i="2"/>
  <c r="H515" i="2"/>
  <c r="G2397" i="2"/>
  <c r="F2397" i="2"/>
  <c r="I2398" i="2"/>
  <c r="I2444" i="2"/>
  <c r="J2444" i="2" s="1"/>
  <c r="F2443" i="2"/>
  <c r="G2443" i="2"/>
  <c r="F2203" i="2"/>
  <c r="I2204" i="2"/>
  <c r="F2332" i="2"/>
  <c r="I2333" i="2"/>
  <c r="H2333" i="2"/>
  <c r="G2332" i="2"/>
  <c r="H2416" i="2"/>
  <c r="F2211" i="2"/>
  <c r="I2212" i="2"/>
  <c r="I1980" i="2"/>
  <c r="H1980" i="2"/>
  <c r="G1979" i="2"/>
  <c r="F1979" i="2"/>
  <c r="F2398" i="2"/>
  <c r="I2399" i="2"/>
  <c r="H2399" i="2"/>
  <c r="G2398" i="2"/>
  <c r="H2308" i="2"/>
  <c r="I2291" i="2"/>
  <c r="F2290" i="2"/>
  <c r="H2079" i="2"/>
  <c r="G2074" i="2"/>
  <c r="F2074" i="2"/>
  <c r="I2075" i="2"/>
  <c r="H2075" i="2"/>
  <c r="F2115" i="2"/>
  <c r="I2116" i="2"/>
  <c r="G2239" i="2"/>
  <c r="H2116" i="2"/>
  <c r="F2132" i="2"/>
  <c r="I2133" i="2"/>
  <c r="H2133" i="2"/>
  <c r="G2212" i="2"/>
  <c r="H2316" i="2"/>
  <c r="I2090" i="2"/>
  <c r="H2090" i="2"/>
  <c r="F2089" i="2"/>
  <c r="H2211" i="2"/>
  <c r="I2084" i="2"/>
  <c r="F2083" i="2"/>
  <c r="G2083" i="2"/>
  <c r="H2132" i="2"/>
  <c r="I2066" i="2"/>
  <c r="F2065" i="2"/>
  <c r="G2065" i="2"/>
  <c r="G2180" i="2"/>
  <c r="I2181" i="2"/>
  <c r="F2180" i="2"/>
  <c r="F2004" i="2"/>
  <c r="I2005" i="2"/>
  <c r="G2004" i="2"/>
  <c r="G1986" i="2"/>
  <c r="I2134" i="2"/>
  <c r="F2133" i="2"/>
  <c r="G2133" i="2"/>
  <c r="I2007" i="2"/>
  <c r="H2007" i="2"/>
  <c r="F2006" i="2"/>
  <c r="F2035" i="2"/>
  <c r="I2036" i="2"/>
  <c r="H2036" i="2"/>
  <c r="G2035" i="2"/>
  <c r="H2157" i="2"/>
  <c r="H1973" i="2"/>
  <c r="I1965" i="2"/>
  <c r="G1964" i="2"/>
  <c r="F1964" i="2"/>
  <c r="I1971" i="2"/>
  <c r="F1970" i="2"/>
  <c r="G1943" i="2"/>
  <c r="H1970" i="2"/>
  <c r="I1883" i="2"/>
  <c r="G1882" i="2"/>
  <c r="F1882" i="2"/>
  <c r="H1883" i="2"/>
  <c r="G2032" i="2"/>
  <c r="I1868" i="2"/>
  <c r="H1868" i="2"/>
  <c r="F1867" i="2"/>
  <c r="G1867" i="2"/>
  <c r="I1835" i="2"/>
  <c r="F1834" i="2"/>
  <c r="H1835" i="2"/>
  <c r="G1834" i="2"/>
  <c r="H1918" i="2"/>
  <c r="F1894" i="2"/>
  <c r="I1895" i="2"/>
  <c r="H1894" i="2"/>
  <c r="G1731" i="2"/>
  <c r="H1895" i="2"/>
  <c r="I2003" i="2"/>
  <c r="G2002" i="2"/>
  <c r="F2002" i="2"/>
  <c r="H2031" i="2"/>
  <c r="F1684" i="2"/>
  <c r="I1685" i="2"/>
  <c r="G1684" i="2"/>
  <c r="F1704" i="2"/>
  <c r="I1705" i="2"/>
  <c r="H1705" i="2"/>
  <c r="G1704" i="2"/>
  <c r="I1829" i="2"/>
  <c r="F1828" i="2"/>
  <c r="I1684" i="2"/>
  <c r="G1683" i="2"/>
  <c r="F1683" i="2"/>
  <c r="F1632" i="2"/>
  <c r="I1633" i="2"/>
  <c r="H1633" i="2"/>
  <c r="G1632" i="2"/>
  <c r="I1636" i="2"/>
  <c r="F1635" i="2"/>
  <c r="G1635" i="2"/>
  <c r="H1636" i="2"/>
  <c r="I1708" i="2"/>
  <c r="G1707" i="2"/>
  <c r="F1707" i="2"/>
  <c r="H1708" i="2"/>
  <c r="F1692" i="2"/>
  <c r="I1693" i="2"/>
  <c r="H1693" i="2"/>
  <c r="I1687" i="2"/>
  <c r="G1686" i="2"/>
  <c r="F1686" i="2"/>
  <c r="I1439" i="2"/>
  <c r="H1439" i="2"/>
  <c r="F1438" i="2"/>
  <c r="I1513" i="2"/>
  <c r="G1512" i="2"/>
  <c r="F1512" i="2"/>
  <c r="H1513" i="2"/>
  <c r="F1598" i="2"/>
  <c r="I1599" i="2"/>
  <c r="H1599" i="2"/>
  <c r="G1412" i="2"/>
  <c r="F1412" i="2"/>
  <c r="I1413" i="2"/>
  <c r="H1413" i="2"/>
  <c r="F1595" i="2"/>
  <c r="I1596" i="2"/>
  <c r="H1596" i="2"/>
  <c r="G1595" i="2"/>
  <c r="I1531" i="2"/>
  <c r="G1530" i="2"/>
  <c r="F1530" i="2"/>
  <c r="H1531" i="2"/>
  <c r="H1465" i="2"/>
  <c r="I1452" i="2"/>
  <c r="G1451" i="2"/>
  <c r="F1451" i="2"/>
  <c r="H1452" i="2"/>
  <c r="F1495" i="2"/>
  <c r="I1496" i="2"/>
  <c r="H1496" i="2"/>
  <c r="G1495" i="2"/>
  <c r="F1173" i="2"/>
  <c r="I1174" i="2"/>
  <c r="G1173" i="2"/>
  <c r="H1174" i="2"/>
  <c r="F1316" i="2"/>
  <c r="I1317" i="2"/>
  <c r="H1317" i="2"/>
  <c r="H1316" i="2"/>
  <c r="F1300" i="2"/>
  <c r="I1301" i="2"/>
  <c r="H1301" i="2"/>
  <c r="G1300" i="2"/>
  <c r="F1284" i="2"/>
  <c r="I1285" i="2"/>
  <c r="H1285" i="2"/>
  <c r="H1284" i="2"/>
  <c r="G1284" i="2"/>
  <c r="F1099" i="2"/>
  <c r="I1100" i="2"/>
  <c r="H1100" i="2"/>
  <c r="G1099" i="2"/>
  <c r="F1326" i="2"/>
  <c r="I1327" i="2"/>
  <c r="H1327" i="2"/>
  <c r="H1015" i="2"/>
  <c r="F865" i="2"/>
  <c r="H866" i="2"/>
  <c r="I866" i="2"/>
  <c r="G865" i="2"/>
  <c r="I874" i="2"/>
  <c r="G873" i="2"/>
  <c r="F873" i="2"/>
  <c r="H874" i="2"/>
  <c r="I715" i="2"/>
  <c r="F714" i="2"/>
  <c r="G714" i="2"/>
  <c r="H715" i="2"/>
  <c r="I660" i="2"/>
  <c r="G659" i="2"/>
  <c r="F659" i="2"/>
  <c r="H660" i="2"/>
  <c r="G204" i="2"/>
  <c r="F204" i="2"/>
  <c r="I205" i="2"/>
  <c r="H204" i="2"/>
  <c r="H205" i="2"/>
  <c r="I163" i="2"/>
  <c r="F162" i="2"/>
  <c r="H162" i="2"/>
  <c r="G162" i="2"/>
  <c r="H163" i="2"/>
  <c r="F2321" i="2"/>
  <c r="I2322" i="2"/>
  <c r="H2322" i="2"/>
  <c r="I2208" i="2"/>
  <c r="G2207" i="2"/>
  <c r="F2207" i="2"/>
  <c r="F1869" i="2"/>
  <c r="I1870" i="2"/>
  <c r="H1870" i="2"/>
  <c r="I2332" i="2"/>
  <c r="G2331" i="2"/>
  <c r="F2331" i="2"/>
  <c r="I2437" i="2"/>
  <c r="F2423" i="2"/>
  <c r="I2424" i="2"/>
  <c r="J2424" i="2" s="1"/>
  <c r="I2139" i="2"/>
  <c r="G2138" i="2"/>
  <c r="F2138" i="2"/>
  <c r="I2078" i="2"/>
  <c r="H2078" i="2"/>
  <c r="G2077" i="2"/>
  <c r="F2077" i="2"/>
  <c r="F1940" i="2"/>
  <c r="H1941" i="2"/>
  <c r="I1941" i="2"/>
  <c r="G2145" i="2"/>
  <c r="F2145" i="2"/>
  <c r="I2146" i="2"/>
  <c r="H2146" i="2"/>
  <c r="F2367" i="2"/>
  <c r="I2368" i="2"/>
  <c r="I2421" i="2"/>
  <c r="F2420" i="2"/>
  <c r="H2421" i="2"/>
  <c r="G2420" i="2"/>
  <c r="F2364" i="2"/>
  <c r="H2365" i="2"/>
  <c r="I2365" i="2"/>
  <c r="F2305" i="2"/>
  <c r="H2306" i="2"/>
  <c r="I2306" i="2"/>
  <c r="F2286" i="2"/>
  <c r="I2287" i="2"/>
  <c r="G2286" i="2"/>
  <c r="I2192" i="2"/>
  <c r="J2192" i="2" s="1"/>
  <c r="G2191" i="2"/>
  <c r="F2191" i="2"/>
  <c r="H2260" i="2"/>
  <c r="H2273" i="2"/>
  <c r="I2439" i="2"/>
  <c r="F2438" i="2"/>
  <c r="G2438" i="2"/>
  <c r="H2439" i="2"/>
  <c r="F2351" i="2"/>
  <c r="I2352" i="2"/>
  <c r="G2417" i="2"/>
  <c r="I2293" i="2"/>
  <c r="F2292" i="2"/>
  <c r="H2293" i="2"/>
  <c r="G2292" i="2"/>
  <c r="F2401" i="2"/>
  <c r="I2402" i="2"/>
  <c r="H2402" i="2"/>
  <c r="F2295" i="2"/>
  <c r="I2296" i="2"/>
  <c r="G2362" i="2"/>
  <c r="H2415" i="2"/>
  <c r="G2275" i="2"/>
  <c r="H2418" i="2"/>
  <c r="H2294" i="2"/>
  <c r="H2368" i="2"/>
  <c r="G2442" i="2"/>
  <c r="I2284" i="2"/>
  <c r="G2283" i="2"/>
  <c r="F2283" i="2"/>
  <c r="H2346" i="2"/>
  <c r="G2433" i="2"/>
  <c r="I2294" i="2"/>
  <c r="F2293" i="2"/>
  <c r="H2432" i="2"/>
  <c r="F2266" i="2"/>
  <c r="I2267" i="2"/>
  <c r="H2267" i="2"/>
  <c r="I2260" i="2"/>
  <c r="F2259" i="2"/>
  <c r="H2254" i="2"/>
  <c r="I2231" i="2"/>
  <c r="F2230" i="2"/>
  <c r="G2230" i="2"/>
  <c r="H2266" i="2"/>
  <c r="I2307" i="2"/>
  <c r="F2306" i="2"/>
  <c r="H2291" i="2"/>
  <c r="H2127" i="2"/>
  <c r="I2305" i="2"/>
  <c r="G2304" i="2"/>
  <c r="F2304" i="2"/>
  <c r="I2070" i="2"/>
  <c r="F2069" i="2"/>
  <c r="H2070" i="2"/>
  <c r="H2095" i="2"/>
  <c r="G2106" i="2"/>
  <c r="F2106" i="2"/>
  <c r="I2107" i="2"/>
  <c r="H2107" i="2"/>
  <c r="F2222" i="2"/>
  <c r="I2223" i="2"/>
  <c r="H2223" i="2"/>
  <c r="F2109" i="2"/>
  <c r="I2110" i="2"/>
  <c r="H2110" i="2"/>
  <c r="G2129" i="2"/>
  <c r="F2129" i="2"/>
  <c r="I2130" i="2"/>
  <c r="F2204" i="2"/>
  <c r="I2205" i="2"/>
  <c r="H2205" i="2"/>
  <c r="G2204" i="2"/>
  <c r="G2073" i="2"/>
  <c r="I2074" i="2"/>
  <c r="H2074" i="2"/>
  <c r="F2073" i="2"/>
  <c r="H2073" i="2"/>
  <c r="G2211" i="2"/>
  <c r="I2360" i="2"/>
  <c r="F2359" i="2"/>
  <c r="I2126" i="2"/>
  <c r="G2125" i="2"/>
  <c r="F2125" i="2"/>
  <c r="G2056" i="2"/>
  <c r="F2176" i="2"/>
  <c r="I2177" i="2"/>
  <c r="H2177" i="2"/>
  <c r="H1992" i="2"/>
  <c r="G1978" i="2"/>
  <c r="H2114" i="2"/>
  <c r="F2075" i="2"/>
  <c r="I2076" i="2"/>
  <c r="H2076" i="2"/>
  <c r="I2043" i="2"/>
  <c r="H2043" i="2"/>
  <c r="F2042" i="2"/>
  <c r="I2141" i="2"/>
  <c r="G2140" i="2"/>
  <c r="F2140" i="2"/>
  <c r="G2001" i="2"/>
  <c r="I2178" i="2"/>
  <c r="F2086" i="2"/>
  <c r="I2087" i="2"/>
  <c r="G2086" i="2"/>
  <c r="H2087" i="2"/>
  <c r="G1942" i="2"/>
  <c r="G1886" i="2"/>
  <c r="F1929" i="2"/>
  <c r="I1930" i="2"/>
  <c r="H1930" i="2"/>
  <c r="I1933" i="2"/>
  <c r="G1932" i="2"/>
  <c r="F1932" i="2"/>
  <c r="F1968" i="2"/>
  <c r="I1969" i="2"/>
  <c r="I2161" i="2"/>
  <c r="H2161" i="2"/>
  <c r="F2160" i="2"/>
  <c r="G2160" i="2"/>
  <c r="I1860" i="2"/>
  <c r="F1859" i="2"/>
  <c r="I1865" i="2"/>
  <c r="G1864" i="2"/>
  <c r="F1864" i="2"/>
  <c r="I1826" i="2"/>
  <c r="G1825" i="2"/>
  <c r="F1825" i="2"/>
  <c r="G1826" i="2"/>
  <c r="G1841" i="2"/>
  <c r="G1839" i="2"/>
  <c r="F1839" i="2"/>
  <c r="H1840" i="2"/>
  <c r="I1840" i="2"/>
  <c r="F1897" i="2"/>
  <c r="I1898" i="2"/>
  <c r="H1898" i="2"/>
  <c r="F1726" i="2"/>
  <c r="I1727" i="2"/>
  <c r="H1727" i="2"/>
  <c r="G1855" i="2"/>
  <c r="I1856" i="2"/>
  <c r="H1856" i="2"/>
  <c r="F1855" i="2"/>
  <c r="H1998" i="2"/>
  <c r="F1997" i="2"/>
  <c r="I1998" i="2"/>
  <c r="I1912" i="2"/>
  <c r="H1704" i="2"/>
  <c r="G1829" i="2"/>
  <c r="G1615" i="2"/>
  <c r="F1664" i="2"/>
  <c r="H1665" i="2"/>
  <c r="I1665" i="2"/>
  <c r="I1588" i="2"/>
  <c r="F1587" i="2"/>
  <c r="G1587" i="2"/>
  <c r="I1701" i="2"/>
  <c r="G1700" i="2"/>
  <c r="F1700" i="2"/>
  <c r="H1701" i="2"/>
  <c r="G1508" i="2"/>
  <c r="F1508" i="2"/>
  <c r="I1509" i="2"/>
  <c r="H1509" i="2"/>
  <c r="H1682" i="2"/>
  <c r="H1687" i="2"/>
  <c r="H1713" i="2"/>
  <c r="F1477" i="2"/>
  <c r="I1478" i="2"/>
  <c r="H1478" i="2"/>
  <c r="G1477" i="2"/>
  <c r="F1509" i="2"/>
  <c r="I1510" i="2"/>
  <c r="H1510" i="2"/>
  <c r="G1509" i="2"/>
  <c r="I1456" i="2"/>
  <c r="G1455" i="2"/>
  <c r="F1455" i="2"/>
  <c r="F1445" i="2"/>
  <c r="I1446" i="2"/>
  <c r="H1446" i="2"/>
  <c r="G1445" i="2"/>
  <c r="G1297" i="2"/>
  <c r="F1297" i="2"/>
  <c r="I1298" i="2"/>
  <c r="H1298" i="2"/>
  <c r="H1303" i="2"/>
  <c r="I1243" i="2"/>
  <c r="F1242" i="2"/>
  <c r="H1242" i="2"/>
  <c r="H1374" i="2"/>
  <c r="I1699" i="2"/>
  <c r="G1698" i="2"/>
  <c r="F1698" i="2"/>
  <c r="I1502" i="2"/>
  <c r="F1501" i="2"/>
  <c r="H1501" i="2"/>
  <c r="H1502" i="2"/>
  <c r="I1069" i="2"/>
  <c r="G1068" i="2"/>
  <c r="F1068" i="2"/>
  <c r="H1069" i="2"/>
  <c r="F855" i="2"/>
  <c r="I856" i="2"/>
  <c r="H856" i="2"/>
  <c r="I1090" i="2"/>
  <c r="G1089" i="2"/>
  <c r="F1089" i="2"/>
  <c r="H1090" i="2"/>
  <c r="I647" i="2"/>
  <c r="F646" i="2"/>
  <c r="G646" i="2"/>
  <c r="H647" i="2"/>
  <c r="I583" i="2"/>
  <c r="F582" i="2"/>
  <c r="H583" i="2"/>
  <c r="I468" i="2"/>
  <c r="H468" i="2"/>
  <c r="G467" i="2"/>
  <c r="F467" i="2"/>
  <c r="I401" i="2"/>
  <c r="J401" i="2" s="1"/>
  <c r="G400" i="2"/>
  <c r="F400" i="2"/>
  <c r="F151" i="2"/>
  <c r="G151" i="2"/>
  <c r="I152" i="2"/>
  <c r="H152" i="2"/>
  <c r="I151" i="2"/>
  <c r="I290" i="2"/>
  <c r="H290" i="2"/>
  <c r="F289" i="2"/>
  <c r="G289" i="2"/>
  <c r="H151" i="2"/>
  <c r="I2382" i="2"/>
  <c r="G2381" i="2"/>
  <c r="F2381" i="2"/>
  <c r="F1860" i="2"/>
  <c r="I1861" i="2"/>
  <c r="H1861" i="2"/>
  <c r="F1746" i="2"/>
  <c r="I1747" i="2"/>
  <c r="I2330" i="2"/>
  <c r="G2329" i="2"/>
  <c r="F2329" i="2"/>
  <c r="F2383" i="2"/>
  <c r="I2384" i="2"/>
  <c r="I2435" i="2"/>
  <c r="F2434" i="2"/>
  <c r="I2326" i="2"/>
  <c r="F2325" i="2"/>
  <c r="F2091" i="2"/>
  <c r="I2092" i="2"/>
  <c r="F2012" i="2"/>
  <c r="I2013" i="2"/>
  <c r="I2012" i="2"/>
  <c r="G2454" i="2"/>
  <c r="F2454" i="2"/>
  <c r="I2377" i="2"/>
  <c r="F2376" i="2"/>
  <c r="H2377" i="2"/>
  <c r="I2300" i="2"/>
  <c r="G2299" i="2"/>
  <c r="F2299" i="2"/>
  <c r="F2419" i="2"/>
  <c r="H2420" i="2"/>
  <c r="I2420" i="2"/>
  <c r="I2390" i="2"/>
  <c r="F2389" i="2"/>
  <c r="H2446" i="2"/>
  <c r="I2423" i="2"/>
  <c r="F2422" i="2"/>
  <c r="H2423" i="2"/>
  <c r="G2422" i="2"/>
  <c r="F2335" i="2"/>
  <c r="I2336" i="2"/>
  <c r="H2417" i="2"/>
  <c r="H2390" i="2"/>
  <c r="H2362" i="2"/>
  <c r="I2409" i="2"/>
  <c r="F2408" i="2"/>
  <c r="H2409" i="2"/>
  <c r="G2270" i="2"/>
  <c r="F2270" i="2"/>
  <c r="I2271" i="2"/>
  <c r="H2271" i="2"/>
  <c r="G2376" i="2"/>
  <c r="I2401" i="2"/>
  <c r="G2400" i="2"/>
  <c r="F2400" i="2"/>
  <c r="F2273" i="2"/>
  <c r="H2274" i="2"/>
  <c r="I2274" i="2"/>
  <c r="G2356" i="2"/>
  <c r="H2442" i="2"/>
  <c r="I2342" i="2"/>
  <c r="F2341" i="2"/>
  <c r="H2433" i="2"/>
  <c r="I2245" i="2"/>
  <c r="H2245" i="2"/>
  <c r="G2244" i="2"/>
  <c r="F2244" i="2"/>
  <c r="F2248" i="2"/>
  <c r="H2249" i="2"/>
  <c r="I2249" i="2"/>
  <c r="G2227" i="2"/>
  <c r="F2245" i="2"/>
  <c r="I2246" i="2"/>
  <c r="H2246" i="2"/>
  <c r="F2252" i="2"/>
  <c r="I2253" i="2"/>
  <c r="G2252" i="2"/>
  <c r="I2308" i="2"/>
  <c r="F2307" i="2"/>
  <c r="G2291" i="2"/>
  <c r="F2254" i="2"/>
  <c r="G2254" i="2"/>
  <c r="H2255" i="2"/>
  <c r="I2255" i="2"/>
  <c r="I2111" i="2"/>
  <c r="H2111" i="2"/>
  <c r="G2110" i="2"/>
  <c r="F2110" i="2"/>
  <c r="G2242" i="2"/>
  <c r="F2229" i="2"/>
  <c r="I2230" i="2"/>
  <c r="H2230" i="2"/>
  <c r="G2091" i="2"/>
  <c r="F2098" i="2"/>
  <c r="I2099" i="2"/>
  <c r="H2099" i="2"/>
  <c r="H2229" i="2"/>
  <c r="G2126" i="2"/>
  <c r="I2200" i="2"/>
  <c r="F2199" i="2"/>
  <c r="F2314" i="2"/>
  <c r="I2315" i="2"/>
  <c r="H2315" i="2"/>
  <c r="I2188" i="2"/>
  <c r="F2380" i="2"/>
  <c r="I2381" i="2"/>
  <c r="H2381" i="2"/>
  <c r="G2380" i="2"/>
  <c r="G2123" i="2"/>
  <c r="H2056" i="2"/>
  <c r="I2183" i="2"/>
  <c r="G2182" i="2"/>
  <c r="F2182" i="2"/>
  <c r="H1989" i="2"/>
  <c r="I2097" i="2"/>
  <c r="H2097" i="2"/>
  <c r="G2096" i="2"/>
  <c r="F2096" i="2"/>
  <c r="G2071" i="2"/>
  <c r="G2044" i="2"/>
  <c r="G2141" i="2"/>
  <c r="H2001" i="2"/>
  <c r="I2105" i="2"/>
  <c r="H2105" i="2"/>
  <c r="G2104" i="2"/>
  <c r="F2104" i="2"/>
  <c r="F2015" i="2"/>
  <c r="I2016" i="2"/>
  <c r="F2084" i="2"/>
  <c r="I2085" i="2"/>
  <c r="H2085" i="2"/>
  <c r="F1901" i="2"/>
  <c r="I1902" i="2"/>
  <c r="H1902" i="2"/>
  <c r="H1913" i="2"/>
  <c r="G1919" i="2"/>
  <c r="F1919" i="2"/>
  <c r="I1920" i="2"/>
  <c r="H1920" i="2"/>
  <c r="F1963" i="2"/>
  <c r="I1964" i="2"/>
  <c r="H1964" i="2"/>
  <c r="G1963" i="2"/>
  <c r="I1929" i="2"/>
  <c r="G1928" i="2"/>
  <c r="F1928" i="2"/>
  <c r="F1989" i="2"/>
  <c r="I1990" i="2"/>
  <c r="H1990" i="2"/>
  <c r="H1814" i="2"/>
  <c r="F2031" i="2"/>
  <c r="I2032" i="2"/>
  <c r="G2031" i="2"/>
  <c r="I2031" i="2"/>
  <c r="G1981" i="2"/>
  <c r="F1813" i="2"/>
  <c r="I1814" i="2"/>
  <c r="G1899" i="2"/>
  <c r="G1813" i="2"/>
  <c r="F1822" i="2"/>
  <c r="I1823" i="2"/>
  <c r="H1823" i="2"/>
  <c r="F1805" i="2"/>
  <c r="I1806" i="2"/>
  <c r="I1831" i="2"/>
  <c r="F1830" i="2"/>
  <c r="G1830" i="2"/>
  <c r="H1831" i="2"/>
  <c r="H2003" i="2"/>
  <c r="H1936" i="2"/>
  <c r="H1860" i="2"/>
  <c r="F1678" i="2"/>
  <c r="I1679" i="2"/>
  <c r="H1679" i="2"/>
  <c r="G1678" i="2"/>
  <c r="F1590" i="2"/>
  <c r="I1591" i="2"/>
  <c r="H1591" i="2"/>
  <c r="G1590" i="2"/>
  <c r="G1607" i="2"/>
  <c r="H1601" i="2"/>
  <c r="G1600" i="2"/>
  <c r="F1600" i="2"/>
  <c r="I1601" i="2"/>
  <c r="I1600" i="2"/>
  <c r="G1692" i="2"/>
  <c r="I1592" i="2"/>
  <c r="H1592" i="2"/>
  <c r="F1591" i="2"/>
  <c r="G1591" i="2"/>
  <c r="I1420" i="2"/>
  <c r="H1420" i="2"/>
  <c r="G1419" i="2"/>
  <c r="F1419" i="2"/>
  <c r="I1451" i="2"/>
  <c r="G1450" i="2"/>
  <c r="F1450" i="2"/>
  <c r="H1450" i="2"/>
  <c r="G1462" i="2"/>
  <c r="F1462" i="2"/>
  <c r="I1463" i="2"/>
  <c r="I1582" i="2"/>
  <c r="G1581" i="2"/>
  <c r="F1581" i="2"/>
  <c r="H1582" i="2"/>
  <c r="H1419" i="2"/>
  <c r="G1440" i="2"/>
  <c r="I1305" i="2"/>
  <c r="H1305" i="2"/>
  <c r="G1304" i="2"/>
  <c r="F1304" i="2"/>
  <c r="H1323" i="2"/>
  <c r="H1197" i="2"/>
  <c r="F1234" i="2"/>
  <c r="I1235" i="2"/>
  <c r="H1235" i="2"/>
  <c r="F1067" i="2"/>
  <c r="I1068" i="2"/>
  <c r="H1068" i="2"/>
  <c r="G1067" i="2"/>
  <c r="I1133" i="2"/>
  <c r="F1132" i="2"/>
  <c r="H1133" i="2"/>
  <c r="H1183" i="2"/>
  <c r="F777" i="2"/>
  <c r="I778" i="2"/>
  <c r="G777" i="2"/>
  <c r="H778" i="2"/>
  <c r="I781" i="2"/>
  <c r="F780" i="2"/>
  <c r="H781" i="2"/>
  <c r="H780" i="2"/>
  <c r="F628" i="2"/>
  <c r="I629" i="2"/>
  <c r="H629" i="2"/>
  <c r="G628" i="2"/>
  <c r="I742" i="2"/>
  <c r="F741" i="2"/>
  <c r="H741" i="2"/>
  <c r="G741" i="2"/>
  <c r="H742" i="2"/>
  <c r="I464" i="2"/>
  <c r="H464" i="2"/>
  <c r="F463" i="2"/>
  <c r="G463" i="2"/>
  <c r="I527" i="2"/>
  <c r="F526" i="2"/>
  <c r="H526" i="2"/>
  <c r="G526" i="2"/>
  <c r="H527" i="2"/>
  <c r="I78" i="2"/>
  <c r="G77" i="2"/>
  <c r="F77" i="2"/>
  <c r="I295" i="2"/>
  <c r="H295" i="2"/>
  <c r="G294" i="2"/>
  <c r="F294" i="2"/>
  <c r="H294" i="2"/>
  <c r="I208" i="2"/>
  <c r="H208" i="2"/>
  <c r="G207" i="2"/>
  <c r="F207" i="2"/>
  <c r="I306" i="2"/>
  <c r="G305" i="2"/>
  <c r="F305" i="2"/>
  <c r="H306" i="2"/>
  <c r="F255" i="2"/>
  <c r="I256" i="2"/>
  <c r="H256" i="2"/>
  <c r="G255" i="2"/>
  <c r="F213" i="2"/>
  <c r="I214" i="2"/>
  <c r="H214" i="2"/>
  <c r="I59" i="2"/>
  <c r="H59" i="2"/>
  <c r="F58" i="2"/>
  <c r="I58" i="2"/>
  <c r="H58" i="2"/>
  <c r="G58" i="2"/>
  <c r="I2430" i="2"/>
  <c r="G2429" i="2"/>
  <c r="F2429" i="2"/>
  <c r="F2174" i="2"/>
  <c r="I2175" i="2"/>
  <c r="H2175" i="2"/>
  <c r="G2174" i="2"/>
  <c r="I2113" i="2"/>
  <c r="F2112" i="2"/>
  <c r="H2113" i="2"/>
  <c r="I1764" i="2"/>
  <c r="G1763" i="2"/>
  <c r="F1763" i="2"/>
  <c r="F2215" i="2"/>
  <c r="I2216" i="2"/>
  <c r="H2216" i="2"/>
  <c r="F2237" i="2"/>
  <c r="I2238" i="2"/>
  <c r="I2387" i="2"/>
  <c r="F2386" i="2"/>
  <c r="H2208" i="2"/>
  <c r="F2093" i="2"/>
  <c r="H2094" i="2"/>
  <c r="I2094" i="2"/>
  <c r="H2239" i="2"/>
  <c r="F2350" i="2"/>
  <c r="I2351" i="2"/>
  <c r="H2351" i="2"/>
  <c r="G2350" i="2"/>
  <c r="F2280" i="2"/>
  <c r="H2281" i="2"/>
  <c r="I2281" i="2"/>
  <c r="I2264" i="2"/>
  <c r="G2263" i="2"/>
  <c r="F2263" i="2"/>
  <c r="H2280" i="2"/>
  <c r="G2399" i="2"/>
  <c r="H2206" i="2"/>
  <c r="I2250" i="2"/>
  <c r="G2249" i="2"/>
  <c r="F2249" i="2"/>
  <c r="F2235" i="2"/>
  <c r="G2235" i="2"/>
  <c r="I2236" i="2"/>
  <c r="J2236" i="2" s="1"/>
  <c r="F2337" i="2"/>
  <c r="I2338" i="2"/>
  <c r="H2200" i="2"/>
  <c r="G2215" i="2"/>
  <c r="F2298" i="2"/>
  <c r="I2299" i="2"/>
  <c r="H2299" i="2"/>
  <c r="I2263" i="2"/>
  <c r="F2262" i="2"/>
  <c r="H2263" i="2"/>
  <c r="G2262" i="2"/>
  <c r="F2255" i="2"/>
  <c r="I2256" i="2"/>
  <c r="I2242" i="2"/>
  <c r="G2241" i="2"/>
  <c r="F2241" i="2"/>
  <c r="H2242" i="2"/>
  <c r="F2218" i="2"/>
  <c r="I2219" i="2"/>
  <c r="H2219" i="2"/>
  <c r="G2218" i="2"/>
  <c r="H2092" i="2"/>
  <c r="F2226" i="2"/>
  <c r="I2227" i="2"/>
  <c r="G2103" i="2"/>
  <c r="H2123" i="2"/>
  <c r="I2185" i="2"/>
  <c r="H2185" i="2"/>
  <c r="G2184" i="2"/>
  <c r="F2184" i="2"/>
  <c r="F2190" i="2"/>
  <c r="I2191" i="2"/>
  <c r="H2191" i="2"/>
  <c r="I2225" i="2"/>
  <c r="I2385" i="2"/>
  <c r="F2384" i="2"/>
  <c r="G2384" i="2"/>
  <c r="G2095" i="2"/>
  <c r="F2037" i="2"/>
  <c r="I2038" i="2"/>
  <c r="H2038" i="2"/>
  <c r="G2037" i="2"/>
  <c r="F1958" i="2"/>
  <c r="I1959" i="2"/>
  <c r="H1959" i="2"/>
  <c r="I2071" i="2"/>
  <c r="H2071" i="2"/>
  <c r="F2070" i="2"/>
  <c r="F2063" i="2"/>
  <c r="I2064" i="2"/>
  <c r="H2064" i="2"/>
  <c r="G2039" i="2"/>
  <c r="I2040" i="2"/>
  <c r="F2039" i="2"/>
  <c r="F2139" i="2"/>
  <c r="I2140" i="2"/>
  <c r="H2140" i="2"/>
  <c r="F1994" i="2"/>
  <c r="I1995" i="2"/>
  <c r="H1995" i="2"/>
  <c r="I1867" i="2"/>
  <c r="F1866" i="2"/>
  <c r="G1866" i="2"/>
  <c r="F1922" i="2"/>
  <c r="I1923" i="2"/>
  <c r="H1923" i="2"/>
  <c r="H1953" i="2"/>
  <c r="H2173" i="2"/>
  <c r="G2172" i="2"/>
  <c r="F2172" i="2"/>
  <c r="I2173" i="2"/>
  <c r="I1988" i="2"/>
  <c r="H1988" i="2"/>
  <c r="G1987" i="2"/>
  <c r="F1987" i="2"/>
  <c r="I1928" i="2"/>
  <c r="G1927" i="2"/>
  <c r="F1927" i="2"/>
  <c r="I1859" i="2"/>
  <c r="H1859" i="2"/>
  <c r="G1858" i="2"/>
  <c r="F1858" i="2"/>
  <c r="G1793" i="2"/>
  <c r="F1793" i="2"/>
  <c r="I1794" i="2"/>
  <c r="H1794" i="2"/>
  <c r="H1826" i="2"/>
  <c r="G1824" i="2"/>
  <c r="F1824" i="2"/>
  <c r="I1825" i="2"/>
  <c r="H1825" i="2"/>
  <c r="G1906" i="2"/>
  <c r="G1871" i="2"/>
  <c r="F1871" i="2"/>
  <c r="I1872" i="2"/>
  <c r="H1872" i="2"/>
  <c r="F1673" i="2"/>
  <c r="I1674" i="2"/>
  <c r="H1674" i="2"/>
  <c r="H1829" i="2"/>
  <c r="G1584" i="2"/>
  <c r="F1584" i="2"/>
  <c r="I1585" i="2"/>
  <c r="H1585" i="2"/>
  <c r="G1675" i="2"/>
  <c r="F1675" i="2"/>
  <c r="I1676" i="2"/>
  <c r="H1676" i="2"/>
  <c r="I1657" i="2"/>
  <c r="G1656" i="2"/>
  <c r="F1656" i="2"/>
  <c r="F1511" i="2"/>
  <c r="I1512" i="2"/>
  <c r="H1512" i="2"/>
  <c r="I1570" i="2"/>
  <c r="H1570" i="2"/>
  <c r="G1569" i="2"/>
  <c r="F1569" i="2"/>
  <c r="G1380" i="2"/>
  <c r="F1380" i="2"/>
  <c r="I1381" i="2"/>
  <c r="F1504" i="2"/>
  <c r="I1505" i="2"/>
  <c r="H1505" i="2"/>
  <c r="G1504" i="2"/>
  <c r="I1437" i="2"/>
  <c r="F1436" i="2"/>
  <c r="G1436" i="2"/>
  <c r="G1561" i="2"/>
  <c r="H1302" i="2"/>
  <c r="H1355" i="2"/>
  <c r="G1374" i="2"/>
  <c r="I1067" i="2"/>
  <c r="G1066" i="2"/>
  <c r="F1066" i="2"/>
  <c r="H1067" i="2"/>
  <c r="I1183" i="2"/>
  <c r="H791" i="2"/>
  <c r="F790" i="2"/>
  <c r="I791" i="2"/>
  <c r="G790" i="2"/>
  <c r="G727" i="2"/>
  <c r="F727" i="2"/>
  <c r="I728" i="2"/>
  <c r="H728" i="2"/>
  <c r="F629" i="2"/>
  <c r="I630" i="2"/>
  <c r="H630" i="2"/>
  <c r="G629" i="2"/>
  <c r="F268" i="2"/>
  <c r="I269" i="2"/>
  <c r="H269" i="2"/>
  <c r="G268" i="2"/>
  <c r="I399" i="2"/>
  <c r="F398" i="2"/>
  <c r="G398" i="2"/>
  <c r="H399" i="2"/>
  <c r="I608" i="2"/>
  <c r="F607" i="2"/>
  <c r="G607" i="2"/>
  <c r="H607" i="2"/>
  <c r="H608" i="2"/>
  <c r="G514" i="2"/>
  <c r="I188" i="2"/>
  <c r="F187" i="2"/>
  <c r="G187" i="2"/>
  <c r="H188" i="2"/>
  <c r="I71" i="2"/>
  <c r="H71" i="2"/>
  <c r="G70" i="2"/>
  <c r="F70" i="2"/>
  <c r="H70" i="2"/>
  <c r="I70" i="2"/>
  <c r="H236" i="2"/>
  <c r="F110" i="2"/>
  <c r="I111" i="2"/>
  <c r="H111" i="2"/>
  <c r="G110" i="2"/>
  <c r="I30" i="2"/>
  <c r="H30" i="2"/>
  <c r="F29" i="2"/>
  <c r="G29" i="2"/>
  <c r="I257" i="2"/>
  <c r="G256" i="2"/>
  <c r="F256" i="2"/>
  <c r="H257" i="2"/>
  <c r="G47" i="2"/>
  <c r="I48" i="2"/>
  <c r="H48" i="2"/>
  <c r="F47" i="2"/>
  <c r="F2371" i="2"/>
  <c r="I2372" i="2"/>
  <c r="I1846" i="2"/>
  <c r="H1846" i="2"/>
  <c r="G1845" i="2"/>
  <c r="F1845" i="2"/>
  <c r="I2042" i="2"/>
  <c r="G2041" i="2"/>
  <c r="F2041" i="2"/>
  <c r="I2286" i="2"/>
  <c r="G2285" i="2"/>
  <c r="F2285" i="2"/>
  <c r="F2396" i="2"/>
  <c r="I2397" i="2"/>
  <c r="H2397" i="2"/>
  <c r="F2369" i="2"/>
  <c r="I2370" i="2"/>
  <c r="F2302" i="2"/>
  <c r="G2302" i="2"/>
  <c r="I2303" i="2"/>
  <c r="H2303" i="2"/>
  <c r="F2264" i="2"/>
  <c r="I2265" i="2"/>
  <c r="H2265" i="2"/>
  <c r="F2082" i="2"/>
  <c r="I2083" i="2"/>
  <c r="I2098" i="2"/>
  <c r="G2097" i="2"/>
  <c r="F2097" i="2"/>
  <c r="I2407" i="2"/>
  <c r="F2406" i="2"/>
  <c r="H2407" i="2"/>
  <c r="G2406" i="2"/>
  <c r="F2412" i="2"/>
  <c r="I2413" i="2"/>
  <c r="H2413" i="2"/>
  <c r="H2386" i="2"/>
  <c r="I2268" i="2"/>
  <c r="J2268" i="2" s="1"/>
  <c r="G2267" i="2"/>
  <c r="F2267" i="2"/>
  <c r="G2423" i="2"/>
  <c r="I2391" i="2"/>
  <c r="F2390" i="2"/>
  <c r="H2391" i="2"/>
  <c r="F2284" i="2"/>
  <c r="I2285" i="2"/>
  <c r="H2285" i="2"/>
  <c r="F2382" i="2"/>
  <c r="H2383" i="2"/>
  <c r="G2382" i="2"/>
  <c r="I2383" i="2"/>
  <c r="G2342" i="2"/>
  <c r="F2414" i="2"/>
  <c r="I2415" i="2"/>
  <c r="G2414" i="2"/>
  <c r="I2392" i="2"/>
  <c r="J2392" i="2" s="1"/>
  <c r="F2391" i="2"/>
  <c r="F2201" i="2"/>
  <c r="I2202" i="2"/>
  <c r="H2202" i="2"/>
  <c r="F2066" i="2"/>
  <c r="I2067" i="2"/>
  <c r="H2067" i="2"/>
  <c r="H2088" i="2"/>
  <c r="F2378" i="2"/>
  <c r="I2379" i="2"/>
  <c r="H2379" i="2"/>
  <c r="H2013" i="2"/>
  <c r="F2107" i="2"/>
  <c r="I2108" i="2"/>
  <c r="H2108" i="2"/>
  <c r="G2153" i="2"/>
  <c r="I2055" i="2"/>
  <c r="H2055" i="2"/>
  <c r="F2054" i="2"/>
  <c r="G2043" i="2"/>
  <c r="F2043" i="2"/>
  <c r="I2044" i="2"/>
  <c r="H2044" i="2"/>
  <c r="G2036" i="2"/>
  <c r="F2036" i="2"/>
  <c r="I2037" i="2"/>
  <c r="H2037" i="2"/>
  <c r="H2141" i="2"/>
  <c r="H1886" i="2"/>
  <c r="G1860" i="2"/>
  <c r="F1904" i="2"/>
  <c r="I1905" i="2"/>
  <c r="H1905" i="2"/>
  <c r="G1904" i="2"/>
  <c r="F1936" i="2"/>
  <c r="I1937" i="2"/>
  <c r="H1937" i="2"/>
  <c r="G1975" i="2"/>
  <c r="F1975" i="2"/>
  <c r="I1976" i="2"/>
  <c r="H1976" i="2"/>
  <c r="I2101" i="2"/>
  <c r="F1965" i="2"/>
  <c r="I1966" i="2"/>
  <c r="H1966" i="2"/>
  <c r="F1760" i="2"/>
  <c r="I1761" i="2"/>
  <c r="H1761" i="2"/>
  <c r="F1832" i="2"/>
  <c r="I1833" i="2"/>
  <c r="H1833" i="2"/>
  <c r="G1832" i="2"/>
  <c r="H1906" i="2"/>
  <c r="G1708" i="2"/>
  <c r="H1824" i="2"/>
  <c r="F1853" i="2"/>
  <c r="I1854" i="2"/>
  <c r="G1853" i="2"/>
  <c r="H1854" i="2"/>
  <c r="I1653" i="2"/>
  <c r="H1653" i="2"/>
  <c r="F1652" i="2"/>
  <c r="H1590" i="2"/>
  <c r="F1648" i="2"/>
  <c r="I1649" i="2"/>
  <c r="H1649" i="2"/>
  <c r="G1648" i="2"/>
  <c r="G1531" i="2"/>
  <c r="G1554" i="2"/>
  <c r="F1554" i="2"/>
  <c r="I1555" i="2"/>
  <c r="H1555" i="2"/>
  <c r="I1668" i="2"/>
  <c r="F1667" i="2"/>
  <c r="G1667" i="2"/>
  <c r="H1668" i="2"/>
  <c r="I1799" i="2"/>
  <c r="F1798" i="2"/>
  <c r="H1799" i="2"/>
  <c r="G1798" i="2"/>
  <c r="F1557" i="2"/>
  <c r="I1558" i="2"/>
  <c r="H1558" i="2"/>
  <c r="F1413" i="2"/>
  <c r="I1414" i="2"/>
  <c r="H1414" i="2"/>
  <c r="G1413" i="2"/>
  <c r="F1532" i="2"/>
  <c r="I1533" i="2"/>
  <c r="H1533" i="2"/>
  <c r="G1532" i="2"/>
  <c r="H1429" i="2"/>
  <c r="I1550" i="2"/>
  <c r="F1549" i="2"/>
  <c r="H1381" i="2"/>
  <c r="F1516" i="2"/>
  <c r="I1517" i="2"/>
  <c r="H1517" i="2"/>
  <c r="G1516" i="2"/>
  <c r="G1197" i="2"/>
  <c r="I1250" i="2"/>
  <c r="G1249" i="2"/>
  <c r="F1249" i="2"/>
  <c r="I1249" i="2"/>
  <c r="H1250" i="2"/>
  <c r="H1249" i="2"/>
  <c r="I1124" i="2"/>
  <c r="H1124" i="2"/>
  <c r="G1123" i="2"/>
  <c r="F1123" i="2"/>
  <c r="G1188" i="2"/>
  <c r="F1188" i="2"/>
  <c r="I1189" i="2"/>
  <c r="H1189" i="2"/>
  <c r="I1188" i="2"/>
  <c r="H1188" i="2"/>
  <c r="F719" i="2"/>
  <c r="I720" i="2"/>
  <c r="H720" i="2"/>
  <c r="G719" i="2"/>
  <c r="H1001" i="2"/>
  <c r="I693" i="2"/>
  <c r="G692" i="2"/>
  <c r="F692" i="2"/>
  <c r="H693" i="2"/>
  <c r="I610" i="2"/>
  <c r="H610" i="2"/>
  <c r="F609" i="2"/>
  <c r="G609" i="2"/>
  <c r="G797" i="2"/>
  <c r="I112" i="2"/>
  <c r="H112" i="2"/>
  <c r="F111" i="2"/>
  <c r="G111" i="2"/>
  <c r="F2405" i="2"/>
  <c r="I2406" i="2"/>
  <c r="H2406" i="2"/>
  <c r="I2373" i="2"/>
  <c r="F2372" i="2"/>
  <c r="H2373" i="2"/>
  <c r="F2183" i="2"/>
  <c r="H2184" i="2"/>
  <c r="I2184" i="2"/>
  <c r="I2089" i="2"/>
  <c r="G2088" i="2"/>
  <c r="F2088" i="2"/>
  <c r="F2316" i="2"/>
  <c r="H2317" i="2"/>
  <c r="I2317" i="2"/>
  <c r="I2388" i="2"/>
  <c r="H2388" i="2"/>
  <c r="F2387" i="2"/>
  <c r="H2369" i="2"/>
  <c r="F2348" i="2"/>
  <c r="I2349" i="2"/>
  <c r="H2349" i="2"/>
  <c r="G2348" i="2"/>
  <c r="F2319" i="2"/>
  <c r="I2320" i="2"/>
  <c r="F2357" i="2"/>
  <c r="I2358" i="2"/>
  <c r="H2358" i="2"/>
  <c r="H2376" i="2"/>
  <c r="G2396" i="2"/>
  <c r="H2350" i="2"/>
  <c r="H2320" i="2"/>
  <c r="F2303" i="2"/>
  <c r="I2304" i="2"/>
  <c r="I2348" i="2"/>
  <c r="G2347" i="2"/>
  <c r="F2347" i="2"/>
  <c r="I2369" i="2"/>
  <c r="G2368" i="2"/>
  <c r="F2368" i="2"/>
  <c r="G2282" i="2"/>
  <c r="F2257" i="2"/>
  <c r="I2258" i="2"/>
  <c r="H2258" i="2"/>
  <c r="I2394" i="2"/>
  <c r="G2393" i="2"/>
  <c r="F2393" i="2"/>
  <c r="J2449" i="2"/>
  <c r="I2339" i="2"/>
  <c r="F2338" i="2"/>
  <c r="H2302" i="2"/>
  <c r="G2277" i="2"/>
  <c r="F2410" i="2"/>
  <c r="I2411" i="2"/>
  <c r="H2411" i="2"/>
  <c r="H2250" i="2"/>
  <c r="H2248" i="2"/>
  <c r="H2204" i="2"/>
  <c r="I2257" i="2"/>
  <c r="F2256" i="2"/>
  <c r="G2234" i="2"/>
  <c r="G2237" i="2"/>
  <c r="I2241" i="2"/>
  <c r="F2240" i="2"/>
  <c r="G2220" i="2"/>
  <c r="H2251" i="2"/>
  <c r="F2250" i="2"/>
  <c r="I2251" i="2"/>
  <c r="H2106" i="2"/>
  <c r="I2106" i="2"/>
  <c r="G2105" i="2"/>
  <c r="F2105" i="2"/>
  <c r="G2183" i="2"/>
  <c r="I2414" i="2"/>
  <c r="G2413" i="2"/>
  <c r="F2413" i="2"/>
  <c r="I2375" i="2"/>
  <c r="F2374" i="2"/>
  <c r="H2375" i="2"/>
  <c r="F2287" i="2"/>
  <c r="I2288" i="2"/>
  <c r="I2344" i="2"/>
  <c r="F2343" i="2"/>
  <c r="H2410" i="2"/>
  <c r="I2282" i="2"/>
  <c r="F2281" i="2"/>
  <c r="G2281" i="2"/>
  <c r="G2364" i="2"/>
  <c r="H2282" i="2"/>
  <c r="G2324" i="2"/>
  <c r="I2380" i="2"/>
  <c r="G2379" i="2"/>
  <c r="F2379" i="2"/>
  <c r="G2255" i="2"/>
  <c r="G2321" i="2"/>
  <c r="H2387" i="2"/>
  <c r="I2450" i="2"/>
  <c r="G2335" i="2"/>
  <c r="I2412" i="2"/>
  <c r="G2411" i="2"/>
  <c r="F2411" i="2"/>
  <c r="G2287" i="2"/>
  <c r="I2422" i="2"/>
  <c r="F2421" i="2"/>
  <c r="H2270" i="2"/>
  <c r="G2374" i="2"/>
  <c r="G2357" i="2"/>
  <c r="G2188" i="2"/>
  <c r="G2245" i="2"/>
  <c r="I2224" i="2"/>
  <c r="J2224" i="2" s="1"/>
  <c r="G2223" i="2"/>
  <c r="F2223" i="2"/>
  <c r="H2330" i="2"/>
  <c r="F2166" i="2"/>
  <c r="I2167" i="2"/>
  <c r="H2167" i="2"/>
  <c r="G2222" i="2"/>
  <c r="H2429" i="2"/>
  <c r="G2257" i="2"/>
  <c r="H2234" i="2"/>
  <c r="H2237" i="2"/>
  <c r="F2195" i="2"/>
  <c r="I2196" i="2"/>
  <c r="H2196" i="2"/>
  <c r="I2220" i="2"/>
  <c r="F2219" i="2"/>
  <c r="H2220" i="2"/>
  <c r="I2229" i="2"/>
  <c r="G2228" i="2"/>
  <c r="F2228" i="2"/>
  <c r="F2366" i="2"/>
  <c r="I2367" i="2"/>
  <c r="G2366" i="2"/>
  <c r="H2218" i="2"/>
  <c r="F2087" i="2"/>
  <c r="I2088" i="2"/>
  <c r="I2077" i="2"/>
  <c r="F2076" i="2"/>
  <c r="H2176" i="2"/>
  <c r="H2193" i="2"/>
  <c r="I2298" i="2"/>
  <c r="G2297" i="2"/>
  <c r="F2297" i="2"/>
  <c r="G2385" i="2"/>
  <c r="H2084" i="2"/>
  <c r="G2010" i="2"/>
  <c r="G2054" i="2"/>
  <c r="H2153" i="2"/>
  <c r="I2051" i="2"/>
  <c r="G2050" i="2"/>
  <c r="F2050" i="2"/>
  <c r="H2051" i="2"/>
  <c r="G2019" i="2"/>
  <c r="I2109" i="2"/>
  <c r="F2108" i="2"/>
  <c r="G2108" i="2"/>
  <c r="I2150" i="2"/>
  <c r="H2150" i="2"/>
  <c r="G2149" i="2"/>
  <c r="F2149" i="2"/>
  <c r="F2068" i="2"/>
  <c r="I2069" i="2"/>
  <c r="H2069" i="2"/>
  <c r="G2068" i="2"/>
  <c r="F2120" i="2"/>
  <c r="I2121" i="2"/>
  <c r="G2120" i="2"/>
  <c r="H2121" i="2"/>
  <c r="H1901" i="2"/>
  <c r="I1876" i="2"/>
  <c r="F1875" i="2"/>
  <c r="H1876" i="2"/>
  <c r="G1875" i="2"/>
  <c r="H1834" i="2"/>
  <c r="H1899" i="2"/>
  <c r="F1883" i="2"/>
  <c r="I1884" i="2"/>
  <c r="H1884" i="2"/>
  <c r="G1881" i="2"/>
  <c r="H1933" i="2"/>
  <c r="F1938" i="2"/>
  <c r="I1939" i="2"/>
  <c r="H1939" i="2"/>
  <c r="G1938" i="2"/>
  <c r="F1973" i="2"/>
  <c r="I1974" i="2"/>
  <c r="H1974" i="2"/>
  <c r="F2171" i="2"/>
  <c r="I2172" i="2"/>
  <c r="H2172" i="2"/>
  <c r="G1968" i="2"/>
  <c r="H1754" i="2"/>
  <c r="F1773" i="2"/>
  <c r="I1774" i="2"/>
  <c r="G1773" i="2"/>
  <c r="G1760" i="2"/>
  <c r="F1801" i="2"/>
  <c r="I1802" i="2"/>
  <c r="H1802" i="2"/>
  <c r="H1772" i="2"/>
  <c r="G1801" i="2"/>
  <c r="F1874" i="2"/>
  <c r="I1875" i="2"/>
  <c r="H1875" i="2"/>
  <c r="F1810" i="2"/>
  <c r="I1811" i="2"/>
  <c r="H1811" i="2"/>
  <c r="G1810" i="2"/>
  <c r="J1914" i="2"/>
  <c r="H1904" i="2"/>
  <c r="I1852" i="2"/>
  <c r="H1852" i="2"/>
  <c r="F1851" i="2"/>
  <c r="I1666" i="2"/>
  <c r="G1665" i="2"/>
  <c r="F1665" i="2"/>
  <c r="H1666" i="2"/>
  <c r="H1756" i="2"/>
  <c r="H1815" i="2"/>
  <c r="G1538" i="2"/>
  <c r="F1538" i="2"/>
  <c r="H1539" i="2"/>
  <c r="I1539" i="2"/>
  <c r="G1563" i="2"/>
  <c r="F1563" i="2"/>
  <c r="I1564" i="2"/>
  <c r="H1564" i="2"/>
  <c r="H1648" i="2"/>
  <c r="I1719" i="2"/>
  <c r="G1718" i="2"/>
  <c r="F1718" i="2"/>
  <c r="H1719" i="2"/>
  <c r="H1718" i="2"/>
  <c r="H1445" i="2"/>
  <c r="H1550" i="2"/>
  <c r="I1543" i="2"/>
  <c r="G1542" i="2"/>
  <c r="F1542" i="2"/>
  <c r="H1543" i="2"/>
  <c r="H1504" i="2"/>
  <c r="I1392" i="2"/>
  <c r="G1391" i="2"/>
  <c r="F1391" i="2"/>
  <c r="H1392" i="2"/>
  <c r="F1527" i="2"/>
  <c r="I1528" i="2"/>
  <c r="H1528" i="2"/>
  <c r="H1527" i="2"/>
  <c r="G1527" i="2"/>
  <c r="I1436" i="2"/>
  <c r="G1435" i="2"/>
  <c r="F1435" i="2"/>
  <c r="F1310" i="2"/>
  <c r="I1311" i="2"/>
  <c r="H1311" i="2"/>
  <c r="G1310" i="2"/>
  <c r="G1271" i="2"/>
  <c r="I1442" i="2"/>
  <c r="H1442" i="2"/>
  <c r="F1441" i="2"/>
  <c r="G1441" i="2"/>
  <c r="G1165" i="2"/>
  <c r="H1212" i="2"/>
  <c r="H1099" i="2"/>
  <c r="I1325" i="2"/>
  <c r="H1325" i="2"/>
  <c r="G1324" i="2"/>
  <c r="F1324" i="2"/>
  <c r="I892" i="2"/>
  <c r="F891" i="2"/>
  <c r="G891" i="2"/>
  <c r="H892" i="2"/>
  <c r="I891" i="2"/>
  <c r="H891" i="2"/>
  <c r="H890" i="2"/>
  <c r="F811" i="2"/>
  <c r="I812" i="2"/>
  <c r="H812" i="2"/>
  <c r="H811" i="2"/>
  <c r="G811" i="2"/>
  <c r="H816" i="2"/>
  <c r="I673" i="2"/>
  <c r="G672" i="2"/>
  <c r="F672" i="2"/>
  <c r="H673" i="2"/>
  <c r="I428" i="2"/>
  <c r="H428" i="2"/>
  <c r="F427" i="2"/>
  <c r="H233" i="2"/>
  <c r="H797" i="2"/>
  <c r="I1908" i="2"/>
  <c r="G1907" i="2"/>
  <c r="F1907" i="2"/>
  <c r="H1908" i="2"/>
  <c r="I1991" i="2"/>
  <c r="H1991" i="2"/>
  <c r="G1990" i="2"/>
  <c r="F1990" i="2"/>
  <c r="G1868" i="2"/>
  <c r="F1868" i="2"/>
  <c r="H1869" i="2"/>
  <c r="I1869" i="2"/>
  <c r="G1962" i="2"/>
  <c r="F1962" i="2"/>
  <c r="I1963" i="2"/>
  <c r="G2173" i="2"/>
  <c r="F2173" i="2"/>
  <c r="I2174" i="2"/>
  <c r="I2026" i="2"/>
  <c r="G2025" i="2"/>
  <c r="F2025" i="2"/>
  <c r="I1897" i="2"/>
  <c r="G1896" i="2"/>
  <c r="F1896" i="2"/>
  <c r="G1995" i="2"/>
  <c r="F1995" i="2"/>
  <c r="I1996" i="2"/>
  <c r="H1996" i="2"/>
  <c r="I1931" i="2"/>
  <c r="G1930" i="2"/>
  <c r="F1930" i="2"/>
  <c r="G1819" i="2"/>
  <c r="I1820" i="2"/>
  <c r="F1819" i="2"/>
  <c r="H1820" i="2"/>
  <c r="I1824" i="2"/>
  <c r="G1823" i="2"/>
  <c r="F1823" i="2"/>
  <c r="F1744" i="2"/>
  <c r="I1745" i="2"/>
  <c r="H1745" i="2"/>
  <c r="G1744" i="2"/>
  <c r="I1801" i="2"/>
  <c r="F1800" i="2"/>
  <c r="H1801" i="2"/>
  <c r="G1800" i="2"/>
  <c r="G1900" i="2"/>
  <c r="F1900" i="2"/>
  <c r="I1901" i="2"/>
  <c r="I1940" i="2"/>
  <c r="G1939" i="2"/>
  <c r="F1939" i="2"/>
  <c r="I1760" i="2"/>
  <c r="G1759" i="2"/>
  <c r="F1759" i="2"/>
  <c r="F1794" i="2"/>
  <c r="I1795" i="2"/>
  <c r="H1795" i="2"/>
  <c r="F1555" i="2"/>
  <c r="I1556" i="2"/>
  <c r="H1556" i="2"/>
  <c r="G1555" i="2"/>
  <c r="F1669" i="2"/>
  <c r="I1670" i="2"/>
  <c r="H1670" i="2"/>
  <c r="F1827" i="2"/>
  <c r="I1828" i="2"/>
  <c r="H1828" i="2"/>
  <c r="G1827" i="2"/>
  <c r="F1618" i="2"/>
  <c r="I1619" i="2"/>
  <c r="H1619" i="2"/>
  <c r="G1745" i="2"/>
  <c r="F1745" i="2"/>
  <c r="I1746" i="2"/>
  <c r="I1703" i="2"/>
  <c r="F1702" i="2"/>
  <c r="G1702" i="2"/>
  <c r="F1701" i="2"/>
  <c r="I1702" i="2"/>
  <c r="H1702" i="2"/>
  <c r="G1852" i="2"/>
  <c r="F1852" i="2"/>
  <c r="I1853" i="2"/>
  <c r="H1853" i="2"/>
  <c r="G1570" i="2"/>
  <c r="F1570" i="2"/>
  <c r="H1571" i="2"/>
  <c r="I1571" i="2"/>
  <c r="G1483" i="2"/>
  <c r="F1483" i="2"/>
  <c r="H1484" i="2"/>
  <c r="I1484" i="2"/>
  <c r="G1611" i="2"/>
  <c r="I1612" i="2"/>
  <c r="F1611" i="2"/>
  <c r="I1735" i="2"/>
  <c r="F1734" i="2"/>
  <c r="H1735" i="2"/>
  <c r="G1659" i="2"/>
  <c r="F1659" i="2"/>
  <c r="I1660" i="2"/>
  <c r="I1721" i="2"/>
  <c r="G1720" i="2"/>
  <c r="F1720" i="2"/>
  <c r="F1545" i="2"/>
  <c r="I1546" i="2"/>
  <c r="H1546" i="2"/>
  <c r="I1470" i="2"/>
  <c r="F1469" i="2"/>
  <c r="F1602" i="2"/>
  <c r="I1603" i="2"/>
  <c r="I1438" i="2"/>
  <c r="F1437" i="2"/>
  <c r="H1438" i="2"/>
  <c r="I1499" i="2"/>
  <c r="G1498" i="2"/>
  <c r="F1498" i="2"/>
  <c r="G1643" i="2"/>
  <c r="F1643" i="2"/>
  <c r="I1644" i="2"/>
  <c r="I1443" i="2"/>
  <c r="F1442" i="2"/>
  <c r="I1440" i="2"/>
  <c r="G1439" i="2"/>
  <c r="F1439" i="2"/>
  <c r="F1502" i="2"/>
  <c r="I1503" i="2"/>
  <c r="H1503" i="2"/>
  <c r="I1471" i="2"/>
  <c r="H1471" i="2"/>
  <c r="F1470" i="2"/>
  <c r="G1318" i="2"/>
  <c r="F1157" i="2"/>
  <c r="I1158" i="2"/>
  <c r="G1157" i="2"/>
  <c r="F1337" i="2"/>
  <c r="I1338" i="2"/>
  <c r="H1338" i="2"/>
  <c r="F1291" i="2"/>
  <c r="I1292" i="2"/>
  <c r="H1292" i="2"/>
  <c r="F1431" i="2"/>
  <c r="I1432" i="2"/>
  <c r="H1432" i="2"/>
  <c r="F1237" i="2"/>
  <c r="I1238" i="2"/>
  <c r="H1238" i="2"/>
  <c r="I1372" i="2"/>
  <c r="F1371" i="2"/>
  <c r="G1371" i="2"/>
  <c r="F1365" i="2"/>
  <c r="I1366" i="2"/>
  <c r="I1200" i="2"/>
  <c r="F1199" i="2"/>
  <c r="G1364" i="2"/>
  <c r="F1364" i="2"/>
  <c r="I1365" i="2"/>
  <c r="G1204" i="2"/>
  <c r="F1204" i="2"/>
  <c r="I1205" i="2"/>
  <c r="H1205" i="2"/>
  <c r="I1120" i="2"/>
  <c r="F1119" i="2"/>
  <c r="F1127" i="2"/>
  <c r="H1128" i="2"/>
  <c r="I1128" i="2"/>
  <c r="I1296" i="2"/>
  <c r="G1295" i="2"/>
  <c r="F1295" i="2"/>
  <c r="F1078" i="2"/>
  <c r="I1079" i="2"/>
  <c r="I1085" i="2"/>
  <c r="F1084" i="2"/>
  <c r="G1060" i="2"/>
  <c r="F1060" i="2"/>
  <c r="I1061" i="2"/>
  <c r="I1241" i="2"/>
  <c r="F1240" i="2"/>
  <c r="H1241" i="2"/>
  <c r="F1246" i="2"/>
  <c r="I1247" i="2"/>
  <c r="H1247" i="2"/>
  <c r="G1246" i="2"/>
  <c r="F1230" i="2"/>
  <c r="I1231" i="2"/>
  <c r="H1231" i="2"/>
  <c r="F1051" i="2"/>
  <c r="I1052" i="2"/>
  <c r="G1051" i="2"/>
  <c r="F1040" i="2"/>
  <c r="I1041" i="2"/>
  <c r="G1040" i="2"/>
  <c r="H1041" i="2"/>
  <c r="F1282" i="2"/>
  <c r="I1283" i="2"/>
  <c r="H1283" i="2"/>
  <c r="G1282" i="2"/>
  <c r="F978" i="2"/>
  <c r="I979" i="2"/>
  <c r="G997" i="2"/>
  <c r="F997" i="2"/>
  <c r="I998" i="2"/>
  <c r="H998" i="2"/>
  <c r="F1004" i="2"/>
  <c r="I1005" i="2"/>
  <c r="H1005" i="2"/>
  <c r="I1071" i="2"/>
  <c r="F1070" i="2"/>
  <c r="H1071" i="2"/>
  <c r="I1122" i="2"/>
  <c r="G1121" i="2"/>
  <c r="F1121" i="2"/>
  <c r="I1118" i="2"/>
  <c r="F1117" i="2"/>
  <c r="H1118" i="2"/>
  <c r="I1008" i="2"/>
  <c r="F1007" i="2"/>
  <c r="I1157" i="2"/>
  <c r="G1035" i="2"/>
  <c r="F930" i="2"/>
  <c r="I931" i="2"/>
  <c r="H931" i="2"/>
  <c r="I732" i="2"/>
  <c r="G731" i="2"/>
  <c r="F731" i="2"/>
  <c r="F774" i="2"/>
  <c r="I775" i="2"/>
  <c r="H775" i="2"/>
  <c r="I824" i="2"/>
  <c r="H824" i="2"/>
  <c r="G823" i="2"/>
  <c r="F823" i="2"/>
  <c r="I944" i="2"/>
  <c r="H944" i="2"/>
  <c r="F943" i="2"/>
  <c r="I1019" i="2"/>
  <c r="H1019" i="2"/>
  <c r="F1018" i="2"/>
  <c r="F747" i="2"/>
  <c r="I748" i="2"/>
  <c r="H748" i="2"/>
  <c r="F779" i="2"/>
  <c r="I780" i="2"/>
  <c r="F827" i="2"/>
  <c r="H828" i="2"/>
  <c r="I828" i="2"/>
  <c r="I724" i="2"/>
  <c r="G723" i="2"/>
  <c r="F723" i="2"/>
  <c r="I811" i="2"/>
  <c r="G810" i="2"/>
  <c r="F810" i="2"/>
  <c r="I772" i="2"/>
  <c r="G771" i="2"/>
  <c r="F771" i="2"/>
  <c r="H772" i="2"/>
  <c r="F622" i="2"/>
  <c r="I623" i="2"/>
  <c r="I617" i="2"/>
  <c r="F616" i="2"/>
  <c r="F733" i="2"/>
  <c r="I734" i="2"/>
  <c r="H734" i="2"/>
  <c r="F765" i="2"/>
  <c r="I766" i="2"/>
  <c r="H766" i="2"/>
  <c r="I588" i="2"/>
  <c r="F587" i="2"/>
  <c r="H405" i="2"/>
  <c r="I949" i="2"/>
  <c r="I627" i="2"/>
  <c r="G626" i="2"/>
  <c r="F626" i="2"/>
  <c r="H615" i="2"/>
  <c r="F536" i="2"/>
  <c r="G536" i="2"/>
  <c r="I537" i="2"/>
  <c r="H537" i="2"/>
  <c r="F406" i="2"/>
  <c r="I407" i="2"/>
  <c r="I511" i="2"/>
  <c r="F510" i="2"/>
  <c r="G662" i="2"/>
  <c r="F662" i="2"/>
  <c r="I663" i="2"/>
  <c r="F372" i="2"/>
  <c r="H373" i="2"/>
  <c r="G372" i="2"/>
  <c r="I373" i="2"/>
  <c r="I861" i="2"/>
  <c r="I276" i="2"/>
  <c r="G275" i="2"/>
  <c r="F275" i="2"/>
  <c r="H276" i="2"/>
  <c r="G541" i="2"/>
  <c r="I415" i="2"/>
  <c r="F414" i="2"/>
  <c r="G501" i="2"/>
  <c r="F501" i="2"/>
  <c r="I502" i="2"/>
  <c r="H226" i="2"/>
  <c r="I315" i="2"/>
  <c r="G314" i="2"/>
  <c r="F314" i="2"/>
  <c r="G414" i="2"/>
  <c r="F500" i="2"/>
  <c r="I501" i="2"/>
  <c r="H501" i="2"/>
  <c r="G500" i="2"/>
  <c r="I383" i="2"/>
  <c r="F382" i="2"/>
  <c r="I683" i="2"/>
  <c r="G682" i="2"/>
  <c r="F682" i="2"/>
  <c r="I368" i="2"/>
  <c r="H368" i="2"/>
  <c r="F367" i="2"/>
  <c r="I709" i="2"/>
  <c r="G396" i="2"/>
  <c r="I397" i="2"/>
  <c r="F396" i="2"/>
  <c r="F537" i="2"/>
  <c r="G537" i="2"/>
  <c r="I538" i="2"/>
  <c r="H342" i="2"/>
  <c r="I62" i="2"/>
  <c r="H62" i="2"/>
  <c r="G61" i="2"/>
  <c r="F61" i="2"/>
  <c r="G66" i="2"/>
  <c r="H173" i="2"/>
  <c r="F297" i="2"/>
  <c r="I298" i="2"/>
  <c r="G297" i="2"/>
  <c r="F19" i="2"/>
  <c r="I20" i="2"/>
  <c r="H20" i="2"/>
  <c r="G224" i="2"/>
  <c r="F224" i="2"/>
  <c r="I225" i="2"/>
  <c r="H225" i="2"/>
  <c r="I107" i="2"/>
  <c r="F106" i="2"/>
  <c r="H107" i="2"/>
  <c r="F197" i="2"/>
  <c r="I198" i="2"/>
  <c r="H198" i="2"/>
  <c r="G154" i="2"/>
  <c r="J625" i="2"/>
  <c r="I83" i="2"/>
  <c r="F82" i="2"/>
  <c r="F248" i="2"/>
  <c r="I249" i="2"/>
  <c r="G248" i="2"/>
  <c r="G318" i="2"/>
  <c r="H51" i="2"/>
  <c r="I46" i="2"/>
  <c r="G45" i="2"/>
  <c r="F45" i="2"/>
  <c r="F202" i="2"/>
  <c r="I203" i="2"/>
  <c r="H203" i="2"/>
  <c r="G22" i="2"/>
  <c r="I23" i="2"/>
  <c r="H23" i="2"/>
  <c r="F22" i="2"/>
  <c r="F1262" i="2"/>
  <c r="I1263" i="2"/>
  <c r="H1263" i="2"/>
  <c r="G1262" i="2"/>
  <c r="I976" i="2"/>
  <c r="F975" i="2"/>
  <c r="H976" i="2"/>
  <c r="F994" i="2"/>
  <c r="I995" i="2"/>
  <c r="I988" i="2"/>
  <c r="G987" i="2"/>
  <c r="F987" i="2"/>
  <c r="H988" i="2"/>
  <c r="F1079" i="2"/>
  <c r="H1080" i="2"/>
  <c r="I1080" i="2"/>
  <c r="I1063" i="2"/>
  <c r="F1062" i="2"/>
  <c r="F1029" i="2"/>
  <c r="I1030" i="2"/>
  <c r="I872" i="2"/>
  <c r="F871" i="2"/>
  <c r="G871" i="2"/>
  <c r="G1028" i="2"/>
  <c r="I1029" i="2"/>
  <c r="F1028" i="2"/>
  <c r="I899" i="2"/>
  <c r="H899" i="2"/>
  <c r="G898" i="2"/>
  <c r="F898" i="2"/>
  <c r="G824" i="2"/>
  <c r="F824" i="2"/>
  <c r="I825" i="2"/>
  <c r="H825" i="2"/>
  <c r="F716" i="2"/>
  <c r="I717" i="2"/>
  <c r="H717" i="2"/>
  <c r="I945" i="2"/>
  <c r="G944" i="2"/>
  <c r="F944" i="2"/>
  <c r="F715" i="2"/>
  <c r="I716" i="2"/>
  <c r="H716" i="2"/>
  <c r="I774" i="2"/>
  <c r="F773" i="2"/>
  <c r="F703" i="2"/>
  <c r="I704" i="2"/>
  <c r="G703" i="2"/>
  <c r="F809" i="2"/>
  <c r="I810" i="2"/>
  <c r="G809" i="2"/>
  <c r="F761" i="2"/>
  <c r="I762" i="2"/>
  <c r="F713" i="2"/>
  <c r="I714" i="2"/>
  <c r="G713" i="2"/>
  <c r="G619" i="2"/>
  <c r="F619" i="2"/>
  <c r="I620" i="2"/>
  <c r="H620" i="2"/>
  <c r="I770" i="2"/>
  <c r="F769" i="2"/>
  <c r="I576" i="2"/>
  <c r="H576" i="2"/>
  <c r="F575" i="2"/>
  <c r="I691" i="2"/>
  <c r="F690" i="2"/>
  <c r="I703" i="2"/>
  <c r="G702" i="2"/>
  <c r="F702" i="2"/>
  <c r="H703" i="2"/>
  <c r="I733" i="2"/>
  <c r="G732" i="2"/>
  <c r="F732" i="2"/>
  <c r="I604" i="2"/>
  <c r="G603" i="2"/>
  <c r="F603" i="2"/>
  <c r="F620" i="2"/>
  <c r="I621" i="2"/>
  <c r="H621" i="2"/>
  <c r="G620" i="2"/>
  <c r="F583" i="2"/>
  <c r="I584" i="2"/>
  <c r="H584" i="2"/>
  <c r="G433" i="2"/>
  <c r="F433" i="2"/>
  <c r="I434" i="2"/>
  <c r="H434" i="2"/>
  <c r="I516" i="2"/>
  <c r="H516" i="2"/>
  <c r="G515" i="2"/>
  <c r="F515" i="2"/>
  <c r="I420" i="2"/>
  <c r="H420" i="2"/>
  <c r="F419" i="2"/>
  <c r="G419" i="2"/>
  <c r="F486" i="2"/>
  <c r="I487" i="2"/>
  <c r="I344" i="2"/>
  <c r="F343" i="2"/>
  <c r="H344" i="2"/>
  <c r="F509" i="2"/>
  <c r="I510" i="2"/>
  <c r="I271" i="2"/>
  <c r="F270" i="2"/>
  <c r="H271" i="2"/>
  <c r="I497" i="2"/>
  <c r="H497" i="2"/>
  <c r="G496" i="2"/>
  <c r="F496" i="2"/>
  <c r="I532" i="2"/>
  <c r="H532" i="2"/>
  <c r="G531" i="2"/>
  <c r="F531" i="2"/>
  <c r="I445" i="2"/>
  <c r="G444" i="2"/>
  <c r="F444" i="2"/>
  <c r="I304" i="2"/>
  <c r="G303" i="2"/>
  <c r="F303" i="2"/>
  <c r="F413" i="2"/>
  <c r="I414" i="2"/>
  <c r="I365" i="2"/>
  <c r="G364" i="2"/>
  <c r="F364" i="2"/>
  <c r="I270" i="2"/>
  <c r="F269" i="2"/>
  <c r="I681" i="2"/>
  <c r="F680" i="2"/>
  <c r="F357" i="2"/>
  <c r="I358" i="2"/>
  <c r="G357" i="2"/>
  <c r="I525" i="2"/>
  <c r="G524" i="2"/>
  <c r="F524" i="2"/>
  <c r="F313" i="2"/>
  <c r="I314" i="2"/>
  <c r="H314" i="2"/>
  <c r="G313" i="2"/>
  <c r="F168" i="2"/>
  <c r="I169" i="2"/>
  <c r="G168" i="2"/>
  <c r="G55" i="2"/>
  <c r="I56" i="2"/>
  <c r="H56" i="2"/>
  <c r="F55" i="2"/>
  <c r="F172" i="2"/>
  <c r="G172" i="2"/>
  <c r="I173" i="2"/>
  <c r="I183" i="2"/>
  <c r="H183" i="2"/>
  <c r="G182" i="2"/>
  <c r="F182" i="2"/>
  <c r="I260" i="2"/>
  <c r="G259" i="2"/>
  <c r="F259" i="2"/>
  <c r="I224" i="2"/>
  <c r="H224" i="2"/>
  <c r="G223" i="2"/>
  <c r="F223" i="2"/>
  <c r="I167" i="2"/>
  <c r="H167" i="2"/>
  <c r="G166" i="2"/>
  <c r="F166" i="2"/>
  <c r="F238" i="2"/>
  <c r="I239" i="2"/>
  <c r="H239" i="2"/>
  <c r="I110" i="2"/>
  <c r="F109" i="2"/>
  <c r="G247" i="2"/>
  <c r="F247" i="2"/>
  <c r="I248" i="2"/>
  <c r="H248" i="2"/>
  <c r="H110" i="2"/>
  <c r="I96" i="2"/>
  <c r="H96" i="2"/>
  <c r="G95" i="2"/>
  <c r="F95" i="2"/>
  <c r="I317" i="2"/>
  <c r="G316" i="2"/>
  <c r="F316" i="2"/>
  <c r="I222" i="2"/>
  <c r="F221" i="2"/>
  <c r="F461" i="2"/>
  <c r="I462" i="2"/>
  <c r="H222" i="2"/>
  <c r="I43" i="2"/>
  <c r="F42" i="2"/>
  <c r="I190" i="2"/>
  <c r="F189" i="2"/>
  <c r="I1731" i="2"/>
  <c r="G1730" i="2"/>
  <c r="F1730" i="2"/>
  <c r="F1552" i="2"/>
  <c r="I1553" i="2"/>
  <c r="H1553" i="2"/>
  <c r="I1417" i="2"/>
  <c r="G1416" i="2"/>
  <c r="F1416" i="2"/>
  <c r="F1378" i="2"/>
  <c r="I1379" i="2"/>
  <c r="H1379" i="2"/>
  <c r="F1488" i="2"/>
  <c r="H1489" i="2"/>
  <c r="I1489" i="2"/>
  <c r="F1575" i="2"/>
  <c r="I1576" i="2"/>
  <c r="H1576" i="2"/>
  <c r="I1435" i="2"/>
  <c r="F1434" i="2"/>
  <c r="I1538" i="2"/>
  <c r="H1538" i="2"/>
  <c r="G1537" i="2"/>
  <c r="F1537" i="2"/>
  <c r="F1386" i="2"/>
  <c r="I1387" i="2"/>
  <c r="I1638" i="2"/>
  <c r="F1637" i="2"/>
  <c r="I1483" i="2"/>
  <c r="G1482" i="2"/>
  <c r="F1482" i="2"/>
  <c r="I1654" i="2"/>
  <c r="F1653" i="2"/>
  <c r="G1488" i="2"/>
  <c r="F1452" i="2"/>
  <c r="I1453" i="2"/>
  <c r="I1639" i="2"/>
  <c r="F1638" i="2"/>
  <c r="H1568" i="2"/>
  <c r="I1415" i="2"/>
  <c r="G1414" i="2"/>
  <c r="F1414" i="2"/>
  <c r="I1449" i="2"/>
  <c r="G1448" i="2"/>
  <c r="F1448" i="2"/>
  <c r="G1658" i="2"/>
  <c r="F1658" i="2"/>
  <c r="I1659" i="2"/>
  <c r="I1318" i="2"/>
  <c r="G1317" i="2"/>
  <c r="F1317" i="2"/>
  <c r="F1141" i="2"/>
  <c r="I1142" i="2"/>
  <c r="G1141" i="2"/>
  <c r="F1273" i="2"/>
  <c r="I1274" i="2"/>
  <c r="H1274" i="2"/>
  <c r="F1348" i="2"/>
  <c r="I1349" i="2"/>
  <c r="H1349" i="2"/>
  <c r="G1325" i="2"/>
  <c r="F1325" i="2"/>
  <c r="I1326" i="2"/>
  <c r="F1370" i="2"/>
  <c r="I1371" i="2"/>
  <c r="G1370" i="2"/>
  <c r="I1300" i="2"/>
  <c r="G1299" i="2"/>
  <c r="F1299" i="2"/>
  <c r="H1245" i="2"/>
  <c r="G1244" i="2"/>
  <c r="F1244" i="2"/>
  <c r="I1245" i="2"/>
  <c r="F1346" i="2"/>
  <c r="H1347" i="2"/>
  <c r="I1347" i="2"/>
  <c r="I1168" i="2"/>
  <c r="F1167" i="2"/>
  <c r="F1211" i="2"/>
  <c r="I1212" i="2"/>
  <c r="F1184" i="2"/>
  <c r="I1185" i="2"/>
  <c r="H1185" i="2"/>
  <c r="G1211" i="2"/>
  <c r="F1093" i="2"/>
  <c r="I1094" i="2"/>
  <c r="J1094" i="2" s="1"/>
  <c r="F1294" i="2"/>
  <c r="I1295" i="2"/>
  <c r="H1295" i="2"/>
  <c r="H1076" i="2"/>
  <c r="G1075" i="2"/>
  <c r="F1075" i="2"/>
  <c r="I1076" i="2"/>
  <c r="I1244" i="2"/>
  <c r="G1243" i="2"/>
  <c r="F1243" i="2"/>
  <c r="F1232" i="2"/>
  <c r="I1233" i="2"/>
  <c r="H1233" i="2"/>
  <c r="I1066" i="2"/>
  <c r="H1066" i="2"/>
  <c r="G1065" i="2"/>
  <c r="F1065" i="2"/>
  <c r="F1083" i="2"/>
  <c r="I1084" i="2"/>
  <c r="F1186" i="2"/>
  <c r="I1187" i="2"/>
  <c r="H1187" i="2"/>
  <c r="I1193" i="2"/>
  <c r="G1192" i="2"/>
  <c r="F1192" i="2"/>
  <c r="F966" i="2"/>
  <c r="I967" i="2"/>
  <c r="G966" i="2"/>
  <c r="G1073" i="2"/>
  <c r="F1073" i="2"/>
  <c r="I1074" i="2"/>
  <c r="H1074" i="2"/>
  <c r="H1012" i="2"/>
  <c r="I1012" i="2"/>
  <c r="F1011" i="2"/>
  <c r="F984" i="2"/>
  <c r="I985" i="2"/>
  <c r="I1055" i="2"/>
  <c r="H1055" i="2"/>
  <c r="F1054" i="2"/>
  <c r="F1024" i="2"/>
  <c r="I1025" i="2"/>
  <c r="I1121" i="2"/>
  <c r="F1120" i="2"/>
  <c r="H1121" i="2"/>
  <c r="I968" i="2"/>
  <c r="G967" i="2"/>
  <c r="F967" i="2"/>
  <c r="G1029" i="2"/>
  <c r="F874" i="2"/>
  <c r="I875" i="2"/>
  <c r="H875" i="2"/>
  <c r="I706" i="2"/>
  <c r="H706" i="2"/>
  <c r="G705" i="2"/>
  <c r="F705" i="2"/>
  <c r="I818" i="2"/>
  <c r="H818" i="2"/>
  <c r="F817" i="2"/>
  <c r="F829" i="2"/>
  <c r="I830" i="2"/>
  <c r="H830" i="2"/>
  <c r="I938" i="2"/>
  <c r="G937" i="2"/>
  <c r="F937" i="2"/>
  <c r="H704" i="2"/>
  <c r="F768" i="2"/>
  <c r="I769" i="2"/>
  <c r="F942" i="2"/>
  <c r="I943" i="2"/>
  <c r="H943" i="2"/>
  <c r="I1007" i="2"/>
  <c r="F1006" i="2"/>
  <c r="F767" i="2"/>
  <c r="I768" i="2"/>
  <c r="G767" i="2"/>
  <c r="G917" i="2"/>
  <c r="F917" i="2"/>
  <c r="I918" i="2"/>
  <c r="H794" i="2"/>
  <c r="I833" i="2"/>
  <c r="F832" i="2"/>
  <c r="F684" i="2"/>
  <c r="I685" i="2"/>
  <c r="H685" i="2"/>
  <c r="H738" i="2"/>
  <c r="G761" i="2"/>
  <c r="F697" i="2"/>
  <c r="I698" i="2"/>
  <c r="G697" i="2"/>
  <c r="I966" i="2"/>
  <c r="I593" i="2"/>
  <c r="F592" i="2"/>
  <c r="F597" i="2"/>
  <c r="I598" i="2"/>
  <c r="H598" i="2"/>
  <c r="G597" i="2"/>
  <c r="I575" i="2"/>
  <c r="F574" i="2"/>
  <c r="F281" i="2"/>
  <c r="I282" i="2"/>
  <c r="H282" i="2"/>
  <c r="G281" i="2"/>
  <c r="G513" i="2"/>
  <c r="F513" i="2"/>
  <c r="H514" i="2"/>
  <c r="I514" i="2"/>
  <c r="F573" i="2"/>
  <c r="I574" i="2"/>
  <c r="I476" i="2"/>
  <c r="H476" i="2"/>
  <c r="F475" i="2"/>
  <c r="F557" i="2"/>
  <c r="I558" i="2"/>
  <c r="I460" i="2"/>
  <c r="F459" i="2"/>
  <c r="H460" i="2"/>
  <c r="F337" i="2"/>
  <c r="I338" i="2"/>
  <c r="H338" i="2"/>
  <c r="I631" i="2"/>
  <c r="G630" i="2"/>
  <c r="F630" i="2"/>
  <c r="I641" i="2"/>
  <c r="F640" i="2"/>
  <c r="F502" i="2"/>
  <c r="I503" i="2"/>
  <c r="I520" i="2"/>
  <c r="H520" i="2"/>
  <c r="G519" i="2"/>
  <c r="F519" i="2"/>
  <c r="I448" i="2"/>
  <c r="H448" i="2"/>
  <c r="F447" i="2"/>
  <c r="G529" i="2"/>
  <c r="F529" i="2"/>
  <c r="H530" i="2"/>
  <c r="I530" i="2"/>
  <c r="I296" i="2"/>
  <c r="G295" i="2"/>
  <c r="F295" i="2"/>
  <c r="H296" i="2"/>
  <c r="I568" i="2"/>
  <c r="H568" i="2"/>
  <c r="G567" i="2"/>
  <c r="F567" i="2"/>
  <c r="F408" i="2"/>
  <c r="I409" i="2"/>
  <c r="G408" i="2"/>
  <c r="I243" i="2"/>
  <c r="F242" i="2"/>
  <c r="H507" i="2"/>
  <c r="H355" i="2"/>
  <c r="I355" i="2"/>
  <c r="F354" i="2"/>
  <c r="G616" i="2"/>
  <c r="I143" i="2"/>
  <c r="H143" i="2"/>
  <c r="F142" i="2"/>
  <c r="G188" i="2"/>
  <c r="F188" i="2"/>
  <c r="I189" i="2"/>
  <c r="F33" i="2"/>
  <c r="I34" i="2"/>
  <c r="F393" i="2"/>
  <c r="I394" i="2"/>
  <c r="I265" i="2"/>
  <c r="J265" i="2" s="1"/>
  <c r="G264" i="2"/>
  <c r="F264" i="2"/>
  <c r="F140" i="2"/>
  <c r="G140" i="2"/>
  <c r="H141" i="2"/>
  <c r="I141" i="2"/>
  <c r="I626" i="2"/>
  <c r="G215" i="2"/>
  <c r="F215" i="2"/>
  <c r="I216" i="2"/>
  <c r="H216" i="2"/>
  <c r="I103" i="2"/>
  <c r="H103" i="2"/>
  <c r="G102" i="2"/>
  <c r="F102" i="2"/>
  <c r="I231" i="2"/>
  <c r="H231" i="2"/>
  <c r="G230" i="2"/>
  <c r="F230" i="2"/>
  <c r="I106" i="2"/>
  <c r="F105" i="2"/>
  <c r="I238" i="2"/>
  <c r="F237" i="2"/>
  <c r="H317" i="2"/>
  <c r="I215" i="2"/>
  <c r="H215" i="2"/>
  <c r="G214" i="2"/>
  <c r="F214" i="2"/>
  <c r="G33" i="2"/>
  <c r="H402" i="2"/>
  <c r="F218" i="2"/>
  <c r="I219" i="2"/>
  <c r="H219" i="2"/>
  <c r="F183" i="2"/>
  <c r="I184" i="2"/>
  <c r="G183" i="2"/>
  <c r="H184" i="2"/>
  <c r="I55" i="2"/>
  <c r="I1234" i="2"/>
  <c r="G1233" i="2"/>
  <c r="F1233" i="2"/>
  <c r="H1234" i="2"/>
  <c r="F1250" i="2"/>
  <c r="I1251" i="2"/>
  <c r="H1251" i="2"/>
  <c r="I1165" i="2"/>
  <c r="G1164" i="2"/>
  <c r="F1164" i="2"/>
  <c r="G1193" i="2"/>
  <c r="F1193" i="2"/>
  <c r="I1194" i="2"/>
  <c r="H1194" i="2"/>
  <c r="H964" i="2"/>
  <c r="I964" i="2"/>
  <c r="G963" i="2"/>
  <c r="F963" i="2"/>
  <c r="I1058" i="2"/>
  <c r="G1057" i="2"/>
  <c r="F1057" i="2"/>
  <c r="I1047" i="2"/>
  <c r="G1046" i="2"/>
  <c r="F1046" i="2"/>
  <c r="F953" i="2"/>
  <c r="I954" i="2"/>
  <c r="H954" i="2"/>
  <c r="F1036" i="2"/>
  <c r="I1037" i="2"/>
  <c r="F1019" i="2"/>
  <c r="I1020" i="2"/>
  <c r="G1019" i="2"/>
  <c r="F859" i="2"/>
  <c r="I860" i="2"/>
  <c r="G859" i="2"/>
  <c r="I1102" i="2"/>
  <c r="F1101" i="2"/>
  <c r="H1029" i="2"/>
  <c r="H860" i="2"/>
  <c r="F818" i="2"/>
  <c r="I819" i="2"/>
  <c r="H819" i="2"/>
  <c r="G981" i="2"/>
  <c r="F981" i="2"/>
  <c r="I982" i="2"/>
  <c r="H982" i="2"/>
  <c r="I929" i="2"/>
  <c r="F928" i="2"/>
  <c r="H929" i="2"/>
  <c r="I912" i="2"/>
  <c r="F911" i="2"/>
  <c r="F694" i="2"/>
  <c r="I695" i="2"/>
  <c r="H695" i="2"/>
  <c r="I799" i="2"/>
  <c r="G798" i="2"/>
  <c r="F798" i="2"/>
  <c r="I751" i="2"/>
  <c r="G750" i="2"/>
  <c r="F750" i="2"/>
  <c r="H751" i="2"/>
  <c r="I1021" i="2"/>
  <c r="F1020" i="2"/>
  <c r="F977" i="2"/>
  <c r="I978" i="2"/>
  <c r="G977" i="2"/>
  <c r="F735" i="2"/>
  <c r="I736" i="2"/>
  <c r="G735" i="2"/>
  <c r="H774" i="2"/>
  <c r="H996" i="2"/>
  <c r="I996" i="2"/>
  <c r="F995" i="2"/>
  <c r="I806" i="2"/>
  <c r="G805" i="2"/>
  <c r="F805" i="2"/>
  <c r="F613" i="2"/>
  <c r="I614" i="2"/>
  <c r="H614" i="2"/>
  <c r="H761" i="2"/>
  <c r="F636" i="2"/>
  <c r="I637" i="2"/>
  <c r="H637" i="2"/>
  <c r="I735" i="2"/>
  <c r="G734" i="2"/>
  <c r="F734" i="2"/>
  <c r="I560" i="2"/>
  <c r="H560" i="2"/>
  <c r="F559" i="2"/>
  <c r="H691" i="2"/>
  <c r="F683" i="2"/>
  <c r="I684" i="2"/>
  <c r="F696" i="2"/>
  <c r="H697" i="2"/>
  <c r="I697" i="2"/>
  <c r="F570" i="2"/>
  <c r="I571" i="2"/>
  <c r="I573" i="2"/>
  <c r="H573" i="2"/>
  <c r="G572" i="2"/>
  <c r="F572" i="2"/>
  <c r="F566" i="2"/>
  <c r="I567" i="2"/>
  <c r="F429" i="2"/>
  <c r="I430" i="2"/>
  <c r="H430" i="2"/>
  <c r="I512" i="2"/>
  <c r="F511" i="2"/>
  <c r="H512" i="2"/>
  <c r="G565" i="2"/>
  <c r="F565" i="2"/>
  <c r="I566" i="2"/>
  <c r="I396" i="2"/>
  <c r="F395" i="2"/>
  <c r="H396" i="2"/>
  <c r="G469" i="2"/>
  <c r="F469" i="2"/>
  <c r="I470" i="2"/>
  <c r="F340" i="2"/>
  <c r="G340" i="2"/>
  <c r="I341" i="2"/>
  <c r="H341" i="2"/>
  <c r="G549" i="2"/>
  <c r="F549" i="2"/>
  <c r="I550" i="2"/>
  <c r="I335" i="2"/>
  <c r="F334" i="2"/>
  <c r="F610" i="2"/>
  <c r="I611" i="2"/>
  <c r="H611" i="2"/>
  <c r="F349" i="2"/>
  <c r="H350" i="2"/>
  <c r="I350" i="2"/>
  <c r="I484" i="2"/>
  <c r="H484" i="2"/>
  <c r="G483" i="2"/>
  <c r="F483" i="2"/>
  <c r="F229" i="2"/>
  <c r="I230" i="2"/>
  <c r="H230" i="2"/>
  <c r="H169" i="2"/>
  <c r="F333" i="2"/>
  <c r="I334" i="2"/>
  <c r="I528" i="2"/>
  <c r="H528" i="2"/>
  <c r="F527" i="2"/>
  <c r="H413" i="2"/>
  <c r="G570" i="2"/>
  <c r="F489" i="2"/>
  <c r="I490" i="2"/>
  <c r="G489" i="2"/>
  <c r="I352" i="2"/>
  <c r="H352" i="2"/>
  <c r="F351" i="2"/>
  <c r="F681" i="2"/>
  <c r="I682" i="2"/>
  <c r="H682" i="2"/>
  <c r="I361" i="2"/>
  <c r="G360" i="2"/>
  <c r="F360" i="2"/>
  <c r="I144" i="2"/>
  <c r="G143" i="2"/>
  <c r="F143" i="2"/>
  <c r="H144" i="2"/>
  <c r="I472" i="2"/>
  <c r="H472" i="2"/>
  <c r="G471" i="2"/>
  <c r="F471" i="2"/>
  <c r="I155" i="2"/>
  <c r="H155" i="2"/>
  <c r="F154" i="2"/>
  <c r="F417" i="2"/>
  <c r="I418" i="2"/>
  <c r="H418" i="2"/>
  <c r="I278" i="2"/>
  <c r="G277" i="2"/>
  <c r="F277" i="2"/>
  <c r="F133" i="2"/>
  <c r="H134" i="2"/>
  <c r="I134" i="2"/>
  <c r="I206" i="2"/>
  <c r="F205" i="2"/>
  <c r="F119" i="2"/>
  <c r="I120" i="2"/>
  <c r="G119" i="2"/>
  <c r="F72" i="2"/>
  <c r="I73" i="2"/>
  <c r="F193" i="2"/>
  <c r="I194" i="2"/>
  <c r="F92" i="2"/>
  <c r="I93" i="2"/>
  <c r="F222" i="2"/>
  <c r="I223" i="2"/>
  <c r="H223" i="2"/>
  <c r="G199" i="2"/>
  <c r="F199" i="2"/>
  <c r="I200" i="2"/>
  <c r="H200" i="2"/>
  <c r="F71" i="2"/>
  <c r="I72" i="2"/>
  <c r="G71" i="2"/>
  <c r="F477" i="2"/>
  <c r="I478" i="2"/>
  <c r="F206" i="2"/>
  <c r="I207" i="2"/>
  <c r="H207" i="2"/>
  <c r="I19" i="2"/>
  <c r="F18" i="2"/>
  <c r="F184" i="2"/>
  <c r="I185" i="2"/>
  <c r="G184" i="2"/>
  <c r="I28" i="2"/>
  <c r="F27" i="2"/>
  <c r="F173" i="2"/>
  <c r="G173" i="2"/>
  <c r="I174" i="2"/>
  <c r="H124" i="2"/>
  <c r="H91" i="2"/>
  <c r="H119" i="2"/>
  <c r="H55" i="2"/>
  <c r="I1707" i="2"/>
  <c r="F1706" i="2"/>
  <c r="H1707" i="2"/>
  <c r="I1810" i="2"/>
  <c r="G1809" i="2"/>
  <c r="F1809" i="2"/>
  <c r="F1680" i="2"/>
  <c r="H1681" i="2"/>
  <c r="I1681" i="2"/>
  <c r="F1889" i="2"/>
  <c r="I1890" i="2"/>
  <c r="J1890" i="2" s="1"/>
  <c r="F1728" i="2"/>
  <c r="I1729" i="2"/>
  <c r="G1728" i="2"/>
  <c r="F1525" i="2"/>
  <c r="I1526" i="2"/>
  <c r="H1526" i="2"/>
  <c r="G1428" i="2"/>
  <c r="F1428" i="2"/>
  <c r="I1429" i="2"/>
  <c r="F1493" i="2"/>
  <c r="I1494" i="2"/>
  <c r="H1494" i="2"/>
  <c r="G1398" i="2"/>
  <c r="F1398" i="2"/>
  <c r="I1399" i="2"/>
  <c r="F1459" i="2"/>
  <c r="I1460" i="2"/>
  <c r="H1460" i="2"/>
  <c r="I1589" i="2"/>
  <c r="H1589" i="2"/>
  <c r="G1588" i="2"/>
  <c r="F1588" i="2"/>
  <c r="F1573" i="2"/>
  <c r="J1573" i="2" s="1"/>
  <c r="I1574" i="2"/>
  <c r="H1574" i="2"/>
  <c r="F1481" i="2"/>
  <c r="J1481" i="2" s="1"/>
  <c r="I1482" i="2"/>
  <c r="H1482" i="2"/>
  <c r="F1417" i="2"/>
  <c r="J1417" i="2" s="1"/>
  <c r="I1418" i="2"/>
  <c r="I1587" i="2"/>
  <c r="F1586" i="2"/>
  <c r="I1389" i="2"/>
  <c r="F1388" i="2"/>
  <c r="I1427" i="2"/>
  <c r="F1426" i="2"/>
  <c r="I1617" i="2"/>
  <c r="H1617" i="2"/>
  <c r="G1616" i="2"/>
  <c r="F1616" i="2"/>
  <c r="G1452" i="2"/>
  <c r="I1406" i="2"/>
  <c r="F1405" i="2"/>
  <c r="G1257" i="2"/>
  <c r="I1341" i="2"/>
  <c r="H1341" i="2"/>
  <c r="G1340" i="2"/>
  <c r="F1340" i="2"/>
  <c r="I1307" i="2"/>
  <c r="F1306" i="2"/>
  <c r="H1307" i="2"/>
  <c r="G1273" i="2"/>
  <c r="G1206" i="2"/>
  <c r="F1206" i="2"/>
  <c r="I1207" i="2"/>
  <c r="H1348" i="2"/>
  <c r="F1712" i="2"/>
  <c r="I1713" i="2"/>
  <c r="G1712" i="2"/>
  <c r="I1306" i="2"/>
  <c r="F1305" i="2"/>
  <c r="I1177" i="2"/>
  <c r="G1176" i="2"/>
  <c r="F1176" i="2"/>
  <c r="J1342" i="2"/>
  <c r="F1207" i="2"/>
  <c r="I1208" i="2"/>
  <c r="H1208" i="2"/>
  <c r="F1061" i="2"/>
  <c r="I1062" i="2"/>
  <c r="I1218" i="2"/>
  <c r="G1217" i="2"/>
  <c r="F1217" i="2"/>
  <c r="I1275" i="2"/>
  <c r="G1274" i="2"/>
  <c r="F1274" i="2"/>
  <c r="I1273" i="2"/>
  <c r="F1272" i="2"/>
  <c r="F1058" i="2"/>
  <c r="I1059" i="2"/>
  <c r="H1059" i="2"/>
  <c r="I1064" i="2"/>
  <c r="F1063" i="2"/>
  <c r="G1063" i="2"/>
  <c r="I952" i="2"/>
  <c r="G951" i="2"/>
  <c r="F951" i="2"/>
  <c r="F1017" i="2"/>
  <c r="I1018" i="2"/>
  <c r="H1018" i="2"/>
  <c r="I1290" i="2"/>
  <c r="F1289" i="2"/>
  <c r="H953" i="2"/>
  <c r="I1106" i="2"/>
  <c r="G1105" i="2"/>
  <c r="F1105" i="2"/>
  <c r="F962" i="2"/>
  <c r="I963" i="2"/>
  <c r="G1047" i="2"/>
  <c r="F950" i="2"/>
  <c r="I951" i="2"/>
  <c r="G1135" i="2"/>
  <c r="G1015" i="2"/>
  <c r="I1016" i="2"/>
  <c r="H1016" i="2"/>
  <c r="F1015" i="2"/>
  <c r="F854" i="2"/>
  <c r="I855" i="2"/>
  <c r="G854" i="2"/>
  <c r="I1103" i="2"/>
  <c r="F1102" i="2"/>
  <c r="H1103" i="2"/>
  <c r="I956" i="2"/>
  <c r="G955" i="2"/>
  <c r="F955" i="2"/>
  <c r="I1034" i="2"/>
  <c r="H1034" i="2"/>
  <c r="F1033" i="2"/>
  <c r="G1033" i="2"/>
  <c r="I1028" i="2"/>
  <c r="H1028" i="2"/>
  <c r="F1027" i="2"/>
  <c r="G1027" i="2"/>
  <c r="G1024" i="2"/>
  <c r="G852" i="2"/>
  <c r="F852" i="2"/>
  <c r="I853" i="2"/>
  <c r="H853" i="2"/>
  <c r="I913" i="2"/>
  <c r="F912" i="2"/>
  <c r="H913" i="2"/>
  <c r="F742" i="2"/>
  <c r="I743" i="2"/>
  <c r="H743" i="2"/>
  <c r="I907" i="2"/>
  <c r="H907" i="2"/>
  <c r="F906" i="2"/>
  <c r="H928" i="2"/>
  <c r="F783" i="2"/>
  <c r="H784" i="2"/>
  <c r="I784" i="2"/>
  <c r="H945" i="2"/>
  <c r="H735" i="2"/>
  <c r="I933" i="2"/>
  <c r="H933" i="2"/>
  <c r="F932" i="2"/>
  <c r="G932" i="2"/>
  <c r="G923" i="2"/>
  <c r="F923" i="2"/>
  <c r="H924" i="2"/>
  <c r="I924" i="2"/>
  <c r="G907" i="2"/>
  <c r="F907" i="2"/>
  <c r="I908" i="2"/>
  <c r="H908" i="2"/>
  <c r="I790" i="2"/>
  <c r="G789" i="2"/>
  <c r="F789" i="2"/>
  <c r="F729" i="2"/>
  <c r="I730" i="2"/>
  <c r="F699" i="2"/>
  <c r="H700" i="2"/>
  <c r="I700" i="2"/>
  <c r="F599" i="2"/>
  <c r="I600" i="2"/>
  <c r="H600" i="2"/>
  <c r="G759" i="2"/>
  <c r="F759" i="2"/>
  <c r="I760" i="2"/>
  <c r="H760" i="2"/>
  <c r="H684" i="2"/>
  <c r="F689" i="2"/>
  <c r="I690" i="2"/>
  <c r="H690" i="2"/>
  <c r="G684" i="2"/>
  <c r="F554" i="2"/>
  <c r="I555" i="2"/>
  <c r="I557" i="2"/>
  <c r="G556" i="2"/>
  <c r="F556" i="2"/>
  <c r="H557" i="2"/>
  <c r="F762" i="2"/>
  <c r="I763" i="2"/>
  <c r="F581" i="2"/>
  <c r="I582" i="2"/>
  <c r="H582" i="2"/>
  <c r="F530" i="2"/>
  <c r="I531" i="2"/>
  <c r="H531" i="2"/>
  <c r="F424" i="2"/>
  <c r="I425" i="2"/>
  <c r="H425" i="2"/>
  <c r="G424" i="2"/>
  <c r="I564" i="2"/>
  <c r="H564" i="2"/>
  <c r="G563" i="2"/>
  <c r="F563" i="2"/>
  <c r="F454" i="2"/>
  <c r="I455" i="2"/>
  <c r="I548" i="2"/>
  <c r="H548" i="2"/>
  <c r="G547" i="2"/>
  <c r="F547" i="2"/>
  <c r="I324" i="2"/>
  <c r="G323" i="2"/>
  <c r="F323" i="2"/>
  <c r="H324" i="2"/>
  <c r="I601" i="2"/>
  <c r="G600" i="2"/>
  <c r="F600" i="2"/>
  <c r="F346" i="2"/>
  <c r="I347" i="2"/>
  <c r="I580" i="2"/>
  <c r="H580" i="2"/>
  <c r="G579" i="2"/>
  <c r="F579" i="2"/>
  <c r="F481" i="2"/>
  <c r="I482" i="2"/>
  <c r="H482" i="2"/>
  <c r="F394" i="2"/>
  <c r="I395" i="2"/>
  <c r="F358" i="2"/>
  <c r="I359" i="2"/>
  <c r="F740" i="2"/>
  <c r="I741" i="2"/>
  <c r="G740" i="2"/>
  <c r="H454" i="2"/>
  <c r="F404" i="2"/>
  <c r="I405" i="2"/>
  <c r="G404" i="2"/>
  <c r="H570" i="2"/>
  <c r="I479" i="2"/>
  <c r="F478" i="2"/>
  <c r="I349" i="2"/>
  <c r="G348" i="2"/>
  <c r="F348" i="2"/>
  <c r="I227" i="2"/>
  <c r="F226" i="2"/>
  <c r="H683" i="2"/>
  <c r="H479" i="2"/>
  <c r="F308" i="2"/>
  <c r="I309" i="2"/>
  <c r="I577" i="2"/>
  <c r="F576" i="2"/>
  <c r="H577" i="2"/>
  <c r="G576" i="2"/>
  <c r="G358" i="2"/>
  <c r="I504" i="2"/>
  <c r="H504" i="2"/>
  <c r="G503" i="2"/>
  <c r="F503" i="2"/>
  <c r="I323" i="2"/>
  <c r="H323" i="2"/>
  <c r="F322" i="2"/>
  <c r="F31" i="2"/>
  <c r="I32" i="2"/>
  <c r="H32" i="2"/>
  <c r="G31" i="2"/>
  <c r="F177" i="2"/>
  <c r="I178" i="2"/>
  <c r="F26" i="2"/>
  <c r="I27" i="2"/>
  <c r="F422" i="2"/>
  <c r="I423" i="2"/>
  <c r="I283" i="2"/>
  <c r="G282" i="2"/>
  <c r="F282" i="2"/>
  <c r="I122" i="2"/>
  <c r="F121" i="2"/>
  <c r="F201" i="2"/>
  <c r="I202" i="2"/>
  <c r="F89" i="2"/>
  <c r="I90" i="2"/>
  <c r="H122" i="2"/>
  <c r="G116" i="2"/>
  <c r="F116" i="2"/>
  <c r="I117" i="2"/>
  <c r="H117" i="2"/>
  <c r="F185" i="2"/>
  <c r="I186" i="2"/>
  <c r="F200" i="2"/>
  <c r="I201" i="2"/>
  <c r="G200" i="2"/>
  <c r="H66" i="2"/>
  <c r="I181" i="2"/>
  <c r="G180" i="2"/>
  <c r="F180" i="2"/>
  <c r="I69" i="2"/>
  <c r="H69" i="2"/>
  <c r="G68" i="2"/>
  <c r="F68" i="2"/>
  <c r="H371" i="2"/>
  <c r="I371" i="2"/>
  <c r="F370" i="2"/>
  <c r="F169" i="2"/>
  <c r="I170" i="2"/>
  <c r="I16" i="2"/>
  <c r="G5" i="2"/>
  <c r="H170" i="2"/>
  <c r="I139" i="2"/>
  <c r="H139" i="2"/>
  <c r="F138" i="2"/>
  <c r="F147" i="2"/>
  <c r="I148" i="2"/>
  <c r="H148" i="2"/>
  <c r="I119" i="2"/>
  <c r="F1748" i="2"/>
  <c r="I1749" i="2"/>
  <c r="H1749" i="2"/>
  <c r="G1739" i="2"/>
  <c r="F1739" i="2"/>
  <c r="H1740" i="2"/>
  <c r="I1740" i="2"/>
  <c r="H1839" i="2"/>
  <c r="I1839" i="2"/>
  <c r="G1838" i="2"/>
  <c r="F1838" i="2"/>
  <c r="I1759" i="2"/>
  <c r="H1759" i="2"/>
  <c r="G1758" i="2"/>
  <c r="F1758" i="2"/>
  <c r="I1675" i="2"/>
  <c r="F1674" i="2"/>
  <c r="G1674" i="2"/>
  <c r="H1675" i="2"/>
  <c r="F1636" i="2"/>
  <c r="I1637" i="2"/>
  <c r="H1637" i="2"/>
  <c r="G1755" i="2"/>
  <c r="I1756" i="2"/>
  <c r="F1755" i="2"/>
  <c r="G1803" i="2"/>
  <c r="I1804" i="2"/>
  <c r="H1804" i="2"/>
  <c r="F1803" i="2"/>
  <c r="F1609" i="2"/>
  <c r="I1610" i="2"/>
  <c r="H1610" i="2"/>
  <c r="I1655" i="2"/>
  <c r="F1654" i="2"/>
  <c r="I1682" i="2"/>
  <c r="G1681" i="2"/>
  <c r="F1681" i="2"/>
  <c r="G1524" i="2"/>
  <c r="F1524" i="2"/>
  <c r="I1525" i="2"/>
  <c r="F1804" i="2"/>
  <c r="I1805" i="2"/>
  <c r="H1805" i="2"/>
  <c r="G1804" i="2"/>
  <c r="F1666" i="2"/>
  <c r="I1667" i="2"/>
  <c r="I1391" i="2"/>
  <c r="F1390" i="2"/>
  <c r="H1391" i="2"/>
  <c r="I1706" i="2"/>
  <c r="F1705" i="2"/>
  <c r="G1705" i="2"/>
  <c r="F1422" i="2"/>
  <c r="I1423" i="2"/>
  <c r="H1423" i="2"/>
  <c r="F1550" i="2"/>
  <c r="I1551" i="2"/>
  <c r="H1551" i="2"/>
  <c r="F1392" i="2"/>
  <c r="I1393" i="2"/>
  <c r="H1393" i="2"/>
  <c r="I1862" i="2"/>
  <c r="G1861" i="2"/>
  <c r="F1861" i="2"/>
  <c r="F1579" i="2"/>
  <c r="I1580" i="2"/>
  <c r="G1575" i="2"/>
  <c r="F1639" i="2"/>
  <c r="I1640" i="2"/>
  <c r="H1640" i="2"/>
  <c r="I1383" i="2"/>
  <c r="G1382" i="2"/>
  <c r="F1382" i="2"/>
  <c r="H1415" i="2"/>
  <c r="F1447" i="2"/>
  <c r="I1448" i="2"/>
  <c r="H1448" i="2"/>
  <c r="G1447" i="2"/>
  <c r="F1350" i="2"/>
  <c r="I1351" i="2"/>
  <c r="H1351" i="2"/>
  <c r="G1250" i="2"/>
  <c r="F1443" i="2"/>
  <c r="I1444" i="2"/>
  <c r="H1444" i="2"/>
  <c r="G1245" i="2"/>
  <c r="F1245" i="2"/>
  <c r="I1246" i="2"/>
  <c r="H1246" i="2"/>
  <c r="I1337" i="2"/>
  <c r="H1337" i="2"/>
  <c r="F1336" i="2"/>
  <c r="H1165" i="2"/>
  <c r="G1293" i="2"/>
  <c r="F1293" i="2"/>
  <c r="I1294" i="2"/>
  <c r="I1150" i="2"/>
  <c r="H1150" i="2"/>
  <c r="F1149" i="2"/>
  <c r="F1190" i="2"/>
  <c r="I1191" i="2"/>
  <c r="G1190" i="2"/>
  <c r="I1336" i="2"/>
  <c r="F1335" i="2"/>
  <c r="I1778" i="2"/>
  <c r="G1777" i="2"/>
  <c r="F1777" i="2"/>
  <c r="G1177" i="2"/>
  <c r="F1177" i="2"/>
  <c r="I1178" i="2"/>
  <c r="H1178" i="2"/>
  <c r="F1170" i="2"/>
  <c r="I1171" i="2"/>
  <c r="H1171" i="2"/>
  <c r="I1161" i="2"/>
  <c r="G1160" i="2"/>
  <c r="F1160" i="2"/>
  <c r="I1266" i="2"/>
  <c r="G1265" i="2"/>
  <c r="F1265" i="2"/>
  <c r="F1053" i="2"/>
  <c r="I1054" i="2"/>
  <c r="F1216" i="2"/>
  <c r="I1217" i="2"/>
  <c r="H1217" i="2"/>
  <c r="F1090" i="2"/>
  <c r="G1090" i="2"/>
  <c r="I1091" i="2"/>
  <c r="H1091" i="2"/>
  <c r="I1225" i="2"/>
  <c r="G1224" i="2"/>
  <c r="F1224" i="2"/>
  <c r="H1275" i="2"/>
  <c r="F1125" i="2"/>
  <c r="I1126" i="2"/>
  <c r="G1125" i="2"/>
  <c r="F1166" i="2"/>
  <c r="I1167" i="2"/>
  <c r="H1167" i="2"/>
  <c r="H1057" i="2"/>
  <c r="F1214" i="2"/>
  <c r="I1215" i="2"/>
  <c r="H1215" i="2"/>
  <c r="H1196" i="2"/>
  <c r="I1023" i="2"/>
  <c r="F1022" i="2"/>
  <c r="F1013" i="2"/>
  <c r="I1014" i="2"/>
  <c r="G1013" i="2"/>
  <c r="H1014" i="2"/>
  <c r="F1150" i="2"/>
  <c r="I1151" i="2"/>
  <c r="H1151" i="2"/>
  <c r="G1124" i="2"/>
  <c r="F1124" i="2"/>
  <c r="I1125" i="2"/>
  <c r="H1125" i="2"/>
  <c r="G953" i="2"/>
  <c r="I960" i="2"/>
  <c r="F959" i="2"/>
  <c r="H960" i="2"/>
  <c r="F1045" i="2"/>
  <c r="I1046" i="2"/>
  <c r="G1012" i="2"/>
  <c r="H1013" i="2"/>
  <c r="I1013" i="2"/>
  <c r="F1012" i="2"/>
  <c r="F1134" i="2"/>
  <c r="I1135" i="2"/>
  <c r="I984" i="2"/>
  <c r="F983" i="2"/>
  <c r="I987" i="2"/>
  <c r="H987" i="2"/>
  <c r="F986" i="2"/>
  <c r="I1087" i="2"/>
  <c r="F1086" i="2"/>
  <c r="F924" i="2"/>
  <c r="I925" i="2"/>
  <c r="G924" i="2"/>
  <c r="G1036" i="2"/>
  <c r="I1024" i="2"/>
  <c r="F1023" i="2"/>
  <c r="G1023" i="2"/>
  <c r="H1024" i="2"/>
  <c r="I955" i="2"/>
  <c r="H955" i="2"/>
  <c r="F954" i="2"/>
  <c r="I804" i="2"/>
  <c r="F803" i="2"/>
  <c r="G803" i="2"/>
  <c r="G680" i="2"/>
  <c r="G736" i="2"/>
  <c r="G904" i="2"/>
  <c r="I905" i="2"/>
  <c r="F904" i="2"/>
  <c r="I927" i="2"/>
  <c r="H927" i="2"/>
  <c r="G926" i="2"/>
  <c r="F926" i="2"/>
  <c r="H732" i="2"/>
  <c r="I961" i="2"/>
  <c r="G960" i="2"/>
  <c r="H961" i="2"/>
  <c r="F960" i="2"/>
  <c r="F688" i="2"/>
  <c r="I689" i="2"/>
  <c r="I909" i="2"/>
  <c r="F892" i="2"/>
  <c r="I893" i="2"/>
  <c r="H893" i="2"/>
  <c r="I786" i="2"/>
  <c r="F785" i="2"/>
  <c r="H806" i="2"/>
  <c r="I606" i="2"/>
  <c r="H606" i="2"/>
  <c r="F605" i="2"/>
  <c r="G605" i="2"/>
  <c r="I707" i="2"/>
  <c r="H707" i="2"/>
  <c r="F706" i="2"/>
  <c r="I592" i="2"/>
  <c r="G591" i="2"/>
  <c r="F591" i="2"/>
  <c r="G728" i="2"/>
  <c r="F728" i="2"/>
  <c r="I729" i="2"/>
  <c r="I904" i="2"/>
  <c r="F665" i="2"/>
  <c r="I666" i="2"/>
  <c r="F678" i="2"/>
  <c r="I679" i="2"/>
  <c r="F638" i="2"/>
  <c r="I639" i="2"/>
  <c r="I670" i="2"/>
  <c r="H670" i="2"/>
  <c r="G669" i="2"/>
  <c r="F669" i="2"/>
  <c r="F538" i="2"/>
  <c r="I539" i="2"/>
  <c r="J539" i="2" s="1"/>
  <c r="G776" i="2"/>
  <c r="F776" i="2"/>
  <c r="I777" i="2"/>
  <c r="H777" i="2"/>
  <c r="I739" i="2"/>
  <c r="H739" i="2"/>
  <c r="F738" i="2"/>
  <c r="I541" i="2"/>
  <c r="G540" i="2"/>
  <c r="F540" i="2"/>
  <c r="H541" i="2"/>
  <c r="H747" i="2"/>
  <c r="F687" i="2"/>
  <c r="I688" i="2"/>
  <c r="G687" i="2"/>
  <c r="G517" i="2"/>
  <c r="F517" i="2"/>
  <c r="I518" i="2"/>
  <c r="I417" i="2"/>
  <c r="H417" i="2"/>
  <c r="F416" i="2"/>
  <c r="G416" i="2"/>
  <c r="I692" i="2"/>
  <c r="F691" i="2"/>
  <c r="H692" i="2"/>
  <c r="H518" i="2"/>
  <c r="F356" i="2"/>
  <c r="G356" i="2"/>
  <c r="I357" i="2"/>
  <c r="H357" i="2"/>
  <c r="F561" i="2"/>
  <c r="H562" i="2"/>
  <c r="I562" i="2"/>
  <c r="I367" i="2"/>
  <c r="F366" i="2"/>
  <c r="F450" i="2"/>
  <c r="I451" i="2"/>
  <c r="H451" i="2"/>
  <c r="F545" i="2"/>
  <c r="H546" i="2"/>
  <c r="I546" i="2"/>
  <c r="G312" i="2"/>
  <c r="F312" i="2"/>
  <c r="I313" i="2"/>
  <c r="H313" i="2"/>
  <c r="G557" i="2"/>
  <c r="F577" i="2"/>
  <c r="H578" i="2"/>
  <c r="I578" i="2"/>
  <c r="I480" i="2"/>
  <c r="H480" i="2"/>
  <c r="F479" i="2"/>
  <c r="H395" i="2"/>
  <c r="F521" i="2"/>
  <c r="G521" i="2"/>
  <c r="I522" i="2"/>
  <c r="G352" i="2"/>
  <c r="F352" i="2"/>
  <c r="H353" i="2"/>
  <c r="I353" i="2"/>
  <c r="I638" i="2"/>
  <c r="G637" i="2"/>
  <c r="F637" i="2"/>
  <c r="G242" i="2"/>
  <c r="F569" i="2"/>
  <c r="G569" i="2"/>
  <c r="I570" i="2"/>
  <c r="I337" i="2"/>
  <c r="F336" i="2"/>
  <c r="F472" i="2"/>
  <c r="I473" i="2"/>
  <c r="H473" i="2"/>
  <c r="G472" i="2"/>
  <c r="G349" i="2"/>
  <c r="H221" i="2"/>
  <c r="H627" i="2"/>
  <c r="I561" i="2"/>
  <c r="F560" i="2"/>
  <c r="H561" i="2"/>
  <c r="G560" i="2"/>
  <c r="H358" i="2"/>
  <c r="G141" i="2"/>
  <c r="I142" i="2"/>
  <c r="F141" i="2"/>
  <c r="G142" i="2"/>
  <c r="G26" i="2"/>
  <c r="F103" i="2"/>
  <c r="G103" i="2"/>
  <c r="H104" i="2"/>
  <c r="I104" i="2"/>
  <c r="F167" i="2"/>
  <c r="I168" i="2"/>
  <c r="G167" i="2"/>
  <c r="H168" i="2"/>
  <c r="I635" i="2"/>
  <c r="I424" i="2"/>
  <c r="H424" i="2"/>
  <c r="G423" i="2"/>
  <c r="F423" i="2"/>
  <c r="F293" i="2"/>
  <c r="I294" i="2"/>
  <c r="I95" i="2"/>
  <c r="H95" i="2"/>
  <c r="F94" i="2"/>
  <c r="F64" i="2"/>
  <c r="I65" i="2"/>
  <c r="G64" i="2"/>
  <c r="I85" i="2"/>
  <c r="G84" i="2"/>
  <c r="F84" i="2"/>
  <c r="G109" i="2"/>
  <c r="I52" i="2"/>
  <c r="F51" i="2"/>
  <c r="H52" i="2"/>
  <c r="F170" i="2"/>
  <c r="I171" i="2"/>
  <c r="H171" i="2"/>
  <c r="F85" i="2"/>
  <c r="I86" i="2"/>
  <c r="H86" i="2"/>
  <c r="G192" i="2"/>
  <c r="F192" i="2"/>
  <c r="I193" i="2"/>
  <c r="I63" i="2"/>
  <c r="H63" i="2"/>
  <c r="F62" i="2"/>
  <c r="I180" i="2"/>
  <c r="H180" i="2"/>
  <c r="F179" i="2"/>
  <c r="I60" i="2"/>
  <c r="G59" i="2"/>
  <c r="F59" i="2"/>
  <c r="F385" i="2"/>
  <c r="I386" i="2"/>
  <c r="H386" i="2"/>
  <c r="G385" i="2"/>
  <c r="I247" i="2"/>
  <c r="H247" i="2"/>
  <c r="G246" i="2"/>
  <c r="F246" i="2"/>
  <c r="I156" i="2"/>
  <c r="G155" i="2"/>
  <c r="F155" i="2"/>
  <c r="H26" i="2"/>
  <c r="F1796" i="2"/>
  <c r="H1797" i="2"/>
  <c r="I1797" i="2"/>
  <c r="F1634" i="2"/>
  <c r="I1635" i="2"/>
  <c r="I1767" i="2"/>
  <c r="F1766" i="2"/>
  <c r="H1767" i="2"/>
  <c r="I1680" i="2"/>
  <c r="F1679" i="2"/>
  <c r="G1679" i="2"/>
  <c r="F1543" i="2"/>
  <c r="I1544" i="2"/>
  <c r="H1544" i="2"/>
  <c r="I1390" i="2"/>
  <c r="G1389" i="2"/>
  <c r="F1389" i="2"/>
  <c r="H1390" i="2"/>
  <c r="I1506" i="2"/>
  <c r="H1506" i="2"/>
  <c r="G1505" i="2"/>
  <c r="F1505" i="2"/>
  <c r="I1836" i="2"/>
  <c r="H1836" i="2"/>
  <c r="G1835" i="2"/>
  <c r="F1835" i="2"/>
  <c r="F1433" i="2"/>
  <c r="I1434" i="2"/>
  <c r="H1575" i="2"/>
  <c r="I1469" i="2"/>
  <c r="F1468" i="2"/>
  <c r="H1587" i="2"/>
  <c r="G1642" i="2"/>
  <c r="F1642" i="2"/>
  <c r="I1643" i="2"/>
  <c r="F1411" i="2"/>
  <c r="I1412" i="2"/>
  <c r="H1412" i="2"/>
  <c r="G1411" i="2"/>
  <c r="F1406" i="2"/>
  <c r="I1407" i="2"/>
  <c r="I1302" i="2"/>
  <c r="G1301" i="2"/>
  <c r="F1301" i="2"/>
  <c r="H1406" i="2"/>
  <c r="H1434" i="2"/>
  <c r="I1554" i="2"/>
  <c r="H1554" i="2"/>
  <c r="G1553" i="2"/>
  <c r="F1553" i="2"/>
  <c r="I1355" i="2"/>
  <c r="G1354" i="2"/>
  <c r="F1354" i="2"/>
  <c r="H1149" i="2"/>
  <c r="F1269" i="2"/>
  <c r="I1270" i="2"/>
  <c r="I1134" i="2"/>
  <c r="F1133" i="2"/>
  <c r="H1134" i="2"/>
  <c r="F1174" i="2"/>
  <c r="I1175" i="2"/>
  <c r="G1174" i="2"/>
  <c r="I1312" i="2"/>
  <c r="J1312" i="2" s="1"/>
  <c r="G1311" i="2"/>
  <c r="F1311" i="2"/>
  <c r="I1775" i="2"/>
  <c r="H1775" i="2"/>
  <c r="G1774" i="2"/>
  <c r="F1774" i="2"/>
  <c r="F1298" i="2"/>
  <c r="I1299" i="2"/>
  <c r="H1299" i="2"/>
  <c r="G1298" i="2"/>
  <c r="G1148" i="2"/>
  <c r="G1161" i="2"/>
  <c r="F1161" i="2"/>
  <c r="I1162" i="2"/>
  <c r="H1162" i="2"/>
  <c r="H1061" i="2"/>
  <c r="I1229" i="2"/>
  <c r="G1228" i="2"/>
  <c r="F1228" i="2"/>
  <c r="H1046" i="2"/>
  <c r="H1378" i="2"/>
  <c r="G1220" i="2"/>
  <c r="F1220" i="2"/>
  <c r="I1221" i="2"/>
  <c r="H1221" i="2"/>
  <c r="I1197" i="2"/>
  <c r="F1196" i="2"/>
  <c r="F1195" i="2"/>
  <c r="I1196" i="2"/>
  <c r="F1191" i="2"/>
  <c r="H1192" i="2"/>
  <c r="I1192" i="2"/>
  <c r="I992" i="2"/>
  <c r="F991" i="2"/>
  <c r="H992" i="2"/>
  <c r="F1126" i="2"/>
  <c r="I1127" i="2"/>
  <c r="G1126" i="2"/>
  <c r="H950" i="2"/>
  <c r="I1072" i="2"/>
  <c r="F1071" i="2"/>
  <c r="F956" i="2"/>
  <c r="I957" i="2"/>
  <c r="H957" i="2"/>
  <c r="H1047" i="2"/>
  <c r="F968" i="2"/>
  <c r="I969" i="2"/>
  <c r="H969" i="2"/>
  <c r="F1122" i="2"/>
  <c r="I1123" i="2"/>
  <c r="H1123" i="2"/>
  <c r="G975" i="2"/>
  <c r="H984" i="2"/>
  <c r="G1087" i="2"/>
  <c r="I920" i="2"/>
  <c r="G919" i="2"/>
  <c r="F919" i="2"/>
  <c r="F836" i="2"/>
  <c r="I837" i="2"/>
  <c r="G808" i="2"/>
  <c r="F808" i="2"/>
  <c r="I809" i="2"/>
  <c r="H809" i="2"/>
  <c r="I889" i="2"/>
  <c r="G888" i="2"/>
  <c r="F888" i="2"/>
  <c r="I834" i="2"/>
  <c r="H834" i="2"/>
  <c r="F833" i="2"/>
  <c r="F902" i="2"/>
  <c r="I903" i="2"/>
  <c r="H903" i="2"/>
  <c r="F857" i="2"/>
  <c r="I858" i="2"/>
  <c r="F895" i="2"/>
  <c r="I896" i="2"/>
  <c r="H896" i="2"/>
  <c r="F934" i="2"/>
  <c r="I935" i="2"/>
  <c r="H935" i="2"/>
  <c r="H1093" i="2"/>
  <c r="H855" i="2"/>
  <c r="F843" i="2"/>
  <c r="I844" i="2"/>
  <c r="I783" i="2"/>
  <c r="G782" i="2"/>
  <c r="F782" i="2"/>
  <c r="H790" i="2"/>
  <c r="I701" i="2"/>
  <c r="G700" i="2"/>
  <c r="F700" i="2"/>
  <c r="G668" i="2"/>
  <c r="I829" i="2"/>
  <c r="F828" i="2"/>
  <c r="I699" i="2"/>
  <c r="G698" i="2"/>
  <c r="F698" i="2"/>
  <c r="I805" i="2"/>
  <c r="I675" i="2"/>
  <c r="F674" i="2"/>
  <c r="I613" i="2"/>
  <c r="G612" i="2"/>
  <c r="F612" i="2"/>
  <c r="I655" i="2"/>
  <c r="G654" i="2"/>
  <c r="F654" i="2"/>
  <c r="F522" i="2"/>
  <c r="I523" i="2"/>
  <c r="F756" i="2"/>
  <c r="I757" i="2"/>
  <c r="H757" i="2"/>
  <c r="F730" i="2"/>
  <c r="I731" i="2"/>
  <c r="I712" i="2"/>
  <c r="H712" i="2"/>
  <c r="G711" i="2"/>
  <c r="F711" i="2"/>
  <c r="I400" i="2"/>
  <c r="H400" i="2"/>
  <c r="F399" i="2"/>
  <c r="F504" i="2"/>
  <c r="G504" i="2"/>
  <c r="I505" i="2"/>
  <c r="H505" i="2"/>
  <c r="F353" i="2"/>
  <c r="I354" i="2"/>
  <c r="H354" i="2"/>
  <c r="G566" i="2"/>
  <c r="I665" i="2"/>
  <c r="F664" i="2"/>
  <c r="I447" i="2"/>
  <c r="F446" i="2"/>
  <c r="F315" i="2"/>
  <c r="I316" i="2"/>
  <c r="H316" i="2"/>
  <c r="I544" i="2"/>
  <c r="H544" i="2"/>
  <c r="F543" i="2"/>
  <c r="I492" i="2"/>
  <c r="H492" i="2"/>
  <c r="F491" i="2"/>
  <c r="H335" i="2"/>
  <c r="G580" i="2"/>
  <c r="F580" i="2"/>
  <c r="I581" i="2"/>
  <c r="G486" i="2"/>
  <c r="I509" i="2"/>
  <c r="G508" i="2"/>
  <c r="F508" i="2"/>
  <c r="H509" i="2"/>
  <c r="I640" i="2"/>
  <c r="F639" i="2"/>
  <c r="F520" i="2"/>
  <c r="I521" i="2"/>
  <c r="H521" i="2"/>
  <c r="G520" i="2"/>
  <c r="F397" i="2"/>
  <c r="I398" i="2"/>
  <c r="H398" i="2"/>
  <c r="G226" i="2"/>
  <c r="H555" i="2"/>
  <c r="I463" i="2"/>
  <c r="F462" i="2"/>
  <c r="G346" i="2"/>
  <c r="I211" i="2"/>
  <c r="F210" i="2"/>
  <c r="H597" i="2"/>
  <c r="H463" i="2"/>
  <c r="I275" i="2"/>
  <c r="H275" i="2"/>
  <c r="F274" i="2"/>
  <c r="I328" i="2"/>
  <c r="H328" i="2"/>
  <c r="F327" i="2"/>
  <c r="G351" i="2"/>
  <c r="I135" i="2"/>
  <c r="H135" i="2"/>
  <c r="G134" i="2"/>
  <c r="F134" i="2"/>
  <c r="F317" i="2"/>
  <c r="H318" i="2"/>
  <c r="I318" i="2"/>
  <c r="H142" i="2"/>
  <c r="I229" i="2"/>
  <c r="G228" i="2"/>
  <c r="F228" i="2"/>
  <c r="G100" i="2"/>
  <c r="F100" i="2"/>
  <c r="I101" i="2"/>
  <c r="I131" i="2"/>
  <c r="F130" i="2"/>
  <c r="G426" i="2"/>
  <c r="G298" i="2"/>
  <c r="I149" i="2"/>
  <c r="F148" i="2"/>
  <c r="G148" i="2"/>
  <c r="I147" i="2"/>
  <c r="F146" i="2"/>
  <c r="I44" i="2"/>
  <c r="F43" i="2"/>
  <c r="H44" i="2"/>
  <c r="F190" i="2"/>
  <c r="I191" i="2"/>
  <c r="H191" i="2"/>
  <c r="F345" i="2"/>
  <c r="I346" i="2"/>
  <c r="I254" i="2"/>
  <c r="H254" i="2"/>
  <c r="F253" i="2"/>
  <c r="J329" i="2"/>
  <c r="F126" i="2"/>
  <c r="I127" i="2"/>
  <c r="H127" i="2"/>
  <c r="I21" i="2"/>
  <c r="G20" i="2"/>
  <c r="F20" i="2"/>
  <c r="G144" i="2"/>
  <c r="F144" i="2"/>
  <c r="I145" i="2"/>
  <c r="H145" i="2"/>
  <c r="I1632" i="2"/>
  <c r="G1631" i="2"/>
  <c r="F1631" i="2"/>
  <c r="F1520" i="2"/>
  <c r="I1521" i="2"/>
  <c r="H1521" i="2"/>
  <c r="I1385" i="2"/>
  <c r="G1384" i="2"/>
  <c r="F1384" i="2"/>
  <c r="I1614" i="2"/>
  <c r="G1613" i="2"/>
  <c r="F1613" i="2"/>
  <c r="F1372" i="2"/>
  <c r="I1373" i="2"/>
  <c r="H1373" i="2"/>
  <c r="F1476" i="2"/>
  <c r="I1477" i="2"/>
  <c r="G1476" i="2"/>
  <c r="F1856" i="2"/>
  <c r="I1857" i="2"/>
  <c r="F1580" i="2"/>
  <c r="I1581" i="2"/>
  <c r="H1581" i="2"/>
  <c r="F1568" i="2"/>
  <c r="I1569" i="2"/>
  <c r="H1569" i="2"/>
  <c r="I1395" i="2"/>
  <c r="F1394" i="2"/>
  <c r="I1568" i="2"/>
  <c r="G1567" i="2"/>
  <c r="F1567" i="2"/>
  <c r="I1621" i="2"/>
  <c r="G1620" i="2"/>
  <c r="F1620" i="2"/>
  <c r="I1353" i="2"/>
  <c r="G1352" i="2"/>
  <c r="F1352" i="2"/>
  <c r="I1567" i="2"/>
  <c r="H1449" i="2"/>
  <c r="F1397" i="2"/>
  <c r="H1398" i="2"/>
  <c r="I1398" i="2"/>
  <c r="F1344" i="2"/>
  <c r="G1344" i="2"/>
  <c r="I1345" i="2"/>
  <c r="H1345" i="2"/>
  <c r="G1406" i="2"/>
  <c r="I1289" i="2"/>
  <c r="F1288" i="2"/>
  <c r="H1289" i="2"/>
  <c r="I1397" i="2"/>
  <c r="G1396" i="2"/>
  <c r="F1396" i="2"/>
  <c r="F1461" i="2"/>
  <c r="I1462" i="2"/>
  <c r="H1462" i="2"/>
  <c r="G1261" i="2"/>
  <c r="F1261" i="2"/>
  <c r="I1262" i="2"/>
  <c r="H1262" i="2"/>
  <c r="I1350" i="2"/>
  <c r="G1349" i="2"/>
  <c r="F1349" i="2"/>
  <c r="F1332" i="2"/>
  <c r="I1333" i="2"/>
  <c r="H1333" i="2"/>
  <c r="F1278" i="2"/>
  <c r="I1279" i="2"/>
  <c r="H1279" i="2"/>
  <c r="I1288" i="2"/>
  <c r="F1287" i="2"/>
  <c r="H1288" i="2"/>
  <c r="I1264" i="2"/>
  <c r="G1263" i="2"/>
  <c r="F1263" i="2"/>
  <c r="F1449" i="2"/>
  <c r="I1450" i="2"/>
  <c r="F1158" i="2"/>
  <c r="I1159" i="2"/>
  <c r="G1158" i="2"/>
  <c r="I1287" i="2"/>
  <c r="F1286" i="2"/>
  <c r="F1776" i="2"/>
  <c r="I1777" i="2"/>
  <c r="H1777" i="2"/>
  <c r="G1277" i="2"/>
  <c r="I1278" i="2"/>
  <c r="F1277" i="2"/>
  <c r="F1138" i="2"/>
  <c r="I1139" i="2"/>
  <c r="H1139" i="2"/>
  <c r="G1163" i="2"/>
  <c r="H1177" i="2"/>
  <c r="I1261" i="2"/>
  <c r="H1261" i="2"/>
  <c r="G1260" i="2"/>
  <c r="F1260" i="2"/>
  <c r="H1218" i="2"/>
  <c r="H1062" i="2"/>
  <c r="G1225" i="2"/>
  <c r="F1225" i="2"/>
  <c r="I1226" i="2"/>
  <c r="H1226" i="2"/>
  <c r="F1235" i="2"/>
  <c r="I1236" i="2"/>
  <c r="H1236" i="2"/>
  <c r="F1026" i="2"/>
  <c r="I1027" i="2"/>
  <c r="H1027" i="2"/>
  <c r="I1152" i="2"/>
  <c r="F1151" i="2"/>
  <c r="G1101" i="2"/>
  <c r="I1181" i="2"/>
  <c r="F1180" i="2"/>
  <c r="H975" i="2"/>
  <c r="F1064" i="2"/>
  <c r="I1065" i="2"/>
  <c r="F1106" i="2"/>
  <c r="I1107" i="2"/>
  <c r="H1107" i="2"/>
  <c r="G1106" i="2"/>
  <c r="F936" i="2"/>
  <c r="I937" i="2"/>
  <c r="H937" i="2"/>
  <c r="H1064" i="2"/>
  <c r="G950" i="2"/>
  <c r="I1039" i="2"/>
  <c r="F1038" i="2"/>
  <c r="F925" i="2"/>
  <c r="I926" i="2"/>
  <c r="F1111" i="2"/>
  <c r="H1112" i="2"/>
  <c r="I1112" i="2"/>
  <c r="I965" i="2"/>
  <c r="H965" i="2"/>
  <c r="F964" i="2"/>
  <c r="G964" i="2"/>
  <c r="I915" i="2"/>
  <c r="G914" i="2"/>
  <c r="F914" i="2"/>
  <c r="G1034" i="2"/>
  <c r="F1034" i="2"/>
  <c r="I1035" i="2"/>
  <c r="H1035" i="2"/>
  <c r="I993" i="2"/>
  <c r="H993" i="2"/>
  <c r="G992" i="2"/>
  <c r="F992" i="2"/>
  <c r="H994" i="2"/>
  <c r="I1026" i="2"/>
  <c r="I879" i="2"/>
  <c r="G878" i="2"/>
  <c r="F878" i="2"/>
  <c r="I1000" i="2"/>
  <c r="G999" i="2"/>
  <c r="F999" i="2"/>
  <c r="F834" i="2"/>
  <c r="I835" i="2"/>
  <c r="H835" i="2"/>
  <c r="H714" i="2"/>
  <c r="G912" i="2"/>
  <c r="I852" i="2"/>
  <c r="H852" i="2"/>
  <c r="G851" i="2"/>
  <c r="F851" i="2"/>
  <c r="F736" i="2"/>
  <c r="I737" i="2"/>
  <c r="F753" i="2"/>
  <c r="H754" i="2"/>
  <c r="I754" i="2"/>
  <c r="I719" i="2"/>
  <c r="G718" i="2"/>
  <c r="F718" i="2"/>
  <c r="H719" i="2"/>
  <c r="I867" i="2"/>
  <c r="G866" i="2"/>
  <c r="F866" i="2"/>
  <c r="F826" i="2"/>
  <c r="I827" i="2"/>
  <c r="G826" i="2"/>
  <c r="I750" i="2"/>
  <c r="H750" i="2"/>
  <c r="F749" i="2"/>
  <c r="G792" i="2"/>
  <c r="F792" i="2"/>
  <c r="I793" i="2"/>
  <c r="G670" i="2"/>
  <c r="I671" i="2"/>
  <c r="F670" i="2"/>
  <c r="F588" i="2"/>
  <c r="I589" i="2"/>
  <c r="H589" i="2"/>
  <c r="H649" i="2"/>
  <c r="I649" i="2"/>
  <c r="F648" i="2"/>
  <c r="F506" i="2"/>
  <c r="I507" i="2"/>
  <c r="I994" i="2"/>
  <c r="I723" i="2"/>
  <c r="F722" i="2"/>
  <c r="H723" i="2"/>
  <c r="I718" i="2"/>
  <c r="H718" i="2"/>
  <c r="F717" i="2"/>
  <c r="G395" i="2"/>
  <c r="F633" i="2"/>
  <c r="I634" i="2"/>
  <c r="H634" i="2"/>
  <c r="F498" i="2"/>
  <c r="I499" i="2"/>
  <c r="H499" i="2"/>
  <c r="I351" i="2"/>
  <c r="F350" i="2"/>
  <c r="I678" i="2"/>
  <c r="G677" i="2"/>
  <c r="F677" i="2"/>
  <c r="H566" i="2"/>
  <c r="I360" i="2"/>
  <c r="H360" i="2"/>
  <c r="F359" i="2"/>
  <c r="G665" i="2"/>
  <c r="G485" i="2"/>
  <c r="F485" i="2"/>
  <c r="I486" i="2"/>
  <c r="F331" i="2"/>
  <c r="I332" i="2"/>
  <c r="H332" i="2"/>
  <c r="F578" i="2"/>
  <c r="I579" i="2"/>
  <c r="H579" i="2"/>
  <c r="H486" i="2"/>
  <c r="F660" i="2"/>
  <c r="I661" i="2"/>
  <c r="G509" i="2"/>
  <c r="F320" i="2"/>
  <c r="I321" i="2"/>
  <c r="H321" i="2"/>
  <c r="G640" i="2"/>
  <c r="F306" i="2"/>
  <c r="H307" i="2"/>
  <c r="I307" i="2"/>
  <c r="I500" i="2"/>
  <c r="H500" i="2"/>
  <c r="G499" i="2"/>
  <c r="F499" i="2"/>
  <c r="H387" i="2"/>
  <c r="I387" i="2"/>
  <c r="F386" i="2"/>
  <c r="H547" i="2"/>
  <c r="G458" i="2"/>
  <c r="I331" i="2"/>
  <c r="G330" i="2"/>
  <c r="F330" i="2"/>
  <c r="I596" i="2"/>
  <c r="H596" i="2"/>
  <c r="G595" i="2"/>
  <c r="F595" i="2"/>
  <c r="I449" i="2"/>
  <c r="H449" i="2"/>
  <c r="G448" i="2"/>
  <c r="F448" i="2"/>
  <c r="H525" i="2"/>
  <c r="F505" i="2"/>
  <c r="G505" i="2"/>
  <c r="I506" i="2"/>
  <c r="I311" i="2"/>
  <c r="H311" i="2"/>
  <c r="F310" i="2"/>
  <c r="F124" i="2"/>
  <c r="I125" i="2"/>
  <c r="H125" i="2"/>
  <c r="G124" i="2"/>
  <c r="F137" i="2"/>
  <c r="I138" i="2"/>
  <c r="F227" i="2"/>
  <c r="I228" i="2"/>
  <c r="H228" i="2"/>
  <c r="H298" i="2"/>
  <c r="F93" i="2"/>
  <c r="I94" i="2"/>
  <c r="G176" i="2"/>
  <c r="F176" i="2"/>
  <c r="I177" i="2"/>
  <c r="H61" i="2"/>
  <c r="G60" i="2"/>
  <c r="F60" i="2"/>
  <c r="I61" i="2"/>
  <c r="I452" i="2"/>
  <c r="H452" i="2"/>
  <c r="F451" i="2"/>
  <c r="G451" i="2"/>
  <c r="G137" i="2"/>
  <c r="I76" i="2"/>
  <c r="G75" i="2"/>
  <c r="F75" i="2"/>
  <c r="I192" i="2"/>
  <c r="H192" i="2"/>
  <c r="G191" i="2"/>
  <c r="F191" i="2"/>
  <c r="F165" i="2"/>
  <c r="I166" i="2"/>
  <c r="H166" i="2"/>
  <c r="F56" i="2"/>
  <c r="I57" i="2"/>
  <c r="J57" i="2" s="1"/>
  <c r="G56" i="2"/>
  <c r="F389" i="2"/>
  <c r="I390" i="2"/>
  <c r="G389" i="2"/>
  <c r="I252" i="2"/>
  <c r="H252" i="2"/>
  <c r="F251" i="2"/>
  <c r="G251" i="2"/>
  <c r="F152" i="2"/>
  <c r="I153" i="2"/>
  <c r="H312" i="2"/>
  <c r="J302" i="2"/>
  <c r="I128" i="2"/>
  <c r="G127" i="2"/>
  <c r="F127" i="2"/>
  <c r="H128" i="2"/>
  <c r="I431" i="2"/>
  <c r="F430" i="2"/>
  <c r="I245" i="2"/>
  <c r="G244" i="2"/>
  <c r="F244" i="2"/>
  <c r="I115" i="2"/>
  <c r="F114" i="2"/>
  <c r="G114" i="2"/>
  <c r="H34" i="2"/>
  <c r="H46" i="2"/>
  <c r="H60" i="2"/>
  <c r="I2063" i="2"/>
  <c r="G2062" i="2"/>
  <c r="F2062" i="2"/>
  <c r="H2063" i="2"/>
  <c r="I1924" i="2"/>
  <c r="F1923" i="2"/>
  <c r="H1924" i="2"/>
  <c r="G1923" i="2"/>
  <c r="F1992" i="2"/>
  <c r="I1993" i="2"/>
  <c r="H1993" i="2"/>
  <c r="I1848" i="2"/>
  <c r="F1847" i="2"/>
  <c r="H1848" i="2"/>
  <c r="F1857" i="2"/>
  <c r="I1858" i="2"/>
  <c r="I1916" i="2"/>
  <c r="H1916" i="2"/>
  <c r="G1915" i="2"/>
  <c r="F1915" i="2"/>
  <c r="F1952" i="2"/>
  <c r="I1953" i="2"/>
  <c r="F2146" i="2"/>
  <c r="I2147" i="2"/>
  <c r="G2146" i="2"/>
  <c r="G1836" i="2"/>
  <c r="F1836" i="2"/>
  <c r="I1837" i="2"/>
  <c r="H1837" i="2"/>
  <c r="F1924" i="2"/>
  <c r="I1925" i="2"/>
  <c r="H1925" i="2"/>
  <c r="G1924" i="2"/>
  <c r="F1908" i="2"/>
  <c r="I1909" i="2"/>
  <c r="H1909" i="2"/>
  <c r="G1908" i="2"/>
  <c r="I1803" i="2"/>
  <c r="H1803" i="2"/>
  <c r="F1802" i="2"/>
  <c r="F1842" i="2"/>
  <c r="I1843" i="2"/>
  <c r="I1922" i="2"/>
  <c r="G1921" i="2"/>
  <c r="F1921" i="2"/>
  <c r="F1817" i="2"/>
  <c r="I1818" i="2"/>
  <c r="I2049" i="2"/>
  <c r="G2048" i="2"/>
  <c r="F2048" i="2"/>
  <c r="I2061" i="2"/>
  <c r="F2060" i="2"/>
  <c r="G2060" i="2"/>
  <c r="F1815" i="2"/>
  <c r="I1816" i="2"/>
  <c r="H1816" i="2"/>
  <c r="I1650" i="2"/>
  <c r="H1650" i="2"/>
  <c r="F1649" i="2"/>
  <c r="G1649" i="2"/>
  <c r="G1677" i="2"/>
  <c r="F1677" i="2"/>
  <c r="I1678" i="2"/>
  <c r="H1731" i="2"/>
  <c r="G1791" i="2"/>
  <c r="I1792" i="2"/>
  <c r="F1791" i="2"/>
  <c r="H1643" i="2"/>
  <c r="I1652" i="2"/>
  <c r="F1651" i="2"/>
  <c r="I1689" i="2"/>
  <c r="G1688" i="2"/>
  <c r="F1688" i="2"/>
  <c r="F1778" i="2"/>
  <c r="I1779" i="2"/>
  <c r="H1779" i="2"/>
  <c r="G1547" i="2"/>
  <c r="F1547" i="2"/>
  <c r="I1548" i="2"/>
  <c r="H1548" i="2"/>
  <c r="I1664" i="2"/>
  <c r="F1663" i="2"/>
  <c r="I1694" i="2"/>
  <c r="G1693" i="2"/>
  <c r="F1693" i="2"/>
  <c r="G1706" i="2"/>
  <c r="I1604" i="2"/>
  <c r="F1603" i="2"/>
  <c r="I1515" i="2"/>
  <c r="F1514" i="2"/>
  <c r="G1514" i="2"/>
  <c r="F1381" i="2"/>
  <c r="I1382" i="2"/>
  <c r="H1382" i="2"/>
  <c r="G1381" i="2"/>
  <c r="I1467" i="2"/>
  <c r="F1466" i="2"/>
  <c r="G1466" i="2"/>
  <c r="F1564" i="2"/>
  <c r="I1565" i="2"/>
  <c r="H1565" i="2"/>
  <c r="H1371" i="2"/>
  <c r="H1470" i="2"/>
  <c r="G1372" i="2"/>
  <c r="G1426" i="2"/>
  <c r="F1646" i="2"/>
  <c r="I1647" i="2"/>
  <c r="H1647" i="2"/>
  <c r="G1646" i="2"/>
  <c r="F1475" i="2"/>
  <c r="I1476" i="2"/>
  <c r="H1476" i="2"/>
  <c r="G1475" i="2"/>
  <c r="H1862" i="2"/>
  <c r="F1424" i="2"/>
  <c r="I1425" i="2"/>
  <c r="I1563" i="2"/>
  <c r="G1562" i="2"/>
  <c r="F1562" i="2"/>
  <c r="I1459" i="2"/>
  <c r="F1458" i="2"/>
  <c r="F1385" i="2"/>
  <c r="I1386" i="2"/>
  <c r="G1385" i="2"/>
  <c r="F1548" i="2"/>
  <c r="I1549" i="2"/>
  <c r="H1549" i="2"/>
  <c r="I1624" i="2"/>
  <c r="H1624" i="2"/>
  <c r="F1623" i="2"/>
  <c r="H1383" i="2"/>
  <c r="I1421" i="2"/>
  <c r="F1420" i="2"/>
  <c r="F1383" i="2"/>
  <c r="I1384" i="2"/>
  <c r="H1384" i="2"/>
  <c r="G1285" i="2"/>
  <c r="G1346" i="2"/>
  <c r="F1221" i="2"/>
  <c r="I1222" i="2"/>
  <c r="H1222" i="2"/>
  <c r="G1221" i="2"/>
  <c r="I1369" i="2"/>
  <c r="G1368" i="2"/>
  <c r="F1368" i="2"/>
  <c r="G1286" i="2"/>
  <c r="I1367" i="2"/>
  <c r="F1366" i="2"/>
  <c r="G1366" i="2"/>
  <c r="I1433" i="2"/>
  <c r="G1432" i="2"/>
  <c r="F1432" i="2"/>
  <c r="G1329" i="2"/>
  <c r="F1329" i="2"/>
  <c r="I1330" i="2"/>
  <c r="H1330" i="2"/>
  <c r="G1269" i="2"/>
  <c r="F1275" i="2"/>
  <c r="I1276" i="2"/>
  <c r="F1239" i="2"/>
  <c r="I1240" i="2"/>
  <c r="H1418" i="2"/>
  <c r="F1142" i="2"/>
  <c r="G1142" i="2"/>
  <c r="I1143" i="2"/>
  <c r="I1284" i="2"/>
  <c r="G1283" i="2"/>
  <c r="F1283" i="2"/>
  <c r="G1778" i="2"/>
  <c r="I1242" i="2"/>
  <c r="F1241" i="2"/>
  <c r="F1175" i="2"/>
  <c r="H1176" i="2"/>
  <c r="I1176" i="2"/>
  <c r="I1277" i="2"/>
  <c r="F1276" i="2"/>
  <c r="H1277" i="2"/>
  <c r="I1129" i="2"/>
  <c r="F1128" i="2"/>
  <c r="G1128" i="2"/>
  <c r="I1461" i="2"/>
  <c r="G1460" i="2"/>
  <c r="F1460" i="2"/>
  <c r="I1170" i="2"/>
  <c r="G1169" i="2"/>
  <c r="F1169" i="2"/>
  <c r="I1378" i="2"/>
  <c r="F1042" i="2"/>
  <c r="I1043" i="2"/>
  <c r="H1043" i="2"/>
  <c r="F1198" i="2"/>
  <c r="I1199" i="2"/>
  <c r="H1199" i="2"/>
  <c r="H1023" i="2"/>
  <c r="G1119" i="2"/>
  <c r="H1293" i="2"/>
  <c r="I1053" i="2"/>
  <c r="F1052" i="2"/>
  <c r="G1052" i="2"/>
  <c r="G1108" i="2"/>
  <c r="F1108" i="2"/>
  <c r="I1109" i="2"/>
  <c r="H1109" i="2"/>
  <c r="I847" i="2"/>
  <c r="G846" i="2"/>
  <c r="F846" i="2"/>
  <c r="H967" i="2"/>
  <c r="F853" i="2"/>
  <c r="I854" i="2"/>
  <c r="H854" i="2"/>
  <c r="G853" i="2"/>
  <c r="F972" i="2"/>
  <c r="I973" i="2"/>
  <c r="H973" i="2"/>
  <c r="F1056" i="2"/>
  <c r="I1057" i="2"/>
  <c r="I1056" i="2"/>
  <c r="F1055" i="2"/>
  <c r="G925" i="2"/>
  <c r="H1056" i="2"/>
  <c r="F920" i="2"/>
  <c r="I921" i="2"/>
  <c r="H921" i="2"/>
  <c r="F884" i="2"/>
  <c r="I885" i="2"/>
  <c r="H885" i="2"/>
  <c r="H951" i="2"/>
  <c r="I1104" i="2"/>
  <c r="F1103" i="2"/>
  <c r="F961" i="2"/>
  <c r="I962" i="2"/>
  <c r="G961" i="2"/>
  <c r="G828" i="2"/>
  <c r="F1077" i="2"/>
  <c r="I1078" i="2"/>
  <c r="G1077" i="2"/>
  <c r="G901" i="2"/>
  <c r="I902" i="2"/>
  <c r="F901" i="2"/>
  <c r="I977" i="2"/>
  <c r="H977" i="2"/>
  <c r="G976" i="2"/>
  <c r="F976" i="2"/>
  <c r="I820" i="2"/>
  <c r="J820" i="2" s="1"/>
  <c r="G819" i="2"/>
  <c r="F819" i="2"/>
  <c r="F982" i="2"/>
  <c r="I983" i="2"/>
  <c r="G982" i="2"/>
  <c r="F799" i="2"/>
  <c r="G799" i="2"/>
  <c r="I800" i="2"/>
  <c r="J800" i="2" s="1"/>
  <c r="I877" i="2"/>
  <c r="F876" i="2"/>
  <c r="G836" i="2"/>
  <c r="F710" i="2"/>
  <c r="I711" i="2"/>
  <c r="H711" i="2"/>
  <c r="H912" i="2"/>
  <c r="H847" i="2"/>
  <c r="H731" i="2"/>
  <c r="I857" i="2"/>
  <c r="G856" i="2"/>
  <c r="F856" i="2"/>
  <c r="F894" i="2"/>
  <c r="I895" i="2"/>
  <c r="F900" i="2"/>
  <c r="H901" i="2"/>
  <c r="I901" i="2"/>
  <c r="I865" i="2"/>
  <c r="G864" i="2"/>
  <c r="H865" i="2"/>
  <c r="F864" i="2"/>
  <c r="I817" i="2"/>
  <c r="G816" i="2"/>
  <c r="F816" i="2"/>
  <c r="F825" i="2"/>
  <c r="I826" i="2"/>
  <c r="G825" i="2"/>
  <c r="I747" i="2"/>
  <c r="F746" i="2"/>
  <c r="G746" i="2"/>
  <c r="G753" i="2"/>
  <c r="I975" i="2"/>
  <c r="G686" i="2"/>
  <c r="F686" i="2"/>
  <c r="I687" i="2"/>
  <c r="H687" i="2"/>
  <c r="G475" i="2"/>
  <c r="F666" i="2"/>
  <c r="I667" i="2"/>
  <c r="H666" i="2"/>
  <c r="I765" i="2"/>
  <c r="G764" i="2"/>
  <c r="F764" i="2"/>
  <c r="G575" i="2"/>
  <c r="G417" i="2"/>
  <c r="G622" i="2"/>
  <c r="I599" i="2"/>
  <c r="G598" i="2"/>
  <c r="F598" i="2"/>
  <c r="I648" i="2"/>
  <c r="H648" i="2"/>
  <c r="F647" i="2"/>
  <c r="F490" i="2"/>
  <c r="I491" i="2"/>
  <c r="H655" i="2"/>
  <c r="I740" i="2"/>
  <c r="G739" i="2"/>
  <c r="F739" i="2"/>
  <c r="H740" i="2"/>
  <c r="F493" i="2"/>
  <c r="I494" i="2"/>
  <c r="I624" i="2"/>
  <c r="J624" i="2" s="1"/>
  <c r="G623" i="2"/>
  <c r="F623" i="2"/>
  <c r="I493" i="2"/>
  <c r="G492" i="2"/>
  <c r="F492" i="2"/>
  <c r="H493" i="2"/>
  <c r="H337" i="2"/>
  <c r="I676" i="2"/>
  <c r="G675" i="2"/>
  <c r="F675" i="2"/>
  <c r="H665" i="2"/>
  <c r="I429" i="2"/>
  <c r="G428" i="2"/>
  <c r="F428" i="2"/>
  <c r="H429" i="2"/>
  <c r="H550" i="2"/>
  <c r="F441" i="2"/>
  <c r="I442" i="2"/>
  <c r="G320" i="2"/>
  <c r="I572" i="2"/>
  <c r="H572" i="2"/>
  <c r="F571" i="2"/>
  <c r="I481" i="2"/>
  <c r="H481" i="2"/>
  <c r="G480" i="2"/>
  <c r="F480" i="2"/>
  <c r="G366" i="2"/>
  <c r="I642" i="2"/>
  <c r="F641" i="2"/>
  <c r="H503" i="2"/>
  <c r="F309" i="2"/>
  <c r="I310" i="2"/>
  <c r="H640" i="2"/>
  <c r="F497" i="2"/>
  <c r="H498" i="2"/>
  <c r="I498" i="2"/>
  <c r="I547" i="2"/>
  <c r="H315" i="2"/>
  <c r="G327" i="2"/>
  <c r="I195" i="2"/>
  <c r="F194" i="2"/>
  <c r="G596" i="2"/>
  <c r="F596" i="2"/>
  <c r="I597" i="2"/>
  <c r="I416" i="2"/>
  <c r="F415" i="2"/>
  <c r="H416" i="2"/>
  <c r="I236" i="2"/>
  <c r="F235" i="2"/>
  <c r="G235" i="2"/>
  <c r="F488" i="2"/>
  <c r="I489" i="2"/>
  <c r="H489" i="2"/>
  <c r="G488" i="2"/>
  <c r="I280" i="2"/>
  <c r="H280" i="2"/>
  <c r="G279" i="2"/>
  <c r="F279" i="2"/>
  <c r="I477" i="2"/>
  <c r="G476" i="2"/>
  <c r="F476" i="2"/>
  <c r="F117" i="2"/>
  <c r="I118" i="2"/>
  <c r="H118" i="2"/>
  <c r="F324" i="2"/>
  <c r="I325" i="2"/>
  <c r="G324" i="2"/>
  <c r="G130" i="2"/>
  <c r="G229" i="2"/>
  <c r="F425" i="2"/>
  <c r="I426" i="2"/>
  <c r="G425" i="2"/>
  <c r="I87" i="2"/>
  <c r="H87" i="2"/>
  <c r="G86" i="2"/>
  <c r="F86" i="2"/>
  <c r="G296" i="2"/>
  <c r="F296" i="2"/>
  <c r="I297" i="2"/>
  <c r="H175" i="2"/>
  <c r="I175" i="2"/>
  <c r="F174" i="2"/>
  <c r="F525" i="2"/>
  <c r="I526" i="2"/>
  <c r="H90" i="2"/>
  <c r="H31" i="2"/>
  <c r="F30" i="2"/>
  <c r="I31" i="2"/>
  <c r="F161" i="2"/>
  <c r="I162" i="2"/>
  <c r="F65" i="2"/>
  <c r="I66" i="2"/>
  <c r="G193" i="2"/>
  <c r="G18" i="2"/>
  <c r="G160" i="2"/>
  <c r="F160" i="2"/>
  <c r="I161" i="2"/>
  <c r="G393" i="2"/>
  <c r="I255" i="2"/>
  <c r="G254" i="2"/>
  <c r="F254" i="2"/>
  <c r="G131" i="2"/>
  <c r="I132" i="2"/>
  <c r="F131" i="2"/>
  <c r="H132" i="2"/>
  <c r="I312" i="2"/>
  <c r="I303" i="2"/>
  <c r="G129" i="2"/>
  <c r="F243" i="2"/>
  <c r="I244" i="2"/>
  <c r="H244" i="2"/>
  <c r="G105" i="2"/>
  <c r="I18" i="2"/>
  <c r="G30" i="2"/>
  <c r="H28" i="2"/>
  <c r="H22" i="2"/>
  <c r="G2113" i="2"/>
  <c r="I2114" i="2"/>
  <c r="F2113" i="2"/>
  <c r="F2053" i="2"/>
  <c r="I2054" i="2"/>
  <c r="I2062" i="2"/>
  <c r="H2062" i="2"/>
  <c r="F2061" i="2"/>
  <c r="G2053" i="2"/>
  <c r="F1920" i="2"/>
  <c r="I1921" i="2"/>
  <c r="F1944" i="2"/>
  <c r="I1945" i="2"/>
  <c r="I1960" i="2"/>
  <c r="F1959" i="2"/>
  <c r="G1959" i="2"/>
  <c r="F2136" i="2"/>
  <c r="I2137" i="2"/>
  <c r="H2137" i="2"/>
  <c r="G1998" i="2"/>
  <c r="I1999" i="2"/>
  <c r="H1999" i="2"/>
  <c r="F1998" i="2"/>
  <c r="I1832" i="2"/>
  <c r="F1831" i="2"/>
  <c r="H1832" i="2"/>
  <c r="H1963" i="2"/>
  <c r="F1967" i="2"/>
  <c r="I1968" i="2"/>
  <c r="G1967" i="2"/>
  <c r="I1903" i="2"/>
  <c r="H1903" i="2"/>
  <c r="G1902" i="2"/>
  <c r="F1902" i="2"/>
  <c r="I1834" i="2"/>
  <c r="F1833" i="2"/>
  <c r="G1925" i="2"/>
  <c r="F1925" i="2"/>
  <c r="I1926" i="2"/>
  <c r="J1926" i="2" s="1"/>
  <c r="F1709" i="2"/>
  <c r="I1710" i="2"/>
  <c r="H1710" i="2"/>
  <c r="F1837" i="2"/>
  <c r="I1838" i="2"/>
  <c r="I1812" i="2"/>
  <c r="G1811" i="2"/>
  <c r="F1811" i="2"/>
  <c r="I2046" i="2"/>
  <c r="H2046" i="2"/>
  <c r="G2045" i="2"/>
  <c r="F2045" i="2"/>
  <c r="F1753" i="2"/>
  <c r="I1754" i="2"/>
  <c r="I1962" i="2"/>
  <c r="F2055" i="2"/>
  <c r="I2056" i="2"/>
  <c r="G2055" i="2"/>
  <c r="G1666" i="2"/>
  <c r="I1718" i="2"/>
  <c r="F1717" i="2"/>
  <c r="F1788" i="2"/>
  <c r="I1789" i="2"/>
  <c r="H1789" i="2"/>
  <c r="F1621" i="2"/>
  <c r="I1622" i="2"/>
  <c r="H1622" i="2"/>
  <c r="F1671" i="2"/>
  <c r="I1672" i="2"/>
  <c r="H1672" i="2"/>
  <c r="I1753" i="2"/>
  <c r="G1752" i="2"/>
  <c r="F1752" i="2"/>
  <c r="F1650" i="2"/>
  <c r="I1651" i="2"/>
  <c r="H1810" i="2"/>
  <c r="H1706" i="2"/>
  <c r="F1484" i="2"/>
  <c r="I1485" i="2"/>
  <c r="I1552" i="2"/>
  <c r="G1551" i="2"/>
  <c r="F1551" i="2"/>
  <c r="F1465" i="2"/>
  <c r="I1466" i="2"/>
  <c r="H1466" i="2"/>
  <c r="F1518" i="2"/>
  <c r="J1518" i="2" s="1"/>
  <c r="I1519" i="2"/>
  <c r="H1519" i="2"/>
  <c r="G1603" i="2"/>
  <c r="I1575" i="2"/>
  <c r="G1574" i="2"/>
  <c r="F1574" i="2"/>
  <c r="I1422" i="2"/>
  <c r="F1421" i="2"/>
  <c r="F1541" i="2"/>
  <c r="I1542" i="2"/>
  <c r="H1542" i="2"/>
  <c r="I1431" i="2"/>
  <c r="G1430" i="2"/>
  <c r="F1430" i="2"/>
  <c r="G1378" i="2"/>
  <c r="I1536" i="2"/>
  <c r="G1535" i="2"/>
  <c r="F1535" i="2"/>
  <c r="I1486" i="2"/>
  <c r="F1485" i="2"/>
  <c r="I1561" i="2"/>
  <c r="G1560" i="2"/>
  <c r="F1560" i="2"/>
  <c r="F1379" i="2"/>
  <c r="I1380" i="2"/>
  <c r="H1380" i="2"/>
  <c r="G1379" i="2"/>
  <c r="F1559" i="2"/>
  <c r="I1560" i="2"/>
  <c r="H1560" i="2"/>
  <c r="F1668" i="2"/>
  <c r="I1669" i="2"/>
  <c r="H1669" i="2"/>
  <c r="G1207" i="2"/>
  <c r="I1362" i="2"/>
  <c r="G1361" i="2"/>
  <c r="F1361" i="2"/>
  <c r="G1405" i="2"/>
  <c r="I1304" i="2"/>
  <c r="F1303" i="2"/>
  <c r="H1304" i="2"/>
  <c r="I1522" i="2"/>
  <c r="H1522" i="2"/>
  <c r="G1521" i="2"/>
  <c r="F1521" i="2"/>
  <c r="G1236" i="2"/>
  <c r="G1400" i="2"/>
  <c r="F1400" i="2"/>
  <c r="I1401" i="2"/>
  <c r="I1527" i="2"/>
  <c r="G1526" i="2"/>
  <c r="F1526" i="2"/>
  <c r="F1280" i="2"/>
  <c r="I1281" i="2"/>
  <c r="H1281" i="2"/>
  <c r="G1280" i="2"/>
  <c r="H1778" i="2"/>
  <c r="F1266" i="2"/>
  <c r="H1267" i="2"/>
  <c r="I1267" i="2"/>
  <c r="F1088" i="2"/>
  <c r="I1089" i="2"/>
  <c r="G1088" i="2"/>
  <c r="H1089" i="2"/>
  <c r="F1159" i="2"/>
  <c r="H1160" i="2"/>
  <c r="I1160" i="2"/>
  <c r="G1474" i="2"/>
  <c r="I1475" i="2"/>
  <c r="H1475" i="2"/>
  <c r="F1474" i="2"/>
  <c r="F1168" i="2"/>
  <c r="I1169" i="2"/>
  <c r="H1169" i="2"/>
  <c r="F1264" i="2"/>
  <c r="I1265" i="2"/>
  <c r="H1265" i="2"/>
  <c r="H1161" i="2"/>
  <c r="I1339" i="2"/>
  <c r="G1338" i="2"/>
  <c r="F1338" i="2"/>
  <c r="H1168" i="2"/>
  <c r="H1326" i="2"/>
  <c r="F1118" i="2"/>
  <c r="I1119" i="2"/>
  <c r="I1293" i="2"/>
  <c r="H1152" i="2"/>
  <c r="I1335" i="2"/>
  <c r="F1334" i="2"/>
  <c r="H1106" i="2"/>
  <c r="I1101" i="2"/>
  <c r="G1100" i="2"/>
  <c r="F1100" i="2"/>
  <c r="H1022" i="2"/>
  <c r="H1207" i="2"/>
  <c r="F969" i="2"/>
  <c r="I970" i="2"/>
  <c r="H970" i="2"/>
  <c r="F910" i="2"/>
  <c r="I911" i="2"/>
  <c r="H911" i="2"/>
  <c r="F1048" i="2"/>
  <c r="I1049" i="2"/>
  <c r="H1049" i="2"/>
  <c r="G911" i="2"/>
  <c r="G1048" i="2"/>
  <c r="F915" i="2"/>
  <c r="I916" i="2"/>
  <c r="H916" i="2"/>
  <c r="H1039" i="2"/>
  <c r="F947" i="2"/>
  <c r="I948" i="2"/>
  <c r="H948" i="2"/>
  <c r="I1145" i="2"/>
  <c r="G1144" i="2"/>
  <c r="F1144" i="2"/>
  <c r="I942" i="2"/>
  <c r="F941" i="2"/>
  <c r="I959" i="2"/>
  <c r="F958" i="2"/>
  <c r="G1078" i="2"/>
  <c r="I897" i="2"/>
  <c r="G896" i="2"/>
  <c r="F896" i="2"/>
  <c r="F940" i="2"/>
  <c r="I941" i="2"/>
  <c r="G940" i="2"/>
  <c r="G922" i="2"/>
  <c r="F922" i="2"/>
  <c r="I923" i="2"/>
  <c r="H923" i="2"/>
  <c r="F813" i="2"/>
  <c r="I814" i="2"/>
  <c r="H814" i="2"/>
  <c r="H939" i="2"/>
  <c r="F938" i="2"/>
  <c r="I939" i="2"/>
  <c r="F795" i="2"/>
  <c r="I796" i="2"/>
  <c r="H796" i="2"/>
  <c r="G881" i="2"/>
  <c r="F881" i="2"/>
  <c r="I882" i="2"/>
  <c r="J882" i="2" s="1"/>
  <c r="H836" i="2"/>
  <c r="G690" i="2"/>
  <c r="H897" i="2"/>
  <c r="I795" i="2"/>
  <c r="G794" i="2"/>
  <c r="F794" i="2"/>
  <c r="F721" i="2"/>
  <c r="I722" i="2"/>
  <c r="H722" i="2"/>
  <c r="G857" i="2"/>
  <c r="F704" i="2"/>
  <c r="I705" i="2"/>
  <c r="G895" i="2"/>
  <c r="G1003" i="2"/>
  <c r="I1004" i="2"/>
  <c r="H1004" i="2"/>
  <c r="F1003" i="2"/>
  <c r="G869" i="2"/>
  <c r="F869" i="2"/>
  <c r="I870" i="2"/>
  <c r="G832" i="2"/>
  <c r="I668" i="2"/>
  <c r="F667" i="2"/>
  <c r="G667" i="2"/>
  <c r="H793" i="2"/>
  <c r="H869" i="2"/>
  <c r="H770" i="2"/>
  <c r="G559" i="2"/>
  <c r="H867" i="2"/>
  <c r="I836" i="2"/>
  <c r="G835" i="2"/>
  <c r="F835" i="2"/>
  <c r="I645" i="2"/>
  <c r="G644" i="2"/>
  <c r="F644" i="2"/>
  <c r="H654" i="2"/>
  <c r="F653" i="2"/>
  <c r="G653" i="2"/>
  <c r="I654" i="2"/>
  <c r="I710" i="2"/>
  <c r="F709" i="2"/>
  <c r="H709" i="2"/>
  <c r="I488" i="2"/>
  <c r="H488" i="2"/>
  <c r="F487" i="2"/>
  <c r="G487" i="2"/>
  <c r="F377" i="2"/>
  <c r="I378" i="2"/>
  <c r="H378" i="2"/>
  <c r="G377" i="2"/>
  <c r="F618" i="2"/>
  <c r="H619" i="2"/>
  <c r="I619" i="2"/>
  <c r="G678" i="2"/>
  <c r="F550" i="2"/>
  <c r="I551" i="2"/>
  <c r="H351" i="2"/>
  <c r="F663" i="2"/>
  <c r="I664" i="2"/>
  <c r="H664" i="2"/>
  <c r="G429" i="2"/>
  <c r="F278" i="2"/>
  <c r="I279" i="2"/>
  <c r="H279" i="2"/>
  <c r="H543" i="2"/>
  <c r="F410" i="2"/>
  <c r="I411" i="2"/>
  <c r="G283" i="2"/>
  <c r="F283" i="2"/>
  <c r="I284" i="2"/>
  <c r="H284" i="2"/>
  <c r="I465" i="2"/>
  <c r="G464" i="2"/>
  <c r="F464" i="2"/>
  <c r="H465" i="2"/>
  <c r="F548" i="2"/>
  <c r="I549" i="2"/>
  <c r="H549" i="2"/>
  <c r="G548" i="2"/>
  <c r="G449" i="2"/>
  <c r="F449" i="2"/>
  <c r="I450" i="2"/>
  <c r="H450" i="2"/>
  <c r="F365" i="2"/>
  <c r="I366" i="2"/>
  <c r="G657" i="2"/>
  <c r="F657" i="2"/>
  <c r="I658" i="2"/>
  <c r="H491" i="2"/>
  <c r="F298" i="2"/>
  <c r="I299" i="2"/>
  <c r="F290" i="2"/>
  <c r="H291" i="2"/>
  <c r="I291" i="2"/>
  <c r="H881" i="2"/>
  <c r="I496" i="2"/>
  <c r="H496" i="2"/>
  <c r="F495" i="2"/>
  <c r="I372" i="2"/>
  <c r="F371" i="2"/>
  <c r="H372" i="2"/>
  <c r="G371" i="2"/>
  <c r="G272" i="2"/>
  <c r="F272" i="2"/>
  <c r="I273" i="2"/>
  <c r="F457" i="2"/>
  <c r="I458" i="2"/>
  <c r="G457" i="2"/>
  <c r="I320" i="2"/>
  <c r="F319" i="2"/>
  <c r="H189" i="2"/>
  <c r="F594" i="2"/>
  <c r="I595" i="2"/>
  <c r="H595" i="2"/>
  <c r="G594" i="2"/>
  <c r="G422" i="2"/>
  <c r="G221" i="2"/>
  <c r="F263" i="2"/>
  <c r="I264" i="2"/>
  <c r="H264" i="2"/>
  <c r="G263" i="2"/>
  <c r="H120" i="2"/>
  <c r="H229" i="2"/>
  <c r="I336" i="2"/>
  <c r="F120" i="2"/>
  <c r="I121" i="2"/>
  <c r="F76" i="2"/>
  <c r="G76" i="2"/>
  <c r="H77" i="2"/>
  <c r="I77" i="2"/>
  <c r="I272" i="2"/>
  <c r="H272" i="2"/>
  <c r="G271" i="2"/>
  <c r="F271" i="2"/>
  <c r="I176" i="2"/>
  <c r="H176" i="2"/>
  <c r="G175" i="2"/>
  <c r="F175" i="2"/>
  <c r="I80" i="2"/>
  <c r="G79" i="2"/>
  <c r="F79" i="2"/>
  <c r="H80" i="2"/>
  <c r="H320" i="2"/>
  <c r="F136" i="2"/>
  <c r="I137" i="2"/>
  <c r="F48" i="2"/>
  <c r="I49" i="2"/>
  <c r="G48" i="2"/>
  <c r="H186" i="2"/>
  <c r="I17" i="2"/>
  <c r="F16" i="2"/>
  <c r="H17" i="2"/>
  <c r="F158" i="2"/>
  <c r="I159" i="2"/>
  <c r="H159" i="2"/>
  <c r="I38" i="2"/>
  <c r="G37" i="2"/>
  <c r="F37" i="2"/>
  <c r="F245" i="2"/>
  <c r="I246" i="2"/>
  <c r="H246" i="2"/>
  <c r="G133" i="2"/>
  <c r="I165" i="2"/>
  <c r="G164" i="2"/>
  <c r="F164" i="2"/>
  <c r="I126" i="2"/>
  <c r="G125" i="2"/>
  <c r="F125" i="2"/>
  <c r="H431" i="2"/>
  <c r="G245" i="2"/>
  <c r="H19" i="2"/>
  <c r="H25" i="2"/>
  <c r="I22" i="2"/>
  <c r="F1205" i="2"/>
  <c r="I1206" i="2"/>
  <c r="H1206" i="2"/>
  <c r="G1205" i="2"/>
  <c r="F1359" i="2"/>
  <c r="I1360" i="2"/>
  <c r="G1359" i="2"/>
  <c r="F1285" i="2"/>
  <c r="I1286" i="2"/>
  <c r="F1252" i="2"/>
  <c r="I1253" i="2"/>
  <c r="H1253" i="2"/>
  <c r="I1534" i="2"/>
  <c r="F1533" i="2"/>
  <c r="I1258" i="2"/>
  <c r="F1257" i="2"/>
  <c r="I1426" i="2"/>
  <c r="H1426" i="2"/>
  <c r="G1425" i="2"/>
  <c r="F1425" i="2"/>
  <c r="F1330" i="2"/>
  <c r="I1331" i="2"/>
  <c r="H1331" i="2"/>
  <c r="G1330" i="2"/>
  <c r="F1163" i="2"/>
  <c r="I1164" i="2"/>
  <c r="I1239" i="2"/>
  <c r="H1239" i="2"/>
  <c r="G1238" i="2"/>
  <c r="F1238" i="2"/>
  <c r="I1410" i="2"/>
  <c r="F1409" i="2"/>
  <c r="H1410" i="2"/>
  <c r="F1223" i="2"/>
  <c r="I1224" i="2"/>
  <c r="H1224" i="2"/>
  <c r="I1105" i="2"/>
  <c r="H1105" i="2"/>
  <c r="F1104" i="2"/>
  <c r="F1268" i="2"/>
  <c r="I1269" i="2"/>
  <c r="G1268" i="2"/>
  <c r="I1136" i="2"/>
  <c r="F1135" i="2"/>
  <c r="I1332" i="2"/>
  <c r="G1331" i="2"/>
  <c r="F1331" i="2"/>
  <c r="F1129" i="2"/>
  <c r="I1130" i="2"/>
  <c r="G1129" i="2"/>
  <c r="H1130" i="2"/>
  <c r="I1172" i="2"/>
  <c r="H1172" i="2"/>
  <c r="G1171" i="2"/>
  <c r="F1171" i="2"/>
  <c r="I1040" i="2"/>
  <c r="F1039" i="2"/>
  <c r="H1040" i="2"/>
  <c r="F1047" i="2"/>
  <c r="I1048" i="2"/>
  <c r="F897" i="2"/>
  <c r="I898" i="2"/>
  <c r="H898" i="2"/>
  <c r="H1030" i="2"/>
  <c r="F862" i="2"/>
  <c r="I863" i="2"/>
  <c r="H863" i="2"/>
  <c r="G1140" i="2"/>
  <c r="F1140" i="2"/>
  <c r="I1141" i="2"/>
  <c r="H1141" i="2"/>
  <c r="I1088" i="2"/>
  <c r="F1087" i="2"/>
  <c r="H1088" i="2"/>
  <c r="H936" i="2"/>
  <c r="G949" i="2"/>
  <c r="F949" i="2"/>
  <c r="I950" i="2"/>
  <c r="H872" i="2"/>
  <c r="F989" i="2"/>
  <c r="I990" i="2"/>
  <c r="G989" i="2"/>
  <c r="F913" i="2"/>
  <c r="I914" i="2"/>
  <c r="G913" i="2"/>
  <c r="H914" i="2"/>
  <c r="I930" i="2"/>
  <c r="G929" i="2"/>
  <c r="F929" i="2"/>
  <c r="F886" i="2"/>
  <c r="I887" i="2"/>
  <c r="G886" i="2"/>
  <c r="I1001" i="2"/>
  <c r="F1000" i="2"/>
  <c r="F802" i="2"/>
  <c r="I803" i="2"/>
  <c r="H803" i="2"/>
  <c r="F872" i="2"/>
  <c r="I873" i="2"/>
  <c r="F793" i="2"/>
  <c r="I794" i="2"/>
  <c r="F673" i="2"/>
  <c r="I674" i="2"/>
  <c r="H674" i="2"/>
  <c r="H857" i="2"/>
  <c r="G885" i="2"/>
  <c r="I886" i="2"/>
  <c r="H886" i="2"/>
  <c r="F885" i="2"/>
  <c r="F867" i="2"/>
  <c r="I868" i="2"/>
  <c r="H868" i="2"/>
  <c r="H762" i="2"/>
  <c r="H827" i="2"/>
  <c r="I753" i="2"/>
  <c r="G752" i="2"/>
  <c r="F752" i="2"/>
  <c r="I831" i="2"/>
  <c r="F830" i="2"/>
  <c r="G830" i="2"/>
  <c r="I657" i="2"/>
  <c r="G656" i="2"/>
  <c r="F656" i="2"/>
  <c r="G791" i="2"/>
  <c r="F791" i="2"/>
  <c r="I792" i="2"/>
  <c r="H792" i="2"/>
  <c r="I622" i="2"/>
  <c r="G621" i="2"/>
  <c r="F621" i="2"/>
  <c r="F590" i="2"/>
  <c r="I591" i="2"/>
  <c r="I838" i="2"/>
  <c r="G837" i="2"/>
  <c r="F837" i="2"/>
  <c r="I636" i="2"/>
  <c r="G635" i="2"/>
  <c r="F635" i="2"/>
  <c r="F474" i="2"/>
  <c r="I475" i="2"/>
  <c r="G648" i="2"/>
  <c r="G710" i="2"/>
  <c r="I708" i="2"/>
  <c r="G707" i="2"/>
  <c r="F707" i="2"/>
  <c r="H708" i="2"/>
  <c r="I721" i="2"/>
  <c r="G720" i="2"/>
  <c r="F720" i="2"/>
  <c r="F465" i="2"/>
  <c r="I466" i="2"/>
  <c r="H466" i="2"/>
  <c r="F373" i="2"/>
  <c r="I374" i="2"/>
  <c r="G373" i="2"/>
  <c r="F470" i="2"/>
  <c r="I471" i="2"/>
  <c r="G315" i="2"/>
  <c r="H678" i="2"/>
  <c r="I524" i="2"/>
  <c r="H524" i="2"/>
  <c r="F523" i="2"/>
  <c r="G343" i="2"/>
  <c r="F652" i="2"/>
  <c r="I653" i="2"/>
  <c r="H653" i="2"/>
  <c r="H403" i="2"/>
  <c r="F402" i="2"/>
  <c r="I403" i="2"/>
  <c r="F273" i="2"/>
  <c r="I274" i="2"/>
  <c r="H274" i="2"/>
  <c r="H523" i="2"/>
  <c r="H445" i="2"/>
  <c r="F304" i="2"/>
  <c r="I305" i="2"/>
  <c r="H305" i="2"/>
  <c r="G446" i="2"/>
  <c r="I356" i="2"/>
  <c r="G355" i="2"/>
  <c r="F355" i="2"/>
  <c r="H356" i="2"/>
  <c r="I652" i="2"/>
  <c r="G651" i="2"/>
  <c r="F651" i="2"/>
  <c r="F468" i="2"/>
  <c r="I469" i="2"/>
  <c r="G468" i="2"/>
  <c r="I609" i="2"/>
  <c r="F608" i="2"/>
  <c r="J608" i="2" s="1"/>
  <c r="F409" i="2"/>
  <c r="I410" i="2"/>
  <c r="I881" i="2"/>
  <c r="G502" i="2"/>
  <c r="I369" i="2"/>
  <c r="G368" i="2"/>
  <c r="F368" i="2"/>
  <c r="H540" i="2"/>
  <c r="F586" i="2"/>
  <c r="H587" i="2"/>
  <c r="G586" i="2"/>
  <c r="I587" i="2"/>
  <c r="F452" i="2"/>
  <c r="I453" i="2"/>
  <c r="G452" i="2"/>
  <c r="G308" i="2"/>
  <c r="I767" i="2"/>
  <c r="G766" i="2"/>
  <c r="F766" i="2"/>
  <c r="F568" i="2"/>
  <c r="I569" i="2"/>
  <c r="H569" i="2"/>
  <c r="G568" i="2"/>
  <c r="I220" i="2"/>
  <c r="F219" i="2"/>
  <c r="G219" i="2"/>
  <c r="F466" i="2"/>
  <c r="I467" i="2"/>
  <c r="H467" i="2"/>
  <c r="F420" i="2"/>
  <c r="I421" i="2"/>
  <c r="G420" i="2"/>
  <c r="I108" i="2"/>
  <c r="G107" i="2"/>
  <c r="H108" i="2"/>
  <c r="F107" i="2"/>
  <c r="I333" i="2"/>
  <c r="H333" i="2"/>
  <c r="G332" i="2"/>
  <c r="F332" i="2"/>
  <c r="F99" i="2"/>
  <c r="I100" i="2"/>
  <c r="H100" i="2"/>
  <c r="F249" i="2"/>
  <c r="I250" i="2"/>
  <c r="G177" i="2"/>
  <c r="G231" i="2"/>
  <c r="F231" i="2"/>
  <c r="I232" i="2"/>
  <c r="H232" i="2"/>
  <c r="G72" i="2"/>
  <c r="I308" i="2"/>
  <c r="G307" i="2"/>
  <c r="F307" i="2"/>
  <c r="H308" i="2"/>
  <c r="F482" i="2"/>
  <c r="I483" i="2"/>
  <c r="H483" i="2"/>
  <c r="F149" i="2"/>
  <c r="I150" i="2"/>
  <c r="H150" i="2"/>
  <c r="H165" i="2"/>
  <c r="I160" i="2"/>
  <c r="F159" i="2"/>
  <c r="H160" i="2"/>
  <c r="G159" i="2"/>
  <c r="I33" i="2"/>
  <c r="G32" i="2"/>
  <c r="F32" i="2"/>
  <c r="I384" i="2"/>
  <c r="H384" i="2"/>
  <c r="F383" i="2"/>
  <c r="F252" i="2"/>
  <c r="I253" i="2"/>
  <c r="H253" i="2"/>
  <c r="G128" i="2"/>
  <c r="F128" i="2"/>
  <c r="I129" i="2"/>
  <c r="I164" i="2"/>
  <c r="F163" i="2"/>
  <c r="H164" i="2"/>
  <c r="F108" i="2"/>
  <c r="I109" i="2"/>
  <c r="G108" i="2"/>
  <c r="H245" i="2"/>
  <c r="F104" i="2"/>
  <c r="G104" i="2"/>
  <c r="I105" i="2"/>
  <c r="H45" i="2"/>
  <c r="F2169" i="2"/>
  <c r="H2170" i="2"/>
  <c r="I2170" i="2"/>
  <c r="F2057" i="2"/>
  <c r="I2058" i="2"/>
  <c r="G2057" i="2"/>
  <c r="G2052" i="2"/>
  <c r="I2053" i="2"/>
  <c r="F2052" i="2"/>
  <c r="F2021" i="2"/>
  <c r="I2022" i="2"/>
  <c r="F1933" i="2"/>
  <c r="I1934" i="2"/>
  <c r="H1934" i="2"/>
  <c r="F2005" i="2"/>
  <c r="I2006" i="2"/>
  <c r="I2081" i="2"/>
  <c r="H2081" i="2"/>
  <c r="G2080" i="2"/>
  <c r="F2080" i="2"/>
  <c r="I2117" i="2"/>
  <c r="H2117" i="2"/>
  <c r="F2116" i="2"/>
  <c r="H1897" i="2"/>
  <c r="F1931" i="2"/>
  <c r="I1932" i="2"/>
  <c r="H1932" i="2"/>
  <c r="F1976" i="2"/>
  <c r="I1977" i="2"/>
  <c r="H1977" i="2"/>
  <c r="F2024" i="2"/>
  <c r="I2025" i="2"/>
  <c r="H2025" i="2"/>
  <c r="I2164" i="2"/>
  <c r="G2163" i="2"/>
  <c r="F2163" i="2"/>
  <c r="G1952" i="2"/>
  <c r="I1877" i="2"/>
  <c r="H1877" i="2"/>
  <c r="G1876" i="2"/>
  <c r="F1876" i="2"/>
  <c r="F1783" i="2"/>
  <c r="I1784" i="2"/>
  <c r="H1784" i="2"/>
  <c r="H1931" i="2"/>
  <c r="I1967" i="2"/>
  <c r="H1967" i="2"/>
  <c r="G1966" i="2"/>
  <c r="F1966" i="2"/>
  <c r="I1844" i="2"/>
  <c r="F1843" i="2"/>
  <c r="F1917" i="2"/>
  <c r="J1917" i="2" s="1"/>
  <c r="I1918" i="2"/>
  <c r="G1775" i="2"/>
  <c r="F1775" i="2"/>
  <c r="I1776" i="2"/>
  <c r="H2049" i="2"/>
  <c r="G1691" i="2"/>
  <c r="F1691" i="2"/>
  <c r="H1692" i="2"/>
  <c r="I1692" i="2"/>
  <c r="F2059" i="2"/>
  <c r="I2060" i="2"/>
  <c r="H2060" i="2"/>
  <c r="I1762" i="2"/>
  <c r="G1761" i="2"/>
  <c r="F1761" i="2"/>
  <c r="I1620" i="2"/>
  <c r="G1619" i="2"/>
  <c r="F1619" i="2"/>
  <c r="G1580" i="2"/>
  <c r="F1703" i="2"/>
  <c r="I1704" i="2"/>
  <c r="F1676" i="2"/>
  <c r="I1677" i="2"/>
  <c r="H1677" i="2"/>
  <c r="G1676" i="2"/>
  <c r="F1790" i="2"/>
  <c r="I1791" i="2"/>
  <c r="H1791" i="2"/>
  <c r="G1790" i="2"/>
  <c r="F1612" i="2"/>
  <c r="I1613" i="2"/>
  <c r="H1613" i="2"/>
  <c r="I1630" i="2"/>
  <c r="G1629" i="2"/>
  <c r="F1629" i="2"/>
  <c r="G1639" i="2"/>
  <c r="I1769" i="2"/>
  <c r="G1768" i="2"/>
  <c r="F1768" i="2"/>
  <c r="H1694" i="2"/>
  <c r="F1685" i="2"/>
  <c r="I1686" i="2"/>
  <c r="H1686" i="2"/>
  <c r="F1604" i="2"/>
  <c r="I1605" i="2"/>
  <c r="H1605" i="2"/>
  <c r="G1604" i="2"/>
  <c r="I1520" i="2"/>
  <c r="G1519" i="2"/>
  <c r="F1519" i="2"/>
  <c r="F1630" i="2"/>
  <c r="I1631" i="2"/>
  <c r="H1631" i="2"/>
  <c r="F1456" i="2"/>
  <c r="I1457" i="2"/>
  <c r="H1457" i="2"/>
  <c r="F1655" i="2"/>
  <c r="I1656" i="2"/>
  <c r="H1656" i="2"/>
  <c r="H1399" i="2"/>
  <c r="H1603" i="2"/>
  <c r="I1742" i="2"/>
  <c r="G1741" i="2"/>
  <c r="F1741" i="2"/>
  <c r="I1511" i="2"/>
  <c r="G1510" i="2"/>
  <c r="F1510" i="2"/>
  <c r="I1419" i="2"/>
  <c r="F1418" i="2"/>
  <c r="G1663" i="2"/>
  <c r="I1504" i="2"/>
  <c r="G1503" i="2"/>
  <c r="F1503" i="2"/>
  <c r="F1625" i="2"/>
  <c r="I1626" i="2"/>
  <c r="G1625" i="2"/>
  <c r="G1468" i="2"/>
  <c r="I1529" i="2"/>
  <c r="G1528" i="2"/>
  <c r="F1528" i="2"/>
  <c r="H1561" i="2"/>
  <c r="H1671" i="2"/>
  <c r="I1376" i="2"/>
  <c r="F1375" i="2"/>
  <c r="H1376" i="2"/>
  <c r="I1260" i="2"/>
  <c r="H1260" i="2"/>
  <c r="F1259" i="2"/>
  <c r="I1321" i="2"/>
  <c r="F1320" i="2"/>
  <c r="H1321" i="2"/>
  <c r="G1320" i="2"/>
  <c r="G1191" i="2"/>
  <c r="G1360" i="2"/>
  <c r="F1360" i="2"/>
  <c r="H1361" i="2"/>
  <c r="I1361" i="2"/>
  <c r="F1367" i="2"/>
  <c r="I1368" i="2"/>
  <c r="H1368" i="2"/>
  <c r="F1395" i="2"/>
  <c r="I1396" i="2"/>
  <c r="H1396" i="2"/>
  <c r="G1237" i="2"/>
  <c r="G1309" i="2"/>
  <c r="F1309" i="2"/>
  <c r="H1310" i="2"/>
  <c r="I1310" i="2"/>
  <c r="G1281" i="2"/>
  <c r="F1281" i="2"/>
  <c r="I1282" i="2"/>
  <c r="F1401" i="2"/>
  <c r="I1402" i="2"/>
  <c r="H1402" i="2"/>
  <c r="I1559" i="2"/>
  <c r="G1558" i="2"/>
  <c r="F1558" i="2"/>
  <c r="F1339" i="2"/>
  <c r="I1340" i="2"/>
  <c r="H1340" i="2"/>
  <c r="F1229" i="2"/>
  <c r="I1230" i="2"/>
  <c r="H1230" i="2"/>
  <c r="I1348" i="2"/>
  <c r="G1347" i="2"/>
  <c r="F1347" i="2"/>
  <c r="I1255" i="2"/>
  <c r="G1254" i="2"/>
  <c r="F1254" i="2"/>
  <c r="G1409" i="2"/>
  <c r="G1332" i="2"/>
  <c r="H1138" i="2"/>
  <c r="I1211" i="2"/>
  <c r="G1210" i="2"/>
  <c r="F1210" i="2"/>
  <c r="F1082" i="2"/>
  <c r="I1083" i="2"/>
  <c r="H1083" i="2"/>
  <c r="G1082" i="2"/>
  <c r="H1119" i="2"/>
  <c r="H1388" i="2"/>
  <c r="I1388" i="2"/>
  <c r="G1387" i="2"/>
  <c r="F1387" i="2"/>
  <c r="H1170" i="2"/>
  <c r="H1364" i="2"/>
  <c r="F1147" i="2"/>
  <c r="I1148" i="2"/>
  <c r="F1296" i="2"/>
  <c r="H1297" i="2"/>
  <c r="I1297" i="2"/>
  <c r="H1191" i="2"/>
  <c r="H1132" i="2"/>
  <c r="H1416" i="2"/>
  <c r="G1102" i="2"/>
  <c r="G1272" i="2"/>
  <c r="F1130" i="2"/>
  <c r="I1131" i="2"/>
  <c r="G1130" i="2"/>
  <c r="F1328" i="2"/>
  <c r="J1328" i="2" s="1"/>
  <c r="I1329" i="2"/>
  <c r="H1329" i="2"/>
  <c r="H1092" i="2"/>
  <c r="I1092" i="2"/>
  <c r="G1091" i="2"/>
  <c r="F1091" i="2"/>
  <c r="I1179" i="2"/>
  <c r="G1178" i="2"/>
  <c r="F1178" i="2"/>
  <c r="F957" i="2"/>
  <c r="I958" i="2"/>
  <c r="G957" i="2"/>
  <c r="I1140" i="2"/>
  <c r="H1140" i="2"/>
  <c r="G1139" i="2"/>
  <c r="F1139" i="2"/>
  <c r="G936" i="2"/>
  <c r="G1026" i="2"/>
  <c r="G897" i="2"/>
  <c r="F1021" i="2"/>
  <c r="I1022" i="2"/>
  <c r="H1025" i="2"/>
  <c r="H833" i="2"/>
  <c r="F1146" i="2"/>
  <c r="I1147" i="2"/>
  <c r="G1146" i="2"/>
  <c r="G1062" i="2"/>
  <c r="I928" i="2"/>
  <c r="F927" i="2"/>
  <c r="H805" i="2"/>
  <c r="I1060" i="2"/>
  <c r="F1059" i="2"/>
  <c r="H1060" i="2"/>
  <c r="G1059" i="2"/>
  <c r="H968" i="2"/>
  <c r="I884" i="2"/>
  <c r="G883" i="2"/>
  <c r="F883" i="2"/>
  <c r="I1003" i="2"/>
  <c r="F1002" i="2"/>
  <c r="H1003" i="2"/>
  <c r="F757" i="2"/>
  <c r="I758" i="2"/>
  <c r="G757" i="2"/>
  <c r="F879" i="2"/>
  <c r="I880" i="2"/>
  <c r="H880" i="2"/>
  <c r="F748" i="2"/>
  <c r="I749" i="2"/>
  <c r="H749" i="2"/>
  <c r="I991" i="2"/>
  <c r="F990" i="2"/>
  <c r="G795" i="2"/>
  <c r="H980" i="2"/>
  <c r="I980" i="2"/>
  <c r="G979" i="2"/>
  <c r="F979" i="2"/>
  <c r="F850" i="2"/>
  <c r="I851" i="2"/>
  <c r="H851" i="2"/>
  <c r="I894" i="2"/>
  <c r="G893" i="2"/>
  <c r="F893" i="2"/>
  <c r="H1007" i="2"/>
  <c r="I850" i="2"/>
  <c r="I759" i="2"/>
  <c r="H759" i="2"/>
  <c r="G758" i="2"/>
  <c r="F758" i="2"/>
  <c r="I822" i="2"/>
  <c r="G821" i="2"/>
  <c r="F821" i="2"/>
  <c r="I1195" i="2"/>
  <c r="I808" i="2"/>
  <c r="H808" i="2"/>
  <c r="G807" i="2"/>
  <c r="F807" i="2"/>
  <c r="F649" i="2"/>
  <c r="I650" i="2"/>
  <c r="G649" i="2"/>
  <c r="G760" i="2"/>
  <c r="F760" i="2"/>
  <c r="I761" i="2"/>
  <c r="I840" i="2"/>
  <c r="H840" i="2"/>
  <c r="G839" i="2"/>
  <c r="F839" i="2"/>
  <c r="F658" i="2"/>
  <c r="H659" i="2"/>
  <c r="I659" i="2"/>
  <c r="I744" i="2"/>
  <c r="H744" i="2"/>
  <c r="G743" i="2"/>
  <c r="F743" i="2"/>
  <c r="G527" i="2"/>
  <c r="F615" i="2"/>
  <c r="I616" i="2"/>
  <c r="H616" i="2"/>
  <c r="I813" i="2"/>
  <c r="I612" i="2"/>
  <c r="F611" i="2"/>
  <c r="H612" i="2"/>
  <c r="G611" i="2"/>
  <c r="H469" i="2"/>
  <c r="F643" i="2"/>
  <c r="H644" i="2"/>
  <c r="G643" i="2"/>
  <c r="I644" i="2"/>
  <c r="H710" i="2"/>
  <c r="G673" i="2"/>
  <c r="I461" i="2"/>
  <c r="G460" i="2"/>
  <c r="F460" i="2"/>
  <c r="H461" i="2"/>
  <c r="H366" i="2"/>
  <c r="H303" i="2"/>
  <c r="F676" i="2"/>
  <c r="H677" i="2"/>
  <c r="I677" i="2"/>
  <c r="G337" i="2"/>
  <c r="G573" i="2"/>
  <c r="I388" i="2"/>
  <c r="F387" i="2"/>
  <c r="G387" i="2"/>
  <c r="H388" i="2"/>
  <c r="G269" i="2"/>
  <c r="H511" i="2"/>
  <c r="H411" i="2"/>
  <c r="G270" i="2"/>
  <c r="F436" i="2"/>
  <c r="G436" i="2"/>
  <c r="I437" i="2"/>
  <c r="F445" i="2"/>
  <c r="I446" i="2"/>
  <c r="G350" i="2"/>
  <c r="H661" i="2"/>
  <c r="F285" i="2"/>
  <c r="J285" i="2" s="1"/>
  <c r="H286" i="2"/>
  <c r="I286" i="2"/>
  <c r="H571" i="2"/>
  <c r="G402" i="2"/>
  <c r="F267" i="2"/>
  <c r="J267" i="2" s="1"/>
  <c r="H268" i="2"/>
  <c r="I268" i="2"/>
  <c r="I713" i="2"/>
  <c r="H502" i="2"/>
  <c r="F361" i="2"/>
  <c r="I362" i="2"/>
  <c r="H917" i="2"/>
  <c r="I540" i="2"/>
  <c r="G578" i="2"/>
  <c r="F421" i="2"/>
  <c r="I422" i="2"/>
  <c r="G421" i="2"/>
  <c r="I301" i="2"/>
  <c r="J301" i="2" s="1"/>
  <c r="G300" i="2"/>
  <c r="F300" i="2"/>
  <c r="F788" i="2"/>
  <c r="J788" i="2" s="1"/>
  <c r="I789" i="2"/>
  <c r="I552" i="2"/>
  <c r="H552" i="2"/>
  <c r="G551" i="2"/>
  <c r="F551" i="2"/>
  <c r="G205" i="2"/>
  <c r="F456" i="2"/>
  <c r="I457" i="2"/>
  <c r="G456" i="2"/>
  <c r="F388" i="2"/>
  <c r="H389" i="2"/>
  <c r="I389" i="2"/>
  <c r="G388" i="2"/>
  <c r="H190" i="2"/>
  <c r="F97" i="2"/>
  <c r="I98" i="2"/>
  <c r="F233" i="2"/>
  <c r="I234" i="2"/>
  <c r="H93" i="2"/>
  <c r="I322" i="2"/>
  <c r="H322" i="2"/>
  <c r="F321" i="2"/>
  <c r="G321" i="2"/>
  <c r="F49" i="2"/>
  <c r="I50" i="2"/>
  <c r="I64" i="2"/>
  <c r="G63" i="2"/>
  <c r="F63" i="2"/>
  <c r="H64" i="2"/>
  <c r="H172" i="2"/>
  <c r="F46" i="2"/>
  <c r="I47" i="2"/>
  <c r="H47" i="2"/>
  <c r="F209" i="2"/>
  <c r="I210" i="2"/>
  <c r="I259" i="2"/>
  <c r="H259" i="2"/>
  <c r="F258" i="2"/>
  <c r="I116" i="2"/>
  <c r="H116" i="2"/>
  <c r="G115" i="2"/>
  <c r="F115" i="2"/>
  <c r="I495" i="2"/>
  <c r="F494" i="2"/>
  <c r="H147" i="2"/>
  <c r="F40" i="2"/>
  <c r="J40" i="2" s="1"/>
  <c r="I41" i="2"/>
  <c r="G161" i="2"/>
  <c r="F390" i="2"/>
  <c r="I391" i="2"/>
  <c r="I99" i="2"/>
  <c r="G98" i="2"/>
  <c r="F98" i="2"/>
  <c r="G165" i="2"/>
  <c r="F101" i="2"/>
  <c r="I102" i="2"/>
  <c r="H102" i="2"/>
  <c r="H220" i="2"/>
  <c r="F83" i="2"/>
  <c r="I84" i="2"/>
  <c r="H84" i="2"/>
  <c r="I45" i="2"/>
  <c r="H37" i="2"/>
  <c r="J24" i="2"/>
  <c r="H101" i="2"/>
  <c r="F2159" i="2"/>
  <c r="I2160" i="2"/>
  <c r="H2160" i="2"/>
  <c r="I2050" i="2"/>
  <c r="H2050" i="2"/>
  <c r="F2049" i="2"/>
  <c r="I2023" i="2"/>
  <c r="H2023" i="2"/>
  <c r="F2022" i="2"/>
  <c r="F2028" i="2"/>
  <c r="I2029" i="2"/>
  <c r="H2029" i="2"/>
  <c r="F1999" i="2"/>
  <c r="I2000" i="2"/>
  <c r="G1999" i="2"/>
  <c r="I1899" i="2"/>
  <c r="F1898" i="2"/>
  <c r="I2093" i="2"/>
  <c r="F2092" i="2"/>
  <c r="G1877" i="2"/>
  <c r="F1877" i="2"/>
  <c r="I1878" i="2"/>
  <c r="H1878" i="2"/>
  <c r="G1933" i="2"/>
  <c r="G1957" i="2"/>
  <c r="F1957" i="2"/>
  <c r="I1958" i="2"/>
  <c r="H2006" i="2"/>
  <c r="F2051" i="2"/>
  <c r="I2052" i="2"/>
  <c r="H2052" i="2"/>
  <c r="G2051" i="2"/>
  <c r="I1946" i="2"/>
  <c r="F1945" i="2"/>
  <c r="H1921" i="2"/>
  <c r="G1920" i="2"/>
  <c r="I1847" i="2"/>
  <c r="H1847" i="2"/>
  <c r="F1846" i="2"/>
  <c r="I1783" i="2"/>
  <c r="F1782" i="2"/>
  <c r="H1783" i="2"/>
  <c r="F1772" i="2"/>
  <c r="I1773" i="2"/>
  <c r="I1957" i="2"/>
  <c r="H1957" i="2"/>
  <c r="G1956" i="2"/>
  <c r="F1956" i="2"/>
  <c r="I1894" i="2"/>
  <c r="G1893" i="2"/>
  <c r="F1893" i="2"/>
  <c r="G2061" i="2"/>
  <c r="I1782" i="2"/>
  <c r="F1781" i="2"/>
  <c r="I1766" i="2"/>
  <c r="F1765" i="2"/>
  <c r="J1765" i="2" s="1"/>
  <c r="H1614" i="2"/>
  <c r="F1585" i="2"/>
  <c r="I1586" i="2"/>
  <c r="H1586" i="2"/>
  <c r="G1645" i="2"/>
  <c r="F1645" i="2"/>
  <c r="I1646" i="2"/>
  <c r="H1792" i="2"/>
  <c r="H1483" i="2"/>
  <c r="I1607" i="2"/>
  <c r="F1606" i="2"/>
  <c r="H1607" i="2"/>
  <c r="H1689" i="2"/>
  <c r="F1515" i="2"/>
  <c r="I1516" i="2"/>
  <c r="H1516" i="2"/>
  <c r="H1769" i="2"/>
  <c r="G1788" i="2"/>
  <c r="I1819" i="2"/>
  <c r="H1819" i="2"/>
  <c r="F1818" i="2"/>
  <c r="G1680" i="2"/>
  <c r="I1606" i="2"/>
  <c r="F1605" i="2"/>
  <c r="H1453" i="2"/>
  <c r="H1632" i="2"/>
  <c r="F1500" i="2"/>
  <c r="I1501" i="2"/>
  <c r="I1584" i="2"/>
  <c r="H1584" i="2"/>
  <c r="G1583" i="2"/>
  <c r="F1583" i="2"/>
  <c r="I1454" i="2"/>
  <c r="F1453" i="2"/>
  <c r="H1454" i="2"/>
  <c r="I1627" i="2"/>
  <c r="F1626" i="2"/>
  <c r="G1386" i="2"/>
  <c r="G1601" i="2"/>
  <c r="F1601" i="2"/>
  <c r="I1602" i="2"/>
  <c r="H1602" i="2"/>
  <c r="G1446" i="2"/>
  <c r="F1446" i="2"/>
  <c r="I1447" i="2"/>
  <c r="I1737" i="2"/>
  <c r="G1736" i="2"/>
  <c r="F1736" i="2"/>
  <c r="G1492" i="2"/>
  <c r="F1492" i="2"/>
  <c r="I1493" i="2"/>
  <c r="F1536" i="2"/>
  <c r="I1537" i="2"/>
  <c r="H1537" i="2"/>
  <c r="F1660" i="2"/>
  <c r="I1661" i="2"/>
  <c r="H1661" i="2"/>
  <c r="F1497" i="2"/>
  <c r="I1498" i="2"/>
  <c r="H1498" i="2"/>
  <c r="I1609" i="2"/>
  <c r="G1608" i="2"/>
  <c r="F1608" i="2"/>
  <c r="F1463" i="2"/>
  <c r="I1464" i="2"/>
  <c r="H1464" i="2"/>
  <c r="G1463" i="2"/>
  <c r="F1534" i="2"/>
  <c r="I1535" i="2"/>
  <c r="H1535" i="2"/>
  <c r="I1377" i="2"/>
  <c r="J1377" i="2" s="1"/>
  <c r="F1376" i="2"/>
  <c r="I1257" i="2"/>
  <c r="H1257" i="2"/>
  <c r="G1256" i="2"/>
  <c r="F1256" i="2"/>
  <c r="F1313" i="2"/>
  <c r="I1314" i="2"/>
  <c r="G1313" i="2"/>
  <c r="F1189" i="2"/>
  <c r="I1190" i="2"/>
  <c r="H1190" i="2"/>
  <c r="G1189" i="2"/>
  <c r="F1270" i="2"/>
  <c r="I1271" i="2"/>
  <c r="H1271" i="2"/>
  <c r="H1336" i="2"/>
  <c r="H1397" i="2"/>
  <c r="I1455" i="2"/>
  <c r="H1455" i="2"/>
  <c r="F1454" i="2"/>
  <c r="G1306" i="2"/>
  <c r="G1278" i="2"/>
  <c r="H1244" i="2"/>
  <c r="I1566" i="2"/>
  <c r="J1566" i="2" s="1"/>
  <c r="F1565" i="2"/>
  <c r="H1534" i="2"/>
  <c r="H1332" i="2"/>
  <c r="I1202" i="2"/>
  <c r="G1201" i="2"/>
  <c r="F1201" i="2"/>
  <c r="I1117" i="2"/>
  <c r="F1116" i="2"/>
  <c r="I1497" i="2"/>
  <c r="G1496" i="2"/>
  <c r="F1496" i="2"/>
  <c r="F1154" i="2"/>
  <c r="I1155" i="2"/>
  <c r="H1155" i="2"/>
  <c r="F1227" i="2"/>
  <c r="I1228" i="2"/>
  <c r="I1364" i="2"/>
  <c r="I1138" i="2"/>
  <c r="G1137" i="2"/>
  <c r="F1137" i="2"/>
  <c r="I1316" i="2"/>
  <c r="G1315" i="2"/>
  <c r="F1315" i="2"/>
  <c r="I1154" i="2"/>
  <c r="G1153" i="2"/>
  <c r="F1153" i="2"/>
  <c r="F1131" i="2"/>
  <c r="I1132" i="2"/>
  <c r="I1416" i="2"/>
  <c r="I1099" i="2"/>
  <c r="G1098" i="2"/>
  <c r="F1098" i="2"/>
  <c r="I1115" i="2"/>
  <c r="F1114" i="2"/>
  <c r="G1114" i="2"/>
  <c r="H1335" i="2"/>
  <c r="H1131" i="2"/>
  <c r="F1010" i="2"/>
  <c r="I1011" i="2"/>
  <c r="G1010" i="2"/>
  <c r="G1172" i="2"/>
  <c r="F1172" i="2"/>
  <c r="I1173" i="2"/>
  <c r="H1173" i="2"/>
  <c r="H952" i="2"/>
  <c r="I1050" i="2"/>
  <c r="H1050" i="2"/>
  <c r="G1049" i="2"/>
  <c r="F1049" i="2"/>
  <c r="H915" i="2"/>
  <c r="F887" i="2"/>
  <c r="I888" i="2"/>
  <c r="G1022" i="2"/>
  <c r="F1031" i="2"/>
  <c r="I1032" i="2"/>
  <c r="H1020" i="2"/>
  <c r="H817" i="2"/>
  <c r="H871" i="2"/>
  <c r="F1143" i="2"/>
  <c r="H1144" i="2"/>
  <c r="I1144" i="2"/>
  <c r="H1054" i="2"/>
  <c r="G899" i="2"/>
  <c r="I900" i="2"/>
  <c r="H900" i="2"/>
  <c r="F899" i="2"/>
  <c r="I910" i="2"/>
  <c r="F909" i="2"/>
  <c r="G909" i="2"/>
  <c r="I1044" i="2"/>
  <c r="H1044" i="2"/>
  <c r="G1043" i="2"/>
  <c r="F1043" i="2"/>
  <c r="I953" i="2"/>
  <c r="G952" i="2"/>
  <c r="F952" i="2"/>
  <c r="H810" i="2"/>
  <c r="H930" i="2"/>
  <c r="F751" i="2"/>
  <c r="I752" i="2"/>
  <c r="H752" i="2"/>
  <c r="F745" i="2"/>
  <c r="I746" i="2"/>
  <c r="G745" i="2"/>
  <c r="H991" i="2"/>
  <c r="H804" i="2"/>
  <c r="I981" i="2"/>
  <c r="H981" i="2"/>
  <c r="G980" i="2"/>
  <c r="F980" i="2"/>
  <c r="I859" i="2"/>
  <c r="G858" i="2"/>
  <c r="F858" i="2"/>
  <c r="H795" i="2"/>
  <c r="H962" i="2"/>
  <c r="F650" i="2"/>
  <c r="I651" i="2"/>
  <c r="H829" i="2"/>
  <c r="H675" i="2"/>
  <c r="G834" i="2"/>
  <c r="F870" i="2"/>
  <c r="I871" i="2"/>
  <c r="F1005" i="2"/>
  <c r="I1006" i="2"/>
  <c r="H1006" i="2"/>
  <c r="I845" i="2"/>
  <c r="G844" i="2"/>
  <c r="F844" i="2"/>
  <c r="I756" i="2"/>
  <c r="G755" i="2"/>
  <c r="F755" i="2"/>
  <c r="H1075" i="2"/>
  <c r="F772" i="2"/>
  <c r="I773" i="2"/>
  <c r="G772" i="2"/>
  <c r="F831" i="2"/>
  <c r="I832" i="2"/>
  <c r="H922" i="2"/>
  <c r="H650" i="2"/>
  <c r="G744" i="2"/>
  <c r="F744" i="2"/>
  <c r="H745" i="2"/>
  <c r="I745" i="2"/>
  <c r="G840" i="2"/>
  <c r="F840" i="2"/>
  <c r="I841" i="2"/>
  <c r="H841" i="2"/>
  <c r="F655" i="2"/>
  <c r="H656" i="2"/>
  <c r="I656" i="2"/>
  <c r="G729" i="2"/>
  <c r="G511" i="2"/>
  <c r="I605" i="2"/>
  <c r="H605" i="2"/>
  <c r="F604" i="2"/>
  <c r="I776" i="2"/>
  <c r="H776" i="2"/>
  <c r="G775" i="2"/>
  <c r="F775" i="2"/>
  <c r="I936" i="2"/>
  <c r="H838" i="2"/>
  <c r="G613" i="2"/>
  <c r="I459" i="2"/>
  <c r="F458" i="2"/>
  <c r="I696" i="2"/>
  <c r="H696" i="2"/>
  <c r="G695" i="2"/>
  <c r="F695" i="2"/>
  <c r="I755" i="2"/>
  <c r="F754" i="2"/>
  <c r="H755" i="2"/>
  <c r="F671" i="2"/>
  <c r="I672" i="2"/>
  <c r="H672" i="2"/>
  <c r="H604" i="2"/>
  <c r="G461" i="2"/>
  <c r="I364" i="2"/>
  <c r="H364" i="2"/>
  <c r="F363" i="2"/>
  <c r="G363" i="2"/>
  <c r="I594" i="2"/>
  <c r="F593" i="2"/>
  <c r="G593" i="2"/>
  <c r="H594" i="2"/>
  <c r="H446" i="2"/>
  <c r="F299" i="2"/>
  <c r="I300" i="2"/>
  <c r="H300" i="2"/>
  <c r="G299" i="2"/>
  <c r="F631" i="2"/>
  <c r="I632" i="2"/>
  <c r="H632" i="2"/>
  <c r="H471" i="2"/>
  <c r="H334" i="2"/>
  <c r="H551" i="2"/>
  <c r="I385" i="2"/>
  <c r="G384" i="2"/>
  <c r="F384" i="2"/>
  <c r="F260" i="2"/>
  <c r="I261" i="2"/>
  <c r="H261" i="2"/>
  <c r="G498" i="2"/>
  <c r="H394" i="2"/>
  <c r="H414" i="2"/>
  <c r="F541" i="2"/>
  <c r="I542" i="2"/>
  <c r="F440" i="2"/>
  <c r="I441" i="2"/>
  <c r="G440" i="2"/>
  <c r="H347" i="2"/>
  <c r="F453" i="2"/>
  <c r="I454" i="2"/>
  <c r="G453" i="2"/>
  <c r="F257" i="2"/>
  <c r="I258" i="2"/>
  <c r="H258" i="2"/>
  <c r="F562" i="2"/>
  <c r="I563" i="2"/>
  <c r="H563" i="2"/>
  <c r="H397" i="2"/>
  <c r="H713" i="2"/>
  <c r="F484" i="2"/>
  <c r="I485" i="2"/>
  <c r="G484" i="2"/>
  <c r="I917" i="2"/>
  <c r="I508" i="2"/>
  <c r="H508" i="2"/>
  <c r="F507" i="2"/>
  <c r="G562" i="2"/>
  <c r="I782" i="2"/>
  <c r="H782" i="2"/>
  <c r="F781" i="2"/>
  <c r="G554" i="2"/>
  <c r="H383" i="2"/>
  <c r="I204" i="2"/>
  <c r="F203" i="2"/>
  <c r="G203" i="2"/>
  <c r="I444" i="2"/>
  <c r="H444" i="2"/>
  <c r="F443" i="2"/>
  <c r="I545" i="2"/>
  <c r="G382" i="2"/>
  <c r="I179" i="2"/>
  <c r="F178" i="2"/>
  <c r="I79" i="2"/>
  <c r="H79" i="2"/>
  <c r="F78" i="2"/>
  <c r="H227" i="2"/>
  <c r="F41" i="2"/>
  <c r="I42" i="2"/>
  <c r="I263" i="2"/>
  <c r="G96" i="2"/>
  <c r="F96" i="2"/>
  <c r="I97" i="2"/>
  <c r="H97" i="2"/>
  <c r="I51" i="2"/>
  <c r="F50" i="2"/>
  <c r="F241" i="2"/>
  <c r="I242" i="2"/>
  <c r="G240" i="2"/>
  <c r="F240" i="2"/>
  <c r="I241" i="2"/>
  <c r="G146" i="2"/>
  <c r="G43" i="2"/>
  <c r="H202" i="2"/>
  <c r="J266" i="2"/>
  <c r="F216" i="2"/>
  <c r="I217" i="2"/>
  <c r="G216" i="2"/>
  <c r="G117" i="2"/>
  <c r="G495" i="2"/>
  <c r="I140" i="2"/>
  <c r="G139" i="2"/>
  <c r="F139" i="2"/>
  <c r="F156" i="2"/>
  <c r="I157" i="2"/>
  <c r="H340" i="2"/>
  <c r="G152" i="2"/>
  <c r="G25" i="2"/>
  <c r="F25" i="2"/>
  <c r="I26" i="2"/>
  <c r="I392" i="2"/>
  <c r="H392" i="2"/>
  <c r="F391" i="2"/>
  <c r="G89" i="2"/>
  <c r="F434" i="2"/>
  <c r="I435" i="2"/>
  <c r="H435" i="2"/>
  <c r="H235" i="2"/>
  <c r="H99" i="2"/>
  <c r="I213" i="2"/>
  <c r="G212" i="2"/>
  <c r="F212" i="2"/>
  <c r="G85" i="2"/>
  <c r="I37" i="2"/>
  <c r="I1319" i="2"/>
  <c r="F1318" i="2"/>
  <c r="F1213" i="2"/>
  <c r="J1213" i="2" s="1"/>
  <c r="I1214" i="2"/>
  <c r="H1214" i="2"/>
  <c r="I1237" i="2"/>
  <c r="F1236" i="2"/>
  <c r="I1408" i="2"/>
  <c r="F1407" i="2"/>
  <c r="H1408" i="2"/>
  <c r="I1322" i="2"/>
  <c r="H1322" i="2"/>
  <c r="F1321" i="2"/>
  <c r="F1200" i="2"/>
  <c r="I1201" i="2"/>
  <c r="H1201" i="2"/>
  <c r="F1037" i="2"/>
  <c r="I1038" i="2"/>
  <c r="H1038" i="2"/>
  <c r="I1113" i="2"/>
  <c r="G1112" i="2"/>
  <c r="F1112" i="2"/>
  <c r="I1458" i="2"/>
  <c r="H1458" i="2"/>
  <c r="G1457" i="2"/>
  <c r="F1457" i="2"/>
  <c r="I1149" i="2"/>
  <c r="F1148" i="2"/>
  <c r="F1218" i="2"/>
  <c r="I1219" i="2"/>
  <c r="H1219" i="2"/>
  <c r="I1137" i="2"/>
  <c r="H1137" i="2"/>
  <c r="F1136" i="2"/>
  <c r="I1323" i="2"/>
  <c r="G1322" i="2"/>
  <c r="F1322" i="2"/>
  <c r="F1152" i="2"/>
  <c r="I1153" i="2"/>
  <c r="H1153" i="2"/>
  <c r="H1073" i="2"/>
  <c r="I1073" i="2"/>
  <c r="F1072" i="2"/>
  <c r="G1267" i="2"/>
  <c r="F1267" i="2"/>
  <c r="I1268" i="2"/>
  <c r="I1111" i="2"/>
  <c r="F1110" i="2"/>
  <c r="G1110" i="2"/>
  <c r="F1113" i="2"/>
  <c r="I1114" i="2"/>
  <c r="H1114" i="2"/>
  <c r="G1113" i="2"/>
  <c r="F998" i="2"/>
  <c r="I999" i="2"/>
  <c r="F931" i="2"/>
  <c r="I932" i="2"/>
  <c r="G931" i="2"/>
  <c r="G1050" i="2"/>
  <c r="F1050" i="2"/>
  <c r="I1051" i="2"/>
  <c r="H1051" i="2"/>
  <c r="F1009" i="2"/>
  <c r="I1010" i="2"/>
  <c r="H1010" i="2"/>
  <c r="F1016" i="2"/>
  <c r="I1017" i="2"/>
  <c r="H1017" i="2"/>
  <c r="H1175" i="2"/>
  <c r="F1145" i="2"/>
  <c r="I1146" i="2"/>
  <c r="H1146" i="2"/>
  <c r="G1145" i="2"/>
  <c r="I1042" i="2"/>
  <c r="H1042" i="2"/>
  <c r="F1041" i="2"/>
  <c r="I848" i="2"/>
  <c r="J848" i="2" s="1"/>
  <c r="F847" i="2"/>
  <c r="H1225" i="2"/>
  <c r="F1035" i="2"/>
  <c r="I1036" i="2"/>
  <c r="I862" i="2"/>
  <c r="G861" i="2"/>
  <c r="F861" i="2"/>
  <c r="F905" i="2"/>
  <c r="H906" i="2"/>
  <c r="I906" i="2"/>
  <c r="F725" i="2"/>
  <c r="I726" i="2"/>
  <c r="G725" i="2"/>
  <c r="H736" i="2"/>
  <c r="G784" i="2"/>
  <c r="F784" i="2"/>
  <c r="I785" i="2"/>
  <c r="I947" i="2"/>
  <c r="G946" i="2"/>
  <c r="F946" i="2"/>
  <c r="F786" i="2"/>
  <c r="I787" i="2"/>
  <c r="H787" i="2"/>
  <c r="I1009" i="2"/>
  <c r="F1008" i="2"/>
  <c r="H799" i="2"/>
  <c r="F822" i="2"/>
  <c r="I823" i="2"/>
  <c r="H823" i="2"/>
  <c r="H978" i="2"/>
  <c r="H822" i="2"/>
  <c r="I1075" i="2"/>
  <c r="I738" i="2"/>
  <c r="F737" i="2"/>
  <c r="I771" i="2"/>
  <c r="H771" i="2"/>
  <c r="F770" i="2"/>
  <c r="F679" i="2"/>
  <c r="I680" i="2"/>
  <c r="H680" i="2"/>
  <c r="G679" i="2"/>
  <c r="I843" i="2"/>
  <c r="F842" i="2"/>
  <c r="G842" i="2"/>
  <c r="F645" i="2"/>
  <c r="I646" i="2"/>
  <c r="H646" i="2"/>
  <c r="I602" i="2"/>
  <c r="F601" i="2"/>
  <c r="I779" i="2"/>
  <c r="G778" i="2"/>
  <c r="F778" i="2"/>
  <c r="F606" i="2"/>
  <c r="I607" i="2"/>
  <c r="H645" i="2"/>
  <c r="F668" i="2"/>
  <c r="H669" i="2"/>
  <c r="I669" i="2"/>
  <c r="F724" i="2"/>
  <c r="I725" i="2"/>
  <c r="H725" i="2"/>
  <c r="I585" i="2"/>
  <c r="J585" i="2" s="1"/>
  <c r="G584" i="2"/>
  <c r="F584" i="2"/>
  <c r="I456" i="2"/>
  <c r="H456" i="2"/>
  <c r="F455" i="2"/>
  <c r="G455" i="2"/>
  <c r="H575" i="2"/>
  <c r="F437" i="2"/>
  <c r="G437" i="2"/>
  <c r="I438" i="2"/>
  <c r="I319" i="2"/>
  <c r="F318" i="2"/>
  <c r="I543" i="2"/>
  <c r="F542" i="2"/>
  <c r="G380" i="2"/>
  <c r="F380" i="2"/>
  <c r="I381" i="2"/>
  <c r="H381" i="2"/>
  <c r="H602" i="2"/>
  <c r="H487" i="2"/>
  <c r="G376" i="2"/>
  <c r="F376" i="2"/>
  <c r="I377" i="2"/>
  <c r="H377" i="2"/>
  <c r="I662" i="2"/>
  <c r="H662" i="2"/>
  <c r="F661" i="2"/>
  <c r="F405" i="2"/>
  <c r="I406" i="2"/>
  <c r="G405" i="2"/>
  <c r="F534" i="2"/>
  <c r="I535" i="2"/>
  <c r="I433" i="2"/>
  <c r="G432" i="2"/>
  <c r="F432" i="2"/>
  <c r="H433" i="2"/>
  <c r="I556" i="2"/>
  <c r="H556" i="2"/>
  <c r="F555" i="2"/>
  <c r="I380" i="2"/>
  <c r="H380" i="2"/>
  <c r="F379" i="2"/>
  <c r="G474" i="2"/>
  <c r="I343" i="2"/>
  <c r="F342" i="2"/>
  <c r="I618" i="2"/>
  <c r="G617" i="2"/>
  <c r="F617" i="2"/>
  <c r="I427" i="2"/>
  <c r="F426" i="2"/>
  <c r="F532" i="2"/>
  <c r="I533" i="2"/>
  <c r="H533" i="2"/>
  <c r="G532" i="2"/>
  <c r="G394" i="2"/>
  <c r="F292" i="2"/>
  <c r="I293" i="2"/>
  <c r="G292" i="2"/>
  <c r="I797" i="2"/>
  <c r="F796" i="2"/>
  <c r="I379" i="2"/>
  <c r="F378" i="2"/>
  <c r="G189" i="2"/>
  <c r="I413" i="2"/>
  <c r="G412" i="2"/>
  <c r="F412" i="2"/>
  <c r="I536" i="2"/>
  <c r="H536" i="2"/>
  <c r="G535" i="2"/>
  <c r="F535" i="2"/>
  <c r="F381" i="2"/>
  <c r="I382" i="2"/>
  <c r="I67" i="2"/>
  <c r="F66" i="2"/>
  <c r="F276" i="2"/>
  <c r="I277" i="2"/>
  <c r="H277" i="2"/>
  <c r="G276" i="2"/>
  <c r="F225" i="2"/>
  <c r="I226" i="2"/>
  <c r="F38" i="2"/>
  <c r="I39" i="2"/>
  <c r="H39" i="2"/>
  <c r="I240" i="2"/>
  <c r="H240" i="2"/>
  <c r="F239" i="2"/>
  <c r="G239" i="2"/>
  <c r="F28" i="2"/>
  <c r="I29" i="2"/>
  <c r="H29" i="2"/>
  <c r="F186" i="2"/>
  <c r="I187" i="2"/>
  <c r="H187" i="2"/>
  <c r="G208" i="2"/>
  <c r="F208" i="2"/>
  <c r="I209" i="2"/>
  <c r="G112" i="2"/>
  <c r="F112" i="2"/>
  <c r="I113" i="2"/>
  <c r="H113" i="2"/>
  <c r="H495" i="2"/>
  <c r="F129" i="2"/>
  <c r="I130" i="2"/>
  <c r="I408" i="2"/>
  <c r="H408" i="2"/>
  <c r="G407" i="2"/>
  <c r="F407" i="2"/>
  <c r="I340" i="2"/>
  <c r="F135" i="2"/>
  <c r="I136" i="2"/>
  <c r="G135" i="2"/>
  <c r="G220" i="2"/>
  <c r="F220" i="2"/>
  <c r="I221" i="2"/>
  <c r="I393" i="2"/>
  <c r="G392" i="2"/>
  <c r="F392" i="2"/>
  <c r="F250" i="2"/>
  <c r="I251" i="2"/>
  <c r="F438" i="2"/>
  <c r="I439" i="2"/>
  <c r="I235" i="2"/>
  <c r="I92" i="2"/>
  <c r="G91" i="2"/>
  <c r="F91" i="2"/>
  <c r="H327" i="2"/>
  <c r="F211" i="2"/>
  <c r="I212" i="2"/>
  <c r="H212" i="2"/>
  <c r="G80" i="2"/>
  <c r="F80" i="2"/>
  <c r="I81" i="2"/>
  <c r="H81" i="2"/>
  <c r="H16" i="2"/>
  <c r="J1182" i="2" l="1"/>
  <c r="J370" i="2"/>
  <c r="J218" i="2"/>
  <c r="J2136" i="2"/>
  <c r="J1851" i="2"/>
  <c r="J2030" i="2"/>
  <c r="J36" i="2"/>
  <c r="J2159" i="2"/>
  <c r="J1944" i="2"/>
  <c r="J1166" i="2"/>
  <c r="J1223" i="2"/>
  <c r="J1623" i="2"/>
  <c r="J1668" i="2"/>
  <c r="J1045" i="2"/>
  <c r="J1618" i="2"/>
  <c r="J1898" i="2"/>
  <c r="J1874" i="2"/>
  <c r="J345" i="2"/>
  <c r="J1002" i="2"/>
  <c r="J2021" i="2"/>
  <c r="J234" i="2"/>
  <c r="J158" i="2"/>
  <c r="J1796" i="2"/>
  <c r="J2226" i="2"/>
  <c r="J1116" i="2"/>
  <c r="J1180" i="2"/>
  <c r="J1216" i="2"/>
  <c r="J2028" i="2"/>
  <c r="J2341" i="2"/>
  <c r="J2201" i="2"/>
  <c r="J2169" i="2"/>
  <c r="J590" i="2"/>
  <c r="J1424" i="2"/>
  <c r="J1465" i="2"/>
  <c r="J1781" i="2"/>
  <c r="J802" i="2"/>
  <c r="J534" i="2"/>
  <c r="J2428" i="2"/>
  <c r="J2453" i="2"/>
  <c r="J1937" i="2"/>
  <c r="J2312" i="2"/>
  <c r="J21" i="2"/>
  <c r="J54" i="2"/>
  <c r="J1156" i="2"/>
  <c r="J415" i="2"/>
  <c r="J1703" i="2"/>
  <c r="J83" i="2"/>
  <c r="J1070" i="2"/>
  <c r="J2011" i="2"/>
  <c r="J78" i="2"/>
  <c r="J2005" i="2"/>
  <c r="J237" i="2"/>
  <c r="J1822" i="2"/>
  <c r="J2389" i="2"/>
  <c r="J1291" i="2"/>
  <c r="J52" i="2"/>
  <c r="J2408" i="2"/>
  <c r="J2195" i="2"/>
  <c r="J2441" i="2"/>
  <c r="J2452" i="2"/>
  <c r="J2221" i="2"/>
  <c r="J365" i="2"/>
  <c r="J1296" i="2"/>
  <c r="J153" i="2"/>
  <c r="J178" i="2"/>
  <c r="J631" i="2"/>
  <c r="J304" i="2"/>
  <c r="J225" i="2"/>
  <c r="J342" i="2"/>
  <c r="J1069" i="2"/>
  <c r="J1994" i="2"/>
  <c r="J2327" i="2"/>
  <c r="J1186" i="2"/>
  <c r="J1973" i="2"/>
  <c r="J1227" i="2"/>
  <c r="J1456" i="2"/>
  <c r="J2295" i="2"/>
  <c r="J647" i="2"/>
  <c r="J290" i="2"/>
  <c r="J1198" i="2"/>
  <c r="J876" i="2"/>
  <c r="J660" i="2"/>
  <c r="J1585" i="2"/>
  <c r="J694" i="2"/>
  <c r="J663" i="2"/>
  <c r="J470" i="2"/>
  <c r="J260" i="2"/>
  <c r="J1484" i="2"/>
  <c r="J737" i="2"/>
  <c r="J1443" i="2"/>
  <c r="J1357" i="2"/>
  <c r="J849" i="2"/>
  <c r="J1415" i="2"/>
  <c r="J1229" i="2"/>
  <c r="J1654" i="2"/>
  <c r="J1653" i="2"/>
  <c r="J1030" i="2"/>
  <c r="J2186" i="2"/>
  <c r="J615" i="2"/>
  <c r="J1660" i="2"/>
  <c r="J938" i="2"/>
  <c r="J1772" i="2"/>
  <c r="J641" i="2"/>
  <c r="J1685" i="2"/>
  <c r="J2432" i="2"/>
  <c r="J1913" i="2"/>
  <c r="J2359" i="2"/>
  <c r="J890" i="2"/>
  <c r="J2343" i="2"/>
  <c r="J1353" i="2"/>
  <c r="J2008" i="2"/>
  <c r="J1709" i="2"/>
  <c r="J1889" i="2"/>
  <c r="J1655" i="2"/>
  <c r="J35" i="2"/>
  <c r="J23" i="2"/>
  <c r="J1375" i="2"/>
  <c r="J2371" i="2"/>
  <c r="J2240" i="2"/>
  <c r="J243" i="2"/>
  <c r="J306" i="2"/>
  <c r="J633" i="2"/>
  <c r="J1670" i="2"/>
  <c r="J2017" i="2"/>
  <c r="J812" i="2"/>
  <c r="J1500" i="2"/>
  <c r="J82" i="2"/>
  <c r="J1634" i="2"/>
  <c r="J1541" i="2"/>
  <c r="J1031" i="2"/>
  <c r="J1086" i="2"/>
  <c r="J781" i="2"/>
  <c r="J1842" i="2"/>
  <c r="J2024" i="2"/>
  <c r="J601" i="2"/>
  <c r="J2171" i="2"/>
  <c r="J927" i="2"/>
  <c r="J1557" i="2"/>
  <c r="J2203" i="2"/>
  <c r="J2421" i="2"/>
  <c r="J748" i="2"/>
  <c r="J671" i="2"/>
  <c r="J249" i="2"/>
  <c r="J1122" i="2"/>
  <c r="J1016" i="2"/>
  <c r="J1072" i="2"/>
  <c r="J1636" i="2"/>
  <c r="J2448" i="2"/>
  <c r="J2323" i="2"/>
  <c r="J1407" i="2"/>
  <c r="J717" i="2"/>
  <c r="J786" i="2"/>
  <c r="J754" i="2"/>
  <c r="J250" i="2"/>
  <c r="J2378" i="2"/>
  <c r="J197" i="2"/>
  <c r="J1846" i="2"/>
  <c r="J1025" i="2"/>
  <c r="J211" i="2"/>
  <c r="J1564" i="2"/>
  <c r="J443" i="2"/>
  <c r="J361" i="2"/>
  <c r="J2116" i="2"/>
  <c r="J338" i="2"/>
  <c r="J2325" i="2"/>
  <c r="J2316" i="2"/>
  <c r="J905" i="2"/>
  <c r="J482" i="2"/>
  <c r="J1815" i="2"/>
  <c r="J1550" i="2"/>
  <c r="J2264" i="2"/>
  <c r="J1961" i="2"/>
  <c r="J712" i="2"/>
  <c r="J326" i="2"/>
  <c r="J1000" i="2"/>
  <c r="J986" i="2"/>
  <c r="J1831" i="2"/>
  <c r="J507" i="2"/>
  <c r="J588" i="2"/>
  <c r="J1533" i="2"/>
  <c r="J233" i="2"/>
  <c r="J1232" i="2"/>
  <c r="J1612" i="2"/>
  <c r="J497" i="2"/>
  <c r="J1717" i="2"/>
  <c r="J1748" i="2"/>
  <c r="J974" i="2"/>
  <c r="J1401" i="2"/>
  <c r="J935" i="2"/>
  <c r="J1395" i="2"/>
  <c r="J2072" i="2"/>
  <c r="J1472" i="2"/>
  <c r="J1292" i="2"/>
  <c r="J1598" i="2"/>
  <c r="J1843" i="2"/>
  <c r="J150" i="2"/>
  <c r="J920" i="2"/>
  <c r="J391" i="2"/>
  <c r="J458" i="2"/>
  <c r="J1235" i="2"/>
  <c r="J2115" i="2"/>
  <c r="J706" i="2"/>
  <c r="J1543" i="2"/>
  <c r="J1392" i="2"/>
  <c r="J2066" i="2"/>
  <c r="J874" i="2"/>
  <c r="J2015" i="2"/>
  <c r="J1726" i="2"/>
  <c r="J998" i="2"/>
  <c r="J1976" i="2"/>
  <c r="J1334" i="2"/>
  <c r="J462" i="2"/>
  <c r="J1055" i="2"/>
  <c r="J1579" i="2"/>
  <c r="J1892" i="2"/>
  <c r="J1363" i="2"/>
  <c r="J1047" i="2"/>
  <c r="J2395" i="2"/>
  <c r="J123" i="2"/>
  <c r="J1437" i="2"/>
  <c r="J1308" i="2"/>
  <c r="J1163" i="2"/>
  <c r="J1087" i="2"/>
  <c r="J1143" i="2"/>
  <c r="J1599" i="2"/>
  <c r="J309" i="2"/>
  <c r="J2085" i="2"/>
  <c r="J913" i="2"/>
  <c r="J318" i="2"/>
  <c r="J1418" i="2"/>
  <c r="J1367" i="2"/>
  <c r="J278" i="2"/>
  <c r="J44" i="2"/>
  <c r="J28" i="2"/>
  <c r="J1601" i="2"/>
  <c r="J231" i="2"/>
  <c r="J903" i="2"/>
  <c r="J494" i="2"/>
  <c r="J1900" i="2"/>
  <c r="J724" i="2"/>
  <c r="J1008" i="2"/>
  <c r="J409" i="2"/>
  <c r="J1305" i="2"/>
  <c r="J2419" i="2"/>
  <c r="J2434" i="2"/>
  <c r="J163" i="2"/>
  <c r="J434" i="2"/>
  <c r="J583" i="2"/>
  <c r="J1035" i="2"/>
  <c r="J1270" i="2"/>
  <c r="J1734" i="2"/>
  <c r="J742" i="2"/>
  <c r="J655" i="2"/>
  <c r="J156" i="2"/>
  <c r="J1200" i="2"/>
  <c r="J2199" i="2"/>
  <c r="J50" i="2"/>
  <c r="J1931" i="2"/>
  <c r="J390" i="2"/>
  <c r="J870" i="2"/>
  <c r="J1836" i="2"/>
  <c r="J2436" i="2"/>
  <c r="J17" i="2"/>
  <c r="J284" i="2"/>
  <c r="J814" i="2"/>
  <c r="J2289" i="2"/>
  <c r="J538" i="2"/>
  <c r="J2338" i="2"/>
  <c r="J62" i="2"/>
  <c r="J1187" i="2"/>
  <c r="J1545" i="2"/>
  <c r="J518" i="2"/>
  <c r="J1794" i="2"/>
  <c r="J639" i="2"/>
  <c r="J2259" i="2"/>
  <c r="J704" i="2"/>
  <c r="J610" i="2"/>
  <c r="J1947" i="2"/>
  <c r="J39" i="2"/>
  <c r="J1473" i="2"/>
  <c r="J2216" i="2"/>
  <c r="J2273" i="2"/>
  <c r="J1662" i="2"/>
  <c r="J1502" i="2"/>
  <c r="J1965" i="2"/>
  <c r="J1802" i="2"/>
  <c r="J1948" i="2"/>
  <c r="J544" i="2"/>
  <c r="J2310" i="2"/>
  <c r="J2307" i="2"/>
  <c r="J691" i="2"/>
  <c r="J113" i="2"/>
  <c r="J261" i="2"/>
  <c r="J1536" i="2"/>
  <c r="J880" i="2"/>
  <c r="J174" i="2"/>
  <c r="J730" i="2"/>
  <c r="J378" i="2"/>
  <c r="J875" i="2"/>
  <c r="J916" i="2"/>
  <c r="J1341" i="2"/>
  <c r="J159" i="2"/>
  <c r="J1626" i="2"/>
  <c r="J1139" i="2"/>
  <c r="J1387" i="2"/>
  <c r="J1528" i="2"/>
  <c r="J921" i="2"/>
  <c r="J311" i="2"/>
  <c r="J282" i="2"/>
  <c r="J908" i="2"/>
  <c r="J1074" i="2"/>
  <c r="J1638" i="2"/>
  <c r="J2256" i="2"/>
  <c r="J1936" i="2"/>
  <c r="J2390" i="2"/>
  <c r="J2177" i="2"/>
  <c r="J2439" i="2"/>
  <c r="J112" i="2"/>
  <c r="J1421" i="2"/>
  <c r="J222" i="2"/>
  <c r="J2139" i="2"/>
  <c r="J1327" i="2"/>
  <c r="J74" i="2"/>
  <c r="J154" i="2"/>
  <c r="J681" i="2"/>
  <c r="J993" i="2"/>
  <c r="J335" i="2"/>
  <c r="J1350" i="2"/>
  <c r="J2002" i="2"/>
  <c r="J2272" i="2"/>
  <c r="J676" i="2"/>
  <c r="J1339" i="2"/>
  <c r="J65" i="2"/>
  <c r="J933" i="2"/>
  <c r="J1349" i="2"/>
  <c r="J1567" i="2"/>
  <c r="J1683" i="2"/>
  <c r="J1882" i="2"/>
  <c r="J2151" i="2"/>
  <c r="J330" i="2"/>
  <c r="J1720" i="2"/>
  <c r="J348" i="2"/>
  <c r="J893" i="2"/>
  <c r="J1741" i="2"/>
  <c r="J2163" i="2"/>
  <c r="J2080" i="2"/>
  <c r="J1220" i="2"/>
  <c r="J1524" i="2"/>
  <c r="J1809" i="2"/>
  <c r="J289" i="2"/>
  <c r="J1540" i="2"/>
  <c r="J464" i="2"/>
  <c r="J1547" i="2"/>
  <c r="J286" i="2"/>
  <c r="J1966" i="2"/>
  <c r="J1474" i="2"/>
  <c r="J1039" i="2"/>
  <c r="J1608" i="2"/>
  <c r="J271" i="2"/>
  <c r="J1951" i="2"/>
  <c r="J2398" i="2"/>
  <c r="J186" i="2"/>
  <c r="J611" i="2"/>
  <c r="J793" i="2"/>
  <c r="J48" i="2"/>
  <c r="J2228" i="2"/>
  <c r="J661" i="2"/>
  <c r="J969" i="2"/>
  <c r="J1989" i="2"/>
  <c r="J695" i="2"/>
  <c r="J1896" i="2"/>
  <c r="J1924" i="2"/>
  <c r="J432" i="2"/>
  <c r="J1379" i="2"/>
  <c r="J1505" i="2"/>
  <c r="J466" i="2"/>
  <c r="J373" i="2"/>
  <c r="J2445" i="2"/>
  <c r="J252" i="2"/>
  <c r="J837" i="2"/>
  <c r="J412" i="2"/>
  <c r="J283" i="2"/>
  <c r="J1118" i="2"/>
  <c r="J1553" i="2"/>
  <c r="J1642" i="2"/>
  <c r="J1184" i="2"/>
  <c r="J1098" i="2"/>
  <c r="J858" i="2"/>
  <c r="J1256" i="2"/>
  <c r="J1446" i="2"/>
  <c r="J1793" i="2"/>
  <c r="J2384" i="2"/>
  <c r="J2110" i="2"/>
  <c r="J2125" i="2"/>
  <c r="J603" i="2"/>
  <c r="J2443" i="2"/>
  <c r="J88" i="2"/>
  <c r="J353" i="2"/>
  <c r="J2366" i="2"/>
  <c r="J1148" i="2"/>
  <c r="J1376" i="2"/>
  <c r="J328" i="2"/>
  <c r="J560" i="2"/>
  <c r="J2070" i="2"/>
  <c r="J437" i="2"/>
  <c r="J770" i="2"/>
  <c r="J666" i="2"/>
  <c r="J484" i="2"/>
  <c r="J1521" i="2"/>
  <c r="J1034" i="2"/>
  <c r="J1975" i="2"/>
  <c r="J1677" i="2"/>
  <c r="J1750" i="2"/>
  <c r="J1168" i="2"/>
  <c r="J645" i="2"/>
  <c r="J929" i="2"/>
  <c r="J1560" i="2"/>
  <c r="J94" i="2"/>
  <c r="J546" i="2"/>
  <c r="J741" i="2"/>
  <c r="J1132" i="2"/>
  <c r="J1711" i="2"/>
  <c r="J537" i="2"/>
  <c r="J1875" i="2"/>
  <c r="J2108" i="2"/>
  <c r="J979" i="2"/>
  <c r="J1503" i="2"/>
  <c r="J1934" i="2"/>
  <c r="J1837" i="2"/>
  <c r="J965" i="2"/>
  <c r="J907" i="2"/>
  <c r="J1824" i="2"/>
  <c r="J1935" i="2"/>
  <c r="J2404" i="2"/>
  <c r="J1203" i="2"/>
  <c r="J813" i="2"/>
  <c r="J1188" i="2"/>
  <c r="J1648" i="2"/>
  <c r="J66" i="2"/>
  <c r="J1236" i="2"/>
  <c r="J101" i="2"/>
  <c r="J307" i="2"/>
  <c r="J1752" i="2"/>
  <c r="J59" i="2"/>
  <c r="J824" i="2"/>
  <c r="J2105" i="2"/>
  <c r="J1676" i="2"/>
  <c r="J948" i="2"/>
  <c r="J451" i="2"/>
  <c r="J580" i="2"/>
  <c r="J1311" i="2"/>
  <c r="J1389" i="2"/>
  <c r="J1588" i="2"/>
  <c r="J512" i="2"/>
  <c r="J613" i="2"/>
  <c r="J2138" i="2"/>
  <c r="J1693" i="2"/>
  <c r="J1079" i="2"/>
  <c r="J1915" i="2"/>
  <c r="J866" i="2"/>
  <c r="J68" i="2"/>
  <c r="J1325" i="2"/>
  <c r="J198" i="2"/>
  <c r="J2372" i="2"/>
  <c r="J868" i="2"/>
  <c r="J1409" i="2"/>
  <c r="J634" i="2"/>
  <c r="J1758" i="2"/>
  <c r="J341" i="2"/>
  <c r="J1867" i="2"/>
  <c r="J562" i="2"/>
  <c r="J1534" i="2"/>
  <c r="J291" i="2"/>
  <c r="J25" i="2"/>
  <c r="J831" i="2"/>
  <c r="J2051" i="2"/>
  <c r="J1360" i="2"/>
  <c r="J1621" i="2"/>
  <c r="J124" i="2"/>
  <c r="J670" i="2"/>
  <c r="J860" i="2"/>
  <c r="J281" i="2"/>
  <c r="J1414" i="2"/>
  <c r="J1009" i="2"/>
  <c r="J426" i="2"/>
  <c r="J38" i="2"/>
  <c r="J584" i="2"/>
  <c r="J784" i="2"/>
  <c r="J1267" i="2"/>
  <c r="J1492" i="2"/>
  <c r="J1135" i="2"/>
  <c r="J1275" i="2"/>
  <c r="J1449" i="2"/>
  <c r="J201" i="2"/>
  <c r="J358" i="2"/>
  <c r="J1058" i="2"/>
  <c r="J734" i="2"/>
  <c r="J214" i="2"/>
  <c r="J519" i="2"/>
  <c r="J2297" i="2"/>
  <c r="J2393" i="2"/>
  <c r="J643" i="2"/>
  <c r="J208" i="2"/>
  <c r="J240" i="2"/>
  <c r="J1565" i="2"/>
  <c r="J1736" i="2"/>
  <c r="J1583" i="2"/>
  <c r="J1782" i="2"/>
  <c r="J1957" i="2"/>
  <c r="J63" i="2"/>
  <c r="J807" i="2"/>
  <c r="J879" i="2"/>
  <c r="J273" i="2"/>
  <c r="J635" i="2"/>
  <c r="J457" i="2"/>
  <c r="J90" i="2"/>
  <c r="J492" i="2"/>
  <c r="J1276" i="2"/>
  <c r="J145" i="2"/>
  <c r="J934" i="2"/>
  <c r="J576" i="2"/>
  <c r="J404" i="2"/>
  <c r="J1019" i="2"/>
  <c r="J1194" i="2"/>
  <c r="J1120" i="2"/>
  <c r="J248" i="2"/>
  <c r="J1659" i="2"/>
  <c r="J1823" i="2"/>
  <c r="J2202" i="2"/>
  <c r="J2284" i="2"/>
  <c r="J2396" i="2"/>
  <c r="J1590" i="2"/>
  <c r="J2381" i="2"/>
  <c r="J1509" i="2"/>
  <c r="J1864" i="2"/>
  <c r="J2222" i="2"/>
  <c r="J1480" i="2"/>
  <c r="J1515" i="2"/>
  <c r="J1252" i="2"/>
  <c r="J1857" i="2"/>
  <c r="J191" i="2"/>
  <c r="J1301" i="2"/>
  <c r="J1090" i="2"/>
  <c r="J1193" i="2"/>
  <c r="J1665" i="2"/>
  <c r="J2257" i="2"/>
  <c r="J2357" i="2"/>
  <c r="J1832" i="2"/>
  <c r="J256" i="2"/>
  <c r="J2093" i="2"/>
  <c r="J2104" i="2"/>
  <c r="J2354" i="2"/>
  <c r="J1063" i="2"/>
  <c r="J1827" i="2"/>
  <c r="J1196" i="2"/>
  <c r="J276" i="2"/>
  <c r="J2049" i="2"/>
  <c r="J421" i="2"/>
  <c r="J1178" i="2"/>
  <c r="J1790" i="2"/>
  <c r="J2059" i="2"/>
  <c r="J383" i="2"/>
  <c r="J465" i="2"/>
  <c r="J1285" i="2"/>
  <c r="J667" i="2"/>
  <c r="J721" i="2"/>
  <c r="J941" i="2"/>
  <c r="J1048" i="2"/>
  <c r="J324" i="2"/>
  <c r="J235" i="2"/>
  <c r="J441" i="2"/>
  <c r="J1042" i="2"/>
  <c r="J1175" i="2"/>
  <c r="J34" i="2"/>
  <c r="J1026" i="2"/>
  <c r="J520" i="2"/>
  <c r="J954" i="2"/>
  <c r="J69" i="2"/>
  <c r="J477" i="2"/>
  <c r="J72" i="2"/>
  <c r="J351" i="2"/>
  <c r="J229" i="2"/>
  <c r="J1167" i="2"/>
  <c r="J1040" i="2"/>
  <c r="J2087" i="2"/>
  <c r="J2368" i="2"/>
  <c r="J2319" i="2"/>
  <c r="J2082" i="2"/>
  <c r="J2041" i="2"/>
  <c r="J2198" i="2"/>
  <c r="J2212" i="2"/>
  <c r="J405" i="2"/>
  <c r="J840" i="2"/>
  <c r="J1145" i="2"/>
  <c r="J844" i="2"/>
  <c r="J1154" i="2"/>
  <c r="J1606" i="2"/>
  <c r="J1893" i="2"/>
  <c r="J658" i="2"/>
  <c r="J821" i="2"/>
  <c r="J1082" i="2"/>
  <c r="J1171" i="2"/>
  <c r="J1104" i="2"/>
  <c r="J794" i="2"/>
  <c r="J1574" i="2"/>
  <c r="J1967" i="2"/>
  <c r="J118" i="2"/>
  <c r="J1241" i="2"/>
  <c r="J1263" i="2"/>
  <c r="J20" i="2"/>
  <c r="J919" i="2"/>
  <c r="J1071" i="2"/>
  <c r="J1124" i="2"/>
  <c r="J31" i="2"/>
  <c r="J962" i="2"/>
  <c r="J1207" i="2"/>
  <c r="J1306" i="2"/>
  <c r="J1388" i="2"/>
  <c r="J483" i="2"/>
  <c r="J247" i="2"/>
  <c r="J515" i="2"/>
  <c r="J943" i="2"/>
  <c r="J1084" i="2"/>
  <c r="J1431" i="2"/>
  <c r="J1611" i="2"/>
  <c r="J2173" i="2"/>
  <c r="J2267" i="2"/>
  <c r="J53" i="2"/>
  <c r="J2353" i="2"/>
  <c r="J1742" i="2"/>
  <c r="J2135" i="2"/>
  <c r="J2385" i="2"/>
  <c r="J2243" i="2"/>
  <c r="J1320" i="2"/>
  <c r="J1303" i="2"/>
  <c r="J652" i="2"/>
  <c r="J1169" i="2"/>
  <c r="J138" i="2"/>
  <c r="J322" i="2"/>
  <c r="J1105" i="2"/>
  <c r="J818" i="2"/>
  <c r="J510" i="2"/>
  <c r="J2107" i="2"/>
  <c r="J2086" i="2"/>
  <c r="J2181" i="2"/>
  <c r="J2013" i="2"/>
  <c r="J1943" i="2"/>
  <c r="J685" i="2"/>
  <c r="J1491" i="2"/>
  <c r="J2193" i="2"/>
  <c r="J2360" i="2"/>
  <c r="J1817" i="2"/>
  <c r="J379" i="2"/>
  <c r="J1322" i="2"/>
  <c r="J980" i="2"/>
  <c r="J1153" i="2"/>
  <c r="J321" i="2"/>
  <c r="J445" i="2"/>
  <c r="J883" i="2"/>
  <c r="J1091" i="2"/>
  <c r="J1768" i="2"/>
  <c r="J1526" i="2"/>
  <c r="J1485" i="2"/>
  <c r="J1650" i="2"/>
  <c r="J428" i="2"/>
  <c r="J493" i="2"/>
  <c r="J1108" i="2"/>
  <c r="J505" i="2"/>
  <c r="J964" i="2"/>
  <c r="J1384" i="2"/>
  <c r="J638" i="2"/>
  <c r="J1053" i="2"/>
  <c r="J1804" i="2"/>
  <c r="J1755" i="2"/>
  <c r="J182" i="2"/>
  <c r="J414" i="2"/>
  <c r="J1919" i="2"/>
  <c r="J2158" i="2"/>
  <c r="J2363" i="2"/>
  <c r="J757" i="2"/>
  <c r="J1568" i="2"/>
  <c r="J1647" i="2"/>
  <c r="J1226" i="2"/>
  <c r="J1314" i="2"/>
  <c r="J1807" i="2"/>
  <c r="J1657" i="2"/>
  <c r="J2153" i="2"/>
  <c r="J2142" i="2"/>
  <c r="J96" i="2"/>
  <c r="J744" i="2"/>
  <c r="J1992" i="2"/>
  <c r="J551" i="2"/>
  <c r="J1876" i="2"/>
  <c r="J621" i="2"/>
  <c r="J103" i="2"/>
  <c r="J545" i="2"/>
  <c r="J1023" i="2"/>
  <c r="J1012" i="2"/>
  <c r="J1150" i="2"/>
  <c r="J1245" i="2"/>
  <c r="J689" i="2"/>
  <c r="J106" i="2"/>
  <c r="J629" i="2"/>
  <c r="J1954" i="2"/>
  <c r="J2356" i="2"/>
  <c r="J2246" i="2"/>
  <c r="J392" i="2"/>
  <c r="J376" i="2"/>
  <c r="J778" i="2"/>
  <c r="J946" i="2"/>
  <c r="J1136" i="2"/>
  <c r="J1318" i="2"/>
  <c r="J1315" i="2"/>
  <c r="J1645" i="2"/>
  <c r="J1092" i="2"/>
  <c r="J872" i="2"/>
  <c r="J1159" i="2"/>
  <c r="J1998" i="2"/>
  <c r="J825" i="2"/>
  <c r="J819" i="2"/>
  <c r="J961" i="2"/>
  <c r="J1052" i="2"/>
  <c r="J1562" i="2"/>
  <c r="J2146" i="2"/>
  <c r="J506" i="2"/>
  <c r="J85" i="2"/>
  <c r="J509" i="2"/>
  <c r="J994" i="2"/>
  <c r="J1442" i="2"/>
  <c r="J2096" i="2"/>
  <c r="J2400" i="2"/>
  <c r="J2454" i="2"/>
  <c r="J2187" i="2"/>
  <c r="J2103" i="2"/>
  <c r="J1785" i="2"/>
  <c r="J1949" i="2"/>
  <c r="J1313" i="2"/>
  <c r="J957" i="2"/>
  <c r="J1605" i="2"/>
  <c r="J804" i="2"/>
  <c r="J552" i="2"/>
  <c r="J708" i="2"/>
  <c r="J947" i="2"/>
  <c r="J1400" i="2"/>
  <c r="J87" i="2"/>
  <c r="J480" i="2"/>
  <c r="J816" i="2"/>
  <c r="J171" i="2"/>
  <c r="J1681" i="2"/>
  <c r="J1739" i="2"/>
  <c r="J1274" i="2"/>
  <c r="J349" i="2"/>
  <c r="J188" i="2"/>
  <c r="J444" i="2"/>
  <c r="J702" i="2"/>
  <c r="J713" i="2"/>
  <c r="J1883" i="2"/>
  <c r="J2149" i="2"/>
  <c r="J2303" i="2"/>
  <c r="J1532" i="2"/>
  <c r="J1853" i="2"/>
  <c r="J2302" i="2"/>
  <c r="J1763" i="2"/>
  <c r="J1714" i="2"/>
  <c r="J1594" i="2"/>
  <c r="J2111" i="2"/>
  <c r="J1228" i="2"/>
  <c r="J166" i="2"/>
  <c r="J727" i="2"/>
  <c r="J1684" i="2"/>
  <c r="J841" i="2"/>
  <c r="J1085" i="2"/>
  <c r="J1884" i="2"/>
  <c r="J2094" i="2"/>
  <c r="J2291" i="2"/>
  <c r="J287" i="2"/>
  <c r="J194" i="2"/>
  <c r="J909" i="2"/>
  <c r="J1137" i="2"/>
  <c r="J1999" i="2"/>
  <c r="J46" i="2"/>
  <c r="J1059" i="2"/>
  <c r="J1331" i="2"/>
  <c r="J1128" i="2"/>
  <c r="J1366" i="2"/>
  <c r="J826" i="2"/>
  <c r="J1776" i="2"/>
  <c r="J1278" i="2"/>
  <c r="J1705" i="2"/>
  <c r="J169" i="2"/>
  <c r="J185" i="2"/>
  <c r="J2369" i="2"/>
  <c r="J1871" i="2"/>
  <c r="J2190" i="2"/>
  <c r="J2401" i="2"/>
  <c r="J2132" i="2"/>
  <c r="J1248" i="2"/>
  <c r="J1624" i="2"/>
  <c r="J1723" i="2"/>
  <c r="J972" i="2"/>
  <c r="J253" i="2"/>
  <c r="J887" i="2"/>
  <c r="J97" i="2"/>
  <c r="J2057" i="2"/>
  <c r="J896" i="2"/>
  <c r="J1088" i="2"/>
  <c r="J2113" i="2"/>
  <c r="J490" i="2"/>
  <c r="J864" i="2"/>
  <c r="J925" i="2"/>
  <c r="J1286" i="2"/>
  <c r="J1217" i="2"/>
  <c r="J1712" i="2"/>
  <c r="J502" i="2"/>
  <c r="J597" i="2"/>
  <c r="J1073" i="2"/>
  <c r="J1141" i="2"/>
  <c r="J1434" i="2"/>
  <c r="J1552" i="2"/>
  <c r="J55" i="2"/>
  <c r="J716" i="2"/>
  <c r="J774" i="2"/>
  <c r="J1157" i="2"/>
  <c r="J1570" i="2"/>
  <c r="J1990" i="2"/>
  <c r="J1927" i="2"/>
  <c r="J2306" i="2"/>
  <c r="J1099" i="2"/>
  <c r="J1979" i="2"/>
  <c r="J1513" i="2"/>
  <c r="J1771" i="2"/>
  <c r="J931" i="2"/>
  <c r="J847" i="2"/>
  <c r="J220" i="2"/>
  <c r="J1453" i="2"/>
  <c r="J617" i="2"/>
  <c r="J1041" i="2"/>
  <c r="J1050" i="2"/>
  <c r="J1321" i="2"/>
  <c r="J257" i="2"/>
  <c r="J384" i="2"/>
  <c r="J899" i="2"/>
  <c r="J300" i="2"/>
  <c r="J743" i="2"/>
  <c r="J1347" i="2"/>
  <c r="J1761" i="2"/>
  <c r="J885" i="2"/>
  <c r="J897" i="2"/>
  <c r="J548" i="2"/>
  <c r="J1559" i="2"/>
  <c r="J2048" i="2"/>
  <c r="J1288" i="2"/>
  <c r="J517" i="2"/>
  <c r="J892" i="2"/>
  <c r="J1351" i="2"/>
  <c r="J1616" i="2"/>
  <c r="J1428" i="2"/>
  <c r="J614" i="2"/>
  <c r="J295" i="2"/>
  <c r="J592" i="2"/>
  <c r="J1317" i="2"/>
  <c r="J1730" i="2"/>
  <c r="J1744" i="2"/>
  <c r="J2254" i="2"/>
  <c r="J1860" i="2"/>
  <c r="J1242" i="2"/>
  <c r="J2283" i="2"/>
  <c r="J2145" i="2"/>
  <c r="J2179" i="2"/>
  <c r="J2334" i="2"/>
  <c r="J1403" i="2"/>
  <c r="J375" i="2"/>
  <c r="J41" i="2"/>
  <c r="J1254" i="2"/>
  <c r="J1519" i="2"/>
  <c r="J1619" i="2"/>
  <c r="J766" i="2"/>
  <c r="J707" i="2"/>
  <c r="J1425" i="2"/>
  <c r="J657" i="2"/>
  <c r="J550" i="2"/>
  <c r="J1788" i="2"/>
  <c r="J623" i="2"/>
  <c r="J598" i="2"/>
  <c r="J846" i="2"/>
  <c r="J1111" i="2"/>
  <c r="J1520" i="2"/>
  <c r="J664" i="2"/>
  <c r="J1126" i="2"/>
  <c r="J1411" i="2"/>
  <c r="J605" i="2"/>
  <c r="J1134" i="2"/>
  <c r="J147" i="2"/>
  <c r="J89" i="2"/>
  <c r="J740" i="2"/>
  <c r="J699" i="2"/>
  <c r="J1426" i="2"/>
  <c r="J1525" i="2"/>
  <c r="J1020" i="2"/>
  <c r="J142" i="2"/>
  <c r="J967" i="2"/>
  <c r="J944" i="2"/>
  <c r="J45" i="2"/>
  <c r="J682" i="2"/>
  <c r="J501" i="2"/>
  <c r="J810" i="2"/>
  <c r="J1060" i="2"/>
  <c r="J1907" i="2"/>
  <c r="J2054" i="2"/>
  <c r="J2097" i="2"/>
  <c r="J70" i="2"/>
  <c r="J398" i="2"/>
  <c r="J790" i="2"/>
  <c r="J2255" i="2"/>
  <c r="J213" i="2"/>
  <c r="J2084" i="2"/>
  <c r="J2182" i="2"/>
  <c r="J400" i="2"/>
  <c r="J1700" i="2"/>
  <c r="J1855" i="2"/>
  <c r="J1825" i="2"/>
  <c r="J2109" i="2"/>
  <c r="J714" i="2"/>
  <c r="J1438" i="2"/>
  <c r="J2180" i="2"/>
  <c r="J945" i="2"/>
  <c r="J2056" i="2"/>
  <c r="J132" i="2"/>
  <c r="J533" i="2"/>
  <c r="J988" i="2"/>
  <c r="J1690" i="2"/>
  <c r="J1909" i="2"/>
  <c r="J2247" i="2"/>
  <c r="J1593" i="2"/>
  <c r="J1885" i="2"/>
  <c r="J81" i="2"/>
  <c r="J2154" i="2"/>
  <c r="J2260" i="2"/>
  <c r="J1517" i="2"/>
  <c r="J1854" i="2"/>
  <c r="J797" i="2"/>
  <c r="J2128" i="2"/>
  <c r="J217" i="2"/>
  <c r="J1610" i="2"/>
  <c r="J1983" i="2"/>
  <c r="J2161" i="2"/>
  <c r="J439" i="2"/>
  <c r="J2118" i="2"/>
  <c r="J2134" i="2"/>
  <c r="J2194" i="2"/>
  <c r="J1080" i="2"/>
  <c r="J411" i="2"/>
  <c r="J1373" i="2"/>
  <c r="J2071" i="2"/>
  <c r="J2175" i="2"/>
  <c r="J1393" i="2"/>
  <c r="J2019" i="2"/>
  <c r="J2058" i="2"/>
  <c r="J165" i="2"/>
  <c r="J485" i="2"/>
  <c r="J1856" i="2"/>
  <c r="J1631" i="2"/>
  <c r="J698" i="2"/>
  <c r="J888" i="2"/>
  <c r="J926" i="2"/>
  <c r="J1265" i="2"/>
  <c r="J1335" i="2"/>
  <c r="J1382" i="2"/>
  <c r="J180" i="2"/>
  <c r="J554" i="2"/>
  <c r="J696" i="2"/>
  <c r="J917" i="2"/>
  <c r="J1093" i="2"/>
  <c r="J1299" i="2"/>
  <c r="J316" i="2"/>
  <c r="J238" i="2"/>
  <c r="J61" i="2"/>
  <c r="J930" i="2"/>
  <c r="J1204" i="2"/>
  <c r="J1819" i="2"/>
  <c r="J811" i="2"/>
  <c r="J1718" i="2"/>
  <c r="J2076" i="2"/>
  <c r="J2088" i="2"/>
  <c r="J2285" i="2"/>
  <c r="J1504" i="2"/>
  <c r="J1675" i="2"/>
  <c r="J1987" i="2"/>
  <c r="J1958" i="2"/>
  <c r="J2270" i="2"/>
  <c r="J2331" i="2"/>
  <c r="J985" i="2"/>
  <c r="J1694" i="2"/>
  <c r="J1737" i="2"/>
  <c r="J2156" i="2"/>
  <c r="J632" i="2"/>
  <c r="J1162" i="2"/>
  <c r="J1258" i="2"/>
  <c r="J1478" i="2"/>
  <c r="J1941" i="2"/>
  <c r="J589" i="2"/>
  <c r="J1271" i="2"/>
  <c r="J1881" i="2"/>
  <c r="J1682" i="2"/>
  <c r="J2020" i="2"/>
  <c r="J2168" i="2"/>
  <c r="J2317" i="2"/>
  <c r="J1713" i="2"/>
  <c r="J1539" i="2"/>
  <c r="J1844" i="2"/>
  <c r="J1721" i="2"/>
  <c r="J763" i="2"/>
  <c r="J1738" i="2"/>
  <c r="J1784" i="2"/>
  <c r="J889" i="2"/>
  <c r="J1081" i="2"/>
  <c r="J1725" i="2"/>
  <c r="J1757" i="2"/>
  <c r="J2340" i="2"/>
  <c r="J1475" i="2"/>
  <c r="J593" i="2"/>
  <c r="J745" i="2"/>
  <c r="J649" i="2"/>
  <c r="J1281" i="2"/>
  <c r="J862" i="2"/>
  <c r="J1205" i="2"/>
  <c r="J371" i="2"/>
  <c r="J1144" i="2"/>
  <c r="J1280" i="2"/>
  <c r="J1361" i="2"/>
  <c r="J900" i="2"/>
  <c r="J1548" i="2"/>
  <c r="J1921" i="2"/>
  <c r="J1847" i="2"/>
  <c r="J176" i="2"/>
  <c r="J310" i="2"/>
  <c r="J1038" i="2"/>
  <c r="J1260" i="2"/>
  <c r="J130" i="2"/>
  <c r="J385" i="2"/>
  <c r="J472" i="2"/>
  <c r="J521" i="2"/>
  <c r="J1125" i="2"/>
  <c r="J121" i="2"/>
  <c r="J323" i="2"/>
  <c r="J424" i="2"/>
  <c r="J789" i="2"/>
  <c r="J1102" i="2"/>
  <c r="J1728" i="2"/>
  <c r="J471" i="2"/>
  <c r="J429" i="2"/>
  <c r="J683" i="2"/>
  <c r="J805" i="2"/>
  <c r="J750" i="2"/>
  <c r="J981" i="2"/>
  <c r="J1036" i="2"/>
  <c r="J573" i="2"/>
  <c r="J829" i="2"/>
  <c r="J1452" i="2"/>
  <c r="J172" i="2"/>
  <c r="J871" i="2"/>
  <c r="J975" i="2"/>
  <c r="J382" i="2"/>
  <c r="J765" i="2"/>
  <c r="J723" i="2"/>
  <c r="J1004" i="2"/>
  <c r="J1602" i="2"/>
  <c r="J1701" i="2"/>
  <c r="J1669" i="2"/>
  <c r="J1441" i="2"/>
  <c r="J1527" i="2"/>
  <c r="J609" i="2"/>
  <c r="J1516" i="2"/>
  <c r="J1380" i="2"/>
  <c r="J2262" i="2"/>
  <c r="J77" i="2"/>
  <c r="J1591" i="2"/>
  <c r="J2098" i="2"/>
  <c r="J2091" i="2"/>
  <c r="J467" i="2"/>
  <c r="J1929" i="2"/>
  <c r="J2073" i="2"/>
  <c r="J2292" i="2"/>
  <c r="J2286" i="2"/>
  <c r="J162" i="2"/>
  <c r="J1173" i="2"/>
  <c r="J1686" i="2"/>
  <c r="J1247" i="2"/>
  <c r="J2427" i="2"/>
  <c r="J2430" i="2"/>
  <c r="J1109" i="2"/>
  <c r="J2032" i="2"/>
  <c r="J1977" i="2"/>
  <c r="J362" i="2"/>
  <c r="J1756" i="2"/>
  <c r="J2308" i="2"/>
  <c r="J2311" i="2"/>
  <c r="J2320" i="2"/>
  <c r="J1672" i="2"/>
  <c r="J1779" i="2"/>
  <c r="J1829" i="2"/>
  <c r="J2206" i="2"/>
  <c r="J2349" i="2"/>
  <c r="J2279" i="2"/>
  <c r="J1429" i="2"/>
  <c r="J1571" i="2"/>
  <c r="J1770" i="2"/>
  <c r="J1880" i="2"/>
  <c r="J2033" i="2"/>
  <c r="J1049" i="2"/>
  <c r="J1189" i="2"/>
  <c r="J1463" i="2"/>
  <c r="J1130" i="2"/>
  <c r="J128" i="2"/>
  <c r="J420" i="2"/>
  <c r="J989" i="2"/>
  <c r="J1129" i="2"/>
  <c r="J1257" i="2"/>
  <c r="J136" i="2"/>
  <c r="J618" i="2"/>
  <c r="J644" i="2"/>
  <c r="J910" i="2"/>
  <c r="J1920" i="2"/>
  <c r="J296" i="2"/>
  <c r="J117" i="2"/>
  <c r="J746" i="2"/>
  <c r="J799" i="2"/>
  <c r="J1077" i="2"/>
  <c r="J1221" i="2"/>
  <c r="J1381" i="2"/>
  <c r="J152" i="2"/>
  <c r="J359" i="2"/>
  <c r="J1151" i="2"/>
  <c r="J1332" i="2"/>
  <c r="J1476" i="2"/>
  <c r="J327" i="2"/>
  <c r="J828" i="2"/>
  <c r="J293" i="2"/>
  <c r="J336" i="2"/>
  <c r="J416" i="2"/>
  <c r="J665" i="2"/>
  <c r="J785" i="2"/>
  <c r="J1160" i="2"/>
  <c r="J852" i="2"/>
  <c r="J1176" i="2"/>
  <c r="J1340" i="2"/>
  <c r="J1586" i="2"/>
  <c r="J1459" i="2"/>
  <c r="J71" i="2"/>
  <c r="J119" i="2"/>
  <c r="J340" i="2"/>
  <c r="J183" i="2"/>
  <c r="J230" i="2"/>
  <c r="J354" i="2"/>
  <c r="J630" i="2"/>
  <c r="J817" i="2"/>
  <c r="J95" i="2"/>
  <c r="J343" i="2"/>
  <c r="J761" i="2"/>
  <c r="J406" i="2"/>
  <c r="J1051" i="2"/>
  <c r="J1364" i="2"/>
  <c r="J1439" i="2"/>
  <c r="J1469" i="2"/>
  <c r="J1930" i="2"/>
  <c r="J2050" i="2"/>
  <c r="J1904" i="2"/>
  <c r="J2391" i="2"/>
  <c r="J1066" i="2"/>
  <c r="J2386" i="2"/>
  <c r="J2174" i="2"/>
  <c r="J255" i="2"/>
  <c r="J1581" i="2"/>
  <c r="J855" i="2"/>
  <c r="J1587" i="2"/>
  <c r="J2075" i="2"/>
  <c r="J873" i="2"/>
  <c r="J1595" i="2"/>
  <c r="J1632" i="2"/>
  <c r="J2035" i="2"/>
  <c r="J2065" i="2"/>
  <c r="J2397" i="2"/>
  <c r="J442" i="2"/>
  <c r="J1444" i="2"/>
  <c r="J1689" i="2"/>
  <c r="J1984" i="2"/>
  <c r="J1996" i="2"/>
  <c r="J1592" i="2"/>
  <c r="J1556" i="2"/>
  <c r="J2101" i="2"/>
  <c r="J196" i="2"/>
  <c r="J1507" i="2"/>
  <c r="J2117" i="2"/>
  <c r="J2196" i="2"/>
  <c r="J2090" i="2"/>
  <c r="J1697" i="2"/>
  <c r="J2044" i="2"/>
  <c r="J2277" i="2"/>
  <c r="J845" i="2"/>
  <c r="J2402" i="2"/>
  <c r="J564" i="2"/>
  <c r="J1410" i="2"/>
  <c r="J2001" i="2"/>
  <c r="J2127" i="2"/>
  <c r="J1165" i="2"/>
  <c r="J2165" i="2"/>
  <c r="J1253" i="2"/>
  <c r="J73" i="2"/>
  <c r="J1955" i="2"/>
  <c r="J2326" i="2"/>
  <c r="J815" i="2"/>
  <c r="J1076" i="2"/>
  <c r="J1202" i="2"/>
  <c r="J2276" i="2"/>
  <c r="J1218" i="2"/>
  <c r="J212" i="2"/>
  <c r="J772" i="2"/>
  <c r="J91" i="2"/>
  <c r="J2022" i="2"/>
  <c r="J245" i="2"/>
  <c r="J76" i="2"/>
  <c r="J594" i="2"/>
  <c r="J495" i="2"/>
  <c r="J410" i="2"/>
  <c r="J869" i="2"/>
  <c r="J476" i="2"/>
  <c r="J894" i="2"/>
  <c r="J1329" i="2"/>
  <c r="J1649" i="2"/>
  <c r="J320" i="2"/>
  <c r="J397" i="2"/>
  <c r="J491" i="2"/>
  <c r="J756" i="2"/>
  <c r="J1468" i="2"/>
  <c r="J170" i="2"/>
  <c r="J423" i="2"/>
  <c r="J141" i="2"/>
  <c r="J479" i="2"/>
  <c r="J450" i="2"/>
  <c r="J904" i="2"/>
  <c r="J1224" i="2"/>
  <c r="J1190" i="2"/>
  <c r="J1422" i="2"/>
  <c r="J503" i="2"/>
  <c r="J394" i="2"/>
  <c r="J173" i="2"/>
  <c r="J205" i="2"/>
  <c r="J566" i="2"/>
  <c r="J559" i="2"/>
  <c r="J1164" i="2"/>
  <c r="J140" i="2"/>
  <c r="J767" i="2"/>
  <c r="J357" i="2"/>
  <c r="J531" i="2"/>
  <c r="J690" i="2"/>
  <c r="J224" i="2"/>
  <c r="J823" i="2"/>
  <c r="J1007" i="2"/>
  <c r="J1078" i="2"/>
  <c r="J1702" i="2"/>
  <c r="J1962" i="2"/>
  <c r="J427" i="2"/>
  <c r="J1391" i="2"/>
  <c r="J1801" i="2"/>
  <c r="J2281" i="2"/>
  <c r="J1123" i="2"/>
  <c r="J1549" i="2"/>
  <c r="J1798" i="2"/>
  <c r="J1652" i="2"/>
  <c r="J1760" i="2"/>
  <c r="J268" i="2"/>
  <c r="J1569" i="2"/>
  <c r="J1584" i="2"/>
  <c r="J2037" i="2"/>
  <c r="J2263" i="2"/>
  <c r="J2429" i="2"/>
  <c r="J1678" i="2"/>
  <c r="J1813" i="2"/>
  <c r="J1963" i="2"/>
  <c r="J2299" i="2"/>
  <c r="J2230" i="2"/>
  <c r="J1840" i="2"/>
  <c r="J1841" i="2"/>
  <c r="J288" i="2"/>
  <c r="J939" i="2"/>
  <c r="J1699" i="2"/>
  <c r="J1969" i="2"/>
  <c r="J2315" i="2"/>
  <c r="J2324" i="2"/>
  <c r="J2377" i="2"/>
  <c r="J1886" i="2"/>
  <c r="J1981" i="2"/>
  <c r="J2265" i="2"/>
  <c r="J528" i="2"/>
  <c r="J1806" i="2"/>
  <c r="J1523" i="2"/>
  <c r="J1888" i="2"/>
  <c r="J2126" i="2"/>
  <c r="J2342" i="2"/>
  <c r="J1319" i="2"/>
  <c r="J1578" i="2"/>
  <c r="J1899" i="2"/>
  <c r="J1614" i="2"/>
  <c r="J1980" i="2"/>
  <c r="J1988" i="2"/>
  <c r="J1589" i="2"/>
  <c r="J1863" i="2"/>
  <c r="J2079" i="2"/>
  <c r="J2309" i="2"/>
  <c r="J2435" i="2"/>
  <c r="J1489" i="2"/>
  <c r="J1531" i="2"/>
  <c r="J435" i="2"/>
  <c r="J2214" i="2"/>
  <c r="J433" i="2"/>
  <c r="J1812" i="2"/>
  <c r="J1181" i="2"/>
  <c r="J380" i="2"/>
  <c r="J1114" i="2"/>
  <c r="J135" i="2"/>
  <c r="J542" i="2"/>
  <c r="J650" i="2"/>
  <c r="J387" i="2"/>
  <c r="J796" i="2"/>
  <c r="J842" i="2"/>
  <c r="J822" i="2"/>
  <c r="J725" i="2"/>
  <c r="J1457" i="2"/>
  <c r="J453" i="2"/>
  <c r="J363" i="2"/>
  <c r="J755" i="2"/>
  <c r="J751" i="2"/>
  <c r="J115" i="2"/>
  <c r="J1604" i="2"/>
  <c r="J149" i="2"/>
  <c r="J452" i="2"/>
  <c r="J791" i="2"/>
  <c r="J867" i="2"/>
  <c r="J1238" i="2"/>
  <c r="J37" i="2"/>
  <c r="J449" i="2"/>
  <c r="J922" i="2"/>
  <c r="J1338" i="2"/>
  <c r="J1535" i="2"/>
  <c r="J2055" i="2"/>
  <c r="J2061" i="2"/>
  <c r="J86" i="2"/>
  <c r="J764" i="2"/>
  <c r="J856" i="2"/>
  <c r="J1283" i="2"/>
  <c r="J1385" i="2"/>
  <c r="J1646" i="2"/>
  <c r="J1514" i="2"/>
  <c r="J1778" i="2"/>
  <c r="J114" i="2"/>
  <c r="J251" i="2"/>
  <c r="J75" i="2"/>
  <c r="J93" i="2"/>
  <c r="J718" i="2"/>
  <c r="J834" i="2"/>
  <c r="J1158" i="2"/>
  <c r="J144" i="2"/>
  <c r="J100" i="2"/>
  <c r="J808" i="2"/>
  <c r="J968" i="2"/>
  <c r="J1191" i="2"/>
  <c r="J366" i="2"/>
  <c r="J1013" i="2"/>
  <c r="J1149" i="2"/>
  <c r="J1639" i="2"/>
  <c r="J547" i="2"/>
  <c r="J530" i="2"/>
  <c r="J783" i="2"/>
  <c r="J1272" i="2"/>
  <c r="J1398" i="2"/>
  <c r="J27" i="2"/>
  <c r="J489" i="2"/>
  <c r="J469" i="2"/>
  <c r="J995" i="2"/>
  <c r="J798" i="2"/>
  <c r="J953" i="2"/>
  <c r="J264" i="2"/>
  <c r="J513" i="2"/>
  <c r="J1006" i="2"/>
  <c r="J966" i="2"/>
  <c r="J1243" i="2"/>
  <c r="J1370" i="2"/>
  <c r="J1575" i="2"/>
  <c r="J223" i="2"/>
  <c r="J680" i="2"/>
  <c r="J1029" i="2"/>
  <c r="J275" i="2"/>
  <c r="J733" i="2"/>
  <c r="J997" i="2"/>
  <c r="J1295" i="2"/>
  <c r="J1199" i="2"/>
  <c r="J1938" i="2"/>
  <c r="J2120" i="2"/>
  <c r="J2411" i="2"/>
  <c r="J2410" i="2"/>
  <c r="J2183" i="2"/>
  <c r="J29" i="2"/>
  <c r="J187" i="2"/>
  <c r="J2172" i="2"/>
  <c r="J2039" i="2"/>
  <c r="J2252" i="2"/>
  <c r="J1068" i="2"/>
  <c r="J1859" i="2"/>
  <c r="J2106" i="2"/>
  <c r="J2305" i="2"/>
  <c r="J1940" i="2"/>
  <c r="J2006" i="2"/>
  <c r="J1333" i="2"/>
  <c r="J1014" i="2"/>
  <c r="J1251" i="2"/>
  <c r="J1355" i="2"/>
  <c r="J122" i="2"/>
  <c r="J1231" i="2"/>
  <c r="J1740" i="2"/>
  <c r="J1597" i="2"/>
  <c r="J1747" i="2"/>
  <c r="J1724" i="2"/>
  <c r="J2144" i="2"/>
  <c r="J2431" i="2"/>
  <c r="J1946" i="2"/>
  <c r="J2124" i="2"/>
  <c r="J2446" i="2"/>
  <c r="J1095" i="2"/>
  <c r="J1640" i="2"/>
  <c r="J1743" i="2"/>
  <c r="J1942" i="2"/>
  <c r="J2322" i="2"/>
  <c r="J1628" i="2"/>
  <c r="J1887" i="2"/>
  <c r="J2231" i="2"/>
  <c r="J344" i="2"/>
  <c r="J642" i="2"/>
  <c r="J1107" i="2"/>
  <c r="J1279" i="2"/>
  <c r="J1695" i="2"/>
  <c r="J1850" i="2"/>
  <c r="J2164" i="2"/>
  <c r="J2208" i="2"/>
  <c r="J1607" i="2"/>
  <c r="J1522" i="2"/>
  <c r="J1849" i="2"/>
  <c r="J1895" i="2"/>
  <c r="J2148" i="2"/>
  <c r="J2417" i="2"/>
  <c r="J226" i="2"/>
  <c r="J407" i="2"/>
  <c r="J139" i="2"/>
  <c r="J241" i="2"/>
  <c r="J388" i="2"/>
  <c r="J850" i="2"/>
  <c r="J1309" i="2"/>
  <c r="J1625" i="2"/>
  <c r="J468" i="2"/>
  <c r="J474" i="2"/>
  <c r="J949" i="2"/>
  <c r="J79" i="2"/>
  <c r="J319" i="2"/>
  <c r="J835" i="2"/>
  <c r="J1003" i="2"/>
  <c r="J596" i="2"/>
  <c r="J739" i="2"/>
  <c r="J982" i="2"/>
  <c r="J1056" i="2"/>
  <c r="J1460" i="2"/>
  <c r="J1432" i="2"/>
  <c r="J1458" i="2"/>
  <c r="J1688" i="2"/>
  <c r="J386" i="2"/>
  <c r="J999" i="2"/>
  <c r="J914" i="2"/>
  <c r="J1372" i="2"/>
  <c r="J190" i="2"/>
  <c r="J274" i="2"/>
  <c r="J522" i="2"/>
  <c r="J700" i="2"/>
  <c r="J179" i="2"/>
  <c r="J51" i="2"/>
  <c r="J776" i="2"/>
  <c r="J728" i="2"/>
  <c r="J924" i="2"/>
  <c r="J1022" i="2"/>
  <c r="J200" i="2"/>
  <c r="J478" i="2"/>
  <c r="J854" i="2"/>
  <c r="J1289" i="2"/>
  <c r="J199" i="2"/>
  <c r="J572" i="2"/>
  <c r="J1046" i="2"/>
  <c r="J529" i="2"/>
  <c r="J697" i="2"/>
  <c r="J705" i="2"/>
  <c r="J1024" i="2"/>
  <c r="J1192" i="2"/>
  <c r="J1211" i="2"/>
  <c r="J1658" i="2"/>
  <c r="J1482" i="2"/>
  <c r="J486" i="2"/>
  <c r="J575" i="2"/>
  <c r="J809" i="2"/>
  <c r="J1062" i="2"/>
  <c r="J1230" i="2"/>
  <c r="J1483" i="2"/>
  <c r="J1555" i="2"/>
  <c r="J1800" i="2"/>
  <c r="J891" i="2"/>
  <c r="J2347" i="2"/>
  <c r="J692" i="2"/>
  <c r="J1845" i="2"/>
  <c r="J2298" i="2"/>
  <c r="J2237" i="2"/>
  <c r="J305" i="2"/>
  <c r="J628" i="2"/>
  <c r="J1067" i="2"/>
  <c r="J2229" i="2"/>
  <c r="J1297" i="2"/>
  <c r="J1477" i="2"/>
  <c r="J2351" i="2"/>
  <c r="J2077" i="2"/>
  <c r="J1869" i="2"/>
  <c r="J1284" i="2"/>
  <c r="J1495" i="2"/>
  <c r="J1412" i="2"/>
  <c r="J787" i="2"/>
  <c r="J1183" i="2"/>
  <c r="J1787" i="2"/>
  <c r="J1826" i="2"/>
  <c r="J1905" i="2"/>
  <c r="J1870" i="2"/>
  <c r="J195" i="2"/>
  <c r="J1467" i="2"/>
  <c r="J1572" i="2"/>
  <c r="J1911" i="2"/>
  <c r="J2078" i="2"/>
  <c r="J2123" i="2"/>
  <c r="J2225" i="2"/>
  <c r="J2038" i="2"/>
  <c r="J2131" i="2"/>
  <c r="J2301" i="2"/>
  <c r="J1209" i="2"/>
  <c r="J2274" i="2"/>
  <c r="J2442" i="2"/>
  <c r="J1912" i="2"/>
  <c r="J2147" i="2"/>
  <c r="J2403" i="2"/>
  <c r="J2178" i="2"/>
  <c r="J2130" i="2"/>
  <c r="J1506" i="2"/>
  <c r="J1464" i="2"/>
  <c r="J2170" i="2"/>
  <c r="J2213" i="2"/>
  <c r="J801" i="2"/>
  <c r="J1222" i="2"/>
  <c r="J1307" i="2"/>
  <c r="J1735" i="2"/>
  <c r="J653" i="2"/>
  <c r="J991" i="2"/>
  <c r="J99" i="2"/>
  <c r="J651" i="2"/>
  <c r="J656" i="2"/>
  <c r="J120" i="2"/>
  <c r="J377" i="2"/>
  <c r="J1925" i="2"/>
  <c r="J279" i="2"/>
  <c r="J675" i="2"/>
  <c r="J1603" i="2"/>
  <c r="J244" i="2"/>
  <c r="J677" i="2"/>
  <c r="J722" i="2"/>
  <c r="J1394" i="2"/>
  <c r="J1613" i="2"/>
  <c r="J228" i="2"/>
  <c r="J543" i="2"/>
  <c r="J654" i="2"/>
  <c r="J895" i="2"/>
  <c r="J1195" i="2"/>
  <c r="J1161" i="2"/>
  <c r="J1174" i="2"/>
  <c r="J155" i="2"/>
  <c r="J569" i="2"/>
  <c r="J481" i="2"/>
  <c r="J906" i="2"/>
  <c r="J1027" i="2"/>
  <c r="J1015" i="2"/>
  <c r="J1680" i="2"/>
  <c r="J143" i="2"/>
  <c r="J102" i="2"/>
  <c r="J242" i="2"/>
  <c r="J1054" i="2"/>
  <c r="J189" i="2"/>
  <c r="J269" i="2"/>
  <c r="J1262" i="2"/>
  <c r="J500" i="2"/>
  <c r="J536" i="2"/>
  <c r="J616" i="2"/>
  <c r="J827" i="2"/>
  <c r="J1117" i="2"/>
  <c r="J1337" i="2"/>
  <c r="J1745" i="2"/>
  <c r="J1563" i="2"/>
  <c r="J2250" i="2"/>
  <c r="J2414" i="2"/>
  <c r="J1462" i="2"/>
  <c r="J2380" i="2"/>
  <c r="J582" i="2"/>
  <c r="J1664" i="2"/>
  <c r="J2207" i="2"/>
  <c r="J204" i="2"/>
  <c r="J1692" i="2"/>
  <c r="J1828" i="2"/>
  <c r="J2083" i="2"/>
  <c r="J2211" i="2"/>
  <c r="J514" i="2"/>
  <c r="J1399" i="2"/>
  <c r="J1918" i="2"/>
  <c r="J1953" i="2"/>
  <c r="J2238" i="2"/>
  <c r="J2394" i="2"/>
  <c r="J2102" i="2"/>
  <c r="J1767" i="2"/>
  <c r="J701" i="2"/>
  <c r="J2296" i="2"/>
  <c r="J2294" i="2"/>
  <c r="J558" i="2"/>
  <c r="J2339" i="2"/>
  <c r="J2016" i="2"/>
  <c r="J2157" i="2"/>
  <c r="J2242" i="2"/>
  <c r="J2227" i="2"/>
  <c r="J693" i="2"/>
  <c r="J1749" i="2"/>
  <c r="J2007" i="2"/>
  <c r="J2200" i="2"/>
  <c r="J2407" i="2"/>
  <c r="J729" i="2"/>
  <c r="J105" i="2"/>
  <c r="J952" i="2"/>
  <c r="J1877" i="2"/>
  <c r="J49" i="2"/>
  <c r="J1146" i="2"/>
  <c r="J1259" i="2"/>
  <c r="J402" i="2"/>
  <c r="J881" i="2"/>
  <c r="J161" i="2"/>
  <c r="J1103" i="2"/>
  <c r="J1383" i="2"/>
  <c r="J792" i="2"/>
  <c r="J936" i="2"/>
  <c r="J1344" i="2"/>
  <c r="J43" i="2"/>
  <c r="J504" i="2"/>
  <c r="J1433" i="2"/>
  <c r="J591" i="2"/>
  <c r="J959" i="2"/>
  <c r="J1170" i="2"/>
  <c r="J1674" i="2"/>
  <c r="J422" i="2"/>
  <c r="J579" i="2"/>
  <c r="J581" i="2"/>
  <c r="J759" i="2"/>
  <c r="J1405" i="2"/>
  <c r="J133" i="2"/>
  <c r="J527" i="2"/>
  <c r="J395" i="2"/>
  <c r="J447" i="2"/>
  <c r="J337" i="2"/>
  <c r="J1448" i="2"/>
  <c r="J1488" i="2"/>
  <c r="J496" i="2"/>
  <c r="J419" i="2"/>
  <c r="J22" i="2"/>
  <c r="J19" i="2"/>
  <c r="J396" i="2"/>
  <c r="J978" i="2"/>
  <c r="J1365" i="2"/>
  <c r="J1995" i="2"/>
  <c r="J1868" i="2"/>
  <c r="J672" i="2"/>
  <c r="J1773" i="2"/>
  <c r="J2166" i="2"/>
  <c r="J2348" i="2"/>
  <c r="J1667" i="2"/>
  <c r="J526" i="2"/>
  <c r="J2245" i="2"/>
  <c r="J2376" i="2"/>
  <c r="J2383" i="2"/>
  <c r="J1897" i="2"/>
  <c r="J2160" i="2"/>
  <c r="J2364" i="2"/>
  <c r="J1451" i="2"/>
  <c r="J1894" i="2"/>
  <c r="J2074" i="2"/>
  <c r="J2361" i="2"/>
  <c r="J516" i="2"/>
  <c r="J1561" i="2"/>
  <c r="J1978" i="2"/>
  <c r="J973" i="2"/>
  <c r="J1910" i="2"/>
  <c r="J996" i="2"/>
  <c r="J2034" i="2"/>
  <c r="J726" i="2"/>
  <c r="J1661" i="2"/>
  <c r="J1499" i="2"/>
  <c r="J1991" i="2"/>
  <c r="J2023" i="2"/>
  <c r="J1427" i="2"/>
  <c r="J2358" i="2"/>
  <c r="J2018" i="2"/>
  <c r="J2258" i="2"/>
  <c r="J2014" i="2"/>
  <c r="J1479" i="2"/>
  <c r="J1821" i="2"/>
  <c r="J1727" i="2"/>
  <c r="J1219" i="2"/>
  <c r="J2081" i="2"/>
  <c r="J1001" i="2"/>
  <c r="J2234" i="2"/>
  <c r="J160" i="2"/>
  <c r="J640" i="2"/>
  <c r="J668" i="2"/>
  <c r="J1454" i="2"/>
  <c r="J438" i="2"/>
  <c r="J292" i="2"/>
  <c r="J861" i="2"/>
  <c r="J1152" i="2"/>
  <c r="J1112" i="2"/>
  <c r="J440" i="2"/>
  <c r="J775" i="2"/>
  <c r="J1131" i="2"/>
  <c r="J1496" i="2"/>
  <c r="J1497" i="2"/>
  <c r="J258" i="2"/>
  <c r="J839" i="2"/>
  <c r="J1210" i="2"/>
  <c r="J1933" i="2"/>
  <c r="J104" i="2"/>
  <c r="J332" i="2"/>
  <c r="J219" i="2"/>
  <c r="J586" i="2"/>
  <c r="J886" i="2"/>
  <c r="J175" i="2"/>
  <c r="J487" i="2"/>
  <c r="J940" i="2"/>
  <c r="J1100" i="2"/>
  <c r="J1430" i="2"/>
  <c r="J1671" i="2"/>
  <c r="J1753" i="2"/>
  <c r="J1833" i="2"/>
  <c r="J2053" i="2"/>
  <c r="J131" i="2"/>
  <c r="J1420" i="2"/>
  <c r="J1651" i="2"/>
  <c r="J1923" i="2"/>
  <c r="J448" i="2"/>
  <c r="J499" i="2"/>
  <c r="J878" i="2"/>
  <c r="J1261" i="2"/>
  <c r="J399" i="2"/>
  <c r="J857" i="2"/>
  <c r="J836" i="2"/>
  <c r="J956" i="2"/>
  <c r="J1133" i="2"/>
  <c r="J1835" i="2"/>
  <c r="J1679" i="2"/>
  <c r="J84" i="2"/>
  <c r="J637" i="2"/>
  <c r="J577" i="2"/>
  <c r="J561" i="2"/>
  <c r="J1861" i="2"/>
  <c r="J1390" i="2"/>
  <c r="J1493" i="2"/>
  <c r="J184" i="2"/>
  <c r="J277" i="2"/>
  <c r="J1101" i="2"/>
  <c r="J1057" i="2"/>
  <c r="J1250" i="2"/>
  <c r="J393" i="2"/>
  <c r="J942" i="2"/>
  <c r="J1075" i="2"/>
  <c r="J1637" i="2"/>
  <c r="J42" i="2"/>
  <c r="J259" i="2"/>
  <c r="J168" i="2"/>
  <c r="J364" i="2"/>
  <c r="J620" i="2"/>
  <c r="J769" i="2"/>
  <c r="J703" i="2"/>
  <c r="J898" i="2"/>
  <c r="J314" i="2"/>
  <c r="J626" i="2"/>
  <c r="J1121" i="2"/>
  <c r="J1643" i="2"/>
  <c r="J1324" i="2"/>
  <c r="J1542" i="2"/>
  <c r="J2068" i="2"/>
  <c r="J2036" i="2"/>
  <c r="J1673" i="2"/>
  <c r="J1858" i="2"/>
  <c r="J2218" i="2"/>
  <c r="J2280" i="2"/>
  <c r="J2215" i="2"/>
  <c r="J207" i="2"/>
  <c r="J780" i="2"/>
  <c r="J1234" i="2"/>
  <c r="J1600" i="2"/>
  <c r="J2031" i="2"/>
  <c r="J2335" i="2"/>
  <c r="J2329" i="2"/>
  <c r="J2176" i="2"/>
  <c r="J2204" i="2"/>
  <c r="J2069" i="2"/>
  <c r="J2438" i="2"/>
  <c r="J865" i="2"/>
  <c r="J1707" i="2"/>
  <c r="J1970" i="2"/>
  <c r="J2133" i="2"/>
  <c r="J1529" i="2"/>
  <c r="J2029" i="2"/>
  <c r="J2099" i="2"/>
  <c r="J2300" i="2"/>
  <c r="J2399" i="2"/>
  <c r="J1215" i="2"/>
  <c r="J1576" i="2"/>
  <c r="J1731" i="2"/>
  <c r="J1993" i="2"/>
  <c r="J2437" i="2"/>
  <c r="J157" i="2"/>
  <c r="J1582" i="2"/>
  <c r="J2388" i="2"/>
  <c r="J1487" i="2"/>
  <c r="J1716" i="2"/>
  <c r="J2271" i="2"/>
  <c r="J1848" i="2"/>
  <c r="J2344" i="2"/>
  <c r="J877" i="2"/>
  <c r="J1617" i="2"/>
  <c r="J2046" i="2"/>
  <c r="J2197" i="2"/>
  <c r="J2330" i="2"/>
  <c r="J2346" i="2"/>
  <c r="J2370" i="2"/>
  <c r="J2365" i="2"/>
  <c r="J1814" i="2"/>
  <c r="J1769" i="2"/>
  <c r="J2167" i="2"/>
  <c r="J374" i="2"/>
  <c r="J1780" i="2"/>
  <c r="J1891" i="2"/>
  <c r="J1974" i="2"/>
  <c r="J1872" i="2"/>
  <c r="J2092" i="2"/>
  <c r="J456" i="2"/>
  <c r="J1691" i="2"/>
  <c r="J125" i="2"/>
  <c r="J2045" i="2"/>
  <c r="J30" i="2"/>
  <c r="J976" i="2"/>
  <c r="J1142" i="2"/>
  <c r="J1952" i="2"/>
  <c r="J430" i="2"/>
  <c r="J389" i="2"/>
  <c r="J350" i="2"/>
  <c r="J753" i="2"/>
  <c r="J1138" i="2"/>
  <c r="J146" i="2"/>
  <c r="J612" i="2"/>
  <c r="J782" i="2"/>
  <c r="J669" i="2"/>
  <c r="J688" i="2"/>
  <c r="J803" i="2"/>
  <c r="J1293" i="2"/>
  <c r="J26" i="2"/>
  <c r="J454" i="2"/>
  <c r="J762" i="2"/>
  <c r="J1017" i="2"/>
  <c r="J18" i="2"/>
  <c r="J360" i="2"/>
  <c r="J459" i="2"/>
  <c r="J773" i="2"/>
  <c r="J622" i="2"/>
  <c r="J779" i="2"/>
  <c r="J1246" i="2"/>
  <c r="J1127" i="2"/>
  <c r="J1371" i="2"/>
  <c r="J1759" i="2"/>
  <c r="J1310" i="2"/>
  <c r="J2223" i="2"/>
  <c r="J2287" i="2"/>
  <c r="J2387" i="2"/>
  <c r="J2412" i="2"/>
  <c r="J1511" i="2"/>
  <c r="J2063" i="2"/>
  <c r="J2337" i="2"/>
  <c r="J58" i="2"/>
  <c r="J1450" i="2"/>
  <c r="J1830" i="2"/>
  <c r="J1501" i="2"/>
  <c r="J659" i="2"/>
  <c r="J1300" i="2"/>
  <c r="J2089" i="2"/>
  <c r="J280" i="2"/>
  <c r="J1764" i="2"/>
  <c r="J1971" i="2"/>
  <c r="J2067" i="2"/>
  <c r="J2253" i="2"/>
  <c r="J369" i="2"/>
  <c r="J1115" i="2"/>
  <c r="J1369" i="2"/>
  <c r="J2027" i="2"/>
  <c r="J2233" i="2"/>
  <c r="J2415" i="2"/>
  <c r="J2141" i="2"/>
  <c r="J2114" i="2"/>
  <c r="J2450" i="2"/>
  <c r="J181" i="2"/>
  <c r="J1762" i="2"/>
  <c r="J1960" i="2"/>
  <c r="J403" i="2"/>
  <c r="J2278" i="2"/>
  <c r="J1097" i="2"/>
  <c r="J2026" i="2"/>
  <c r="J2355" i="2"/>
  <c r="J1708" i="2"/>
  <c r="J1374" i="2"/>
  <c r="J1546" i="2"/>
  <c r="J2162" i="2"/>
  <c r="J418" i="2"/>
  <c r="J1197" i="2"/>
  <c r="J1440" i="2"/>
  <c r="J2220" i="2"/>
  <c r="J2375" i="2"/>
  <c r="J98" i="2"/>
  <c r="J239" i="2"/>
  <c r="J606" i="2"/>
  <c r="J1043" i="2"/>
  <c r="J1956" i="2"/>
  <c r="J1945" i="2"/>
  <c r="J758" i="2"/>
  <c r="J1558" i="2"/>
  <c r="J1783" i="2"/>
  <c r="J32" i="2"/>
  <c r="J368" i="2"/>
  <c r="J355" i="2"/>
  <c r="J720" i="2"/>
  <c r="J1268" i="2"/>
  <c r="J915" i="2"/>
  <c r="J1551" i="2"/>
  <c r="J1902" i="2"/>
  <c r="J425" i="2"/>
  <c r="J571" i="2"/>
  <c r="J2060" i="2"/>
  <c r="J227" i="2"/>
  <c r="J578" i="2"/>
  <c r="J749" i="2"/>
  <c r="J1277" i="2"/>
  <c r="J1397" i="2"/>
  <c r="J210" i="2"/>
  <c r="J1406" i="2"/>
  <c r="J246" i="2"/>
  <c r="J687" i="2"/>
  <c r="J960" i="2"/>
  <c r="J1214" i="2"/>
  <c r="J1177" i="2"/>
  <c r="J1609" i="2"/>
  <c r="J116" i="2"/>
  <c r="J563" i="2"/>
  <c r="J923" i="2"/>
  <c r="J1033" i="2"/>
  <c r="J951" i="2"/>
  <c r="J334" i="2"/>
  <c r="J565" i="2"/>
  <c r="J735" i="2"/>
  <c r="J911" i="2"/>
  <c r="J1233" i="2"/>
  <c r="J33" i="2"/>
  <c r="J408" i="2"/>
  <c r="J574" i="2"/>
  <c r="J684" i="2"/>
  <c r="J768" i="2"/>
  <c r="J984" i="2"/>
  <c r="J1346" i="2"/>
  <c r="J1348" i="2"/>
  <c r="J1378" i="2"/>
  <c r="J297" i="2"/>
  <c r="J731" i="2"/>
  <c r="J1498" i="2"/>
  <c r="J1435" i="2"/>
  <c r="J1538" i="2"/>
  <c r="J2405" i="2"/>
  <c r="J1249" i="2"/>
  <c r="J110" i="2"/>
  <c r="J607" i="2"/>
  <c r="J1436" i="2"/>
  <c r="J1656" i="2"/>
  <c r="J1922" i="2"/>
  <c r="J2241" i="2"/>
  <c r="J463" i="2"/>
  <c r="J2314" i="2"/>
  <c r="J646" i="2"/>
  <c r="J1445" i="2"/>
  <c r="J1839" i="2"/>
  <c r="J2140" i="2"/>
  <c r="J2129" i="2"/>
  <c r="J2304" i="2"/>
  <c r="J2266" i="2"/>
  <c r="J2420" i="2"/>
  <c r="J1964" i="2"/>
  <c r="J2290" i="2"/>
  <c r="J838" i="2"/>
  <c r="J1290" i="2"/>
  <c r="J1323" i="2"/>
  <c r="J1710" i="2"/>
  <c r="J1916" i="2"/>
  <c r="J602" i="2"/>
  <c r="J1179" i="2"/>
  <c r="J1786" i="2"/>
  <c r="J1644" i="2"/>
  <c r="J1950" i="2"/>
  <c r="J1155" i="2"/>
  <c r="J1687" i="2"/>
  <c r="J1715" i="2"/>
  <c r="J1729" i="2"/>
  <c r="J2150" i="2"/>
  <c r="J2269" i="2"/>
  <c r="J2409" i="2"/>
  <c r="J1486" i="2"/>
  <c r="J1633" i="2"/>
  <c r="J2189" i="2"/>
  <c r="J1696" i="2"/>
  <c r="J1985" i="2"/>
  <c r="J970" i="2"/>
  <c r="J2205" i="2"/>
  <c r="J325" i="2"/>
  <c r="J971" i="2"/>
  <c r="J2000" i="2"/>
  <c r="J2152" i="2"/>
  <c r="J1615" i="2"/>
  <c r="J678" i="2"/>
  <c r="J1172" i="2"/>
  <c r="J129" i="2"/>
  <c r="J555" i="2"/>
  <c r="J1021" i="2"/>
  <c r="J2052" i="2"/>
  <c r="J830" i="2"/>
  <c r="J16" i="2"/>
  <c r="J272" i="2"/>
  <c r="J298" i="2"/>
  <c r="J795" i="2"/>
  <c r="J1264" i="2"/>
  <c r="J254" i="2"/>
  <c r="J1791" i="2"/>
  <c r="J2062" i="2"/>
  <c r="J648" i="2"/>
  <c r="J736" i="2"/>
  <c r="J1106" i="2"/>
  <c r="J1287" i="2"/>
  <c r="J508" i="2"/>
  <c r="J315" i="2"/>
  <c r="J711" i="2"/>
  <c r="J902" i="2"/>
  <c r="J1269" i="2"/>
  <c r="J1766" i="2"/>
  <c r="J167" i="2"/>
  <c r="J983" i="2"/>
  <c r="J1666" i="2"/>
  <c r="J1803" i="2"/>
  <c r="J177" i="2"/>
  <c r="J556" i="2"/>
  <c r="J599" i="2"/>
  <c r="J1706" i="2"/>
  <c r="J92" i="2"/>
  <c r="J333" i="2"/>
  <c r="J636" i="2"/>
  <c r="J963" i="2"/>
  <c r="J567" i="2"/>
  <c r="J832" i="2"/>
  <c r="J1011" i="2"/>
  <c r="J1386" i="2"/>
  <c r="J1416" i="2"/>
  <c r="J109" i="2"/>
  <c r="J987" i="2"/>
  <c r="J367" i="2"/>
  <c r="J372" i="2"/>
  <c r="J771" i="2"/>
  <c r="J1282" i="2"/>
  <c r="J1240" i="2"/>
  <c r="J1119" i="2"/>
  <c r="J1470" i="2"/>
  <c r="J1810" i="2"/>
  <c r="J2219" i="2"/>
  <c r="J2374" i="2"/>
  <c r="J1554" i="2"/>
  <c r="J2382" i="2"/>
  <c r="J47" i="2"/>
  <c r="J1304" i="2"/>
  <c r="J1901" i="2"/>
  <c r="J2248" i="2"/>
  <c r="J2422" i="2"/>
  <c r="J1698" i="2"/>
  <c r="J1455" i="2"/>
  <c r="J1508" i="2"/>
  <c r="J1968" i="2"/>
  <c r="J1512" i="2"/>
  <c r="J1704" i="2"/>
  <c r="J1834" i="2"/>
  <c r="J2332" i="2"/>
  <c r="J1544" i="2"/>
  <c r="J553" i="2"/>
  <c r="J1255" i="2"/>
  <c r="J1878" i="2"/>
  <c r="J2137" i="2"/>
  <c r="J2251" i="2"/>
  <c r="J347" i="2"/>
  <c r="J1185" i="2"/>
  <c r="J1302" i="2"/>
  <c r="J1816" i="2"/>
  <c r="J1358" i="2"/>
  <c r="J1596" i="2"/>
  <c r="J2275" i="2"/>
  <c r="J1362" i="2"/>
  <c r="J1795" i="2"/>
  <c r="J1906" i="2"/>
  <c r="J1096" i="2"/>
  <c r="J1862" i="2"/>
  <c r="J2345" i="2"/>
  <c r="J2333" i="2"/>
  <c r="J1627" i="2"/>
  <c r="J1865" i="2"/>
  <c r="J2352" i="2"/>
  <c r="J2416" i="2"/>
  <c r="J2433" i="2"/>
  <c r="J1789" i="2"/>
  <c r="J2261" i="2"/>
  <c r="J806" i="2"/>
  <c r="J1402" i="2"/>
  <c r="J1754" i="2"/>
  <c r="J2095" i="2"/>
  <c r="J2185" i="2"/>
  <c r="J1620" i="2"/>
  <c r="J679" i="2"/>
  <c r="J203" i="2"/>
  <c r="J216" i="2"/>
  <c r="J604" i="2"/>
  <c r="J1005" i="2"/>
  <c r="J209" i="2"/>
  <c r="J436" i="2"/>
  <c r="J1147" i="2"/>
  <c r="J107" i="2"/>
  <c r="J673" i="2"/>
  <c r="J709" i="2"/>
  <c r="J1266" i="2"/>
  <c r="J710" i="2"/>
  <c r="J884" i="2"/>
  <c r="J853" i="2"/>
  <c r="J1239" i="2"/>
  <c r="J1368" i="2"/>
  <c r="J1663" i="2"/>
  <c r="J1908" i="2"/>
  <c r="J127" i="2"/>
  <c r="J56" i="2"/>
  <c r="J137" i="2"/>
  <c r="J595" i="2"/>
  <c r="J851" i="2"/>
  <c r="J1225" i="2"/>
  <c r="J1461" i="2"/>
  <c r="J126" i="2"/>
  <c r="J317" i="2"/>
  <c r="J446" i="2"/>
  <c r="J674" i="2"/>
  <c r="J833" i="2"/>
  <c r="J1298" i="2"/>
  <c r="J192" i="2"/>
  <c r="J312" i="2"/>
  <c r="J356" i="2"/>
  <c r="J1777" i="2"/>
  <c r="J1336" i="2"/>
  <c r="J346" i="2"/>
  <c r="J950" i="2"/>
  <c r="J1206" i="2"/>
  <c r="J570" i="2"/>
  <c r="J859" i="2"/>
  <c r="J215" i="2"/>
  <c r="J557" i="2"/>
  <c r="J937" i="2"/>
  <c r="J1083" i="2"/>
  <c r="J1244" i="2"/>
  <c r="J1537" i="2"/>
  <c r="J461" i="2"/>
  <c r="J313" i="2"/>
  <c r="J413" i="2"/>
  <c r="J270" i="2"/>
  <c r="J732" i="2"/>
  <c r="J619" i="2"/>
  <c r="J1028" i="2"/>
  <c r="J747" i="2"/>
  <c r="J1939" i="2"/>
  <c r="J2025" i="2"/>
  <c r="J2379" i="2"/>
  <c r="J111" i="2"/>
  <c r="J719" i="2"/>
  <c r="J2043" i="2"/>
  <c r="J2406" i="2"/>
  <c r="J1866" i="2"/>
  <c r="J2184" i="2"/>
  <c r="J2235" i="2"/>
  <c r="J2350" i="2"/>
  <c r="J1419" i="2"/>
  <c r="J1805" i="2"/>
  <c r="J2244" i="2"/>
  <c r="J1746" i="2"/>
  <c r="J1997" i="2"/>
  <c r="J1932" i="2"/>
  <c r="J2293" i="2"/>
  <c r="J2191" i="2"/>
  <c r="J2321" i="2"/>
  <c r="J1326" i="2"/>
  <c r="J1530" i="2"/>
  <c r="J67" i="2"/>
  <c r="J1356" i="2"/>
  <c r="J1641" i="2"/>
  <c r="J1044" i="2"/>
  <c r="J1471" i="2"/>
  <c r="J1719" i="2"/>
  <c r="J1972" i="2"/>
  <c r="J2143" i="2"/>
  <c r="J1986" i="2"/>
  <c r="J2328" i="2"/>
  <c r="J473" i="2"/>
  <c r="J863" i="2"/>
  <c r="J2010" i="2"/>
  <c r="J2064" i="2"/>
  <c r="J2288" i="2"/>
  <c r="J2318" i="2"/>
  <c r="J1732" i="2"/>
  <c r="J2362" i="2"/>
  <c r="J2003" i="2"/>
  <c r="J1799" i="2"/>
  <c r="J2188" i="2"/>
  <c r="J1408" i="2"/>
  <c r="J1733" i="2"/>
  <c r="J2209" i="2"/>
  <c r="J1032" i="2"/>
  <c r="J1792" i="2"/>
  <c r="J1903" i="2"/>
  <c r="J2239" i="2"/>
  <c r="J738" i="2"/>
  <c r="J381" i="2"/>
  <c r="J535" i="2"/>
  <c r="J541" i="2"/>
  <c r="J1113" i="2"/>
  <c r="J990" i="2"/>
  <c r="J455" i="2"/>
  <c r="J80" i="2"/>
  <c r="J532" i="2"/>
  <c r="J1110" i="2"/>
  <c r="J1037" i="2"/>
  <c r="J299" i="2"/>
  <c r="J1010" i="2"/>
  <c r="J1201" i="2"/>
  <c r="J1818" i="2"/>
  <c r="J460" i="2"/>
  <c r="J760" i="2"/>
  <c r="J1510" i="2"/>
  <c r="J1630" i="2"/>
  <c r="J1629" i="2"/>
  <c r="J1775" i="2"/>
  <c r="J108" i="2"/>
  <c r="J568" i="2"/>
  <c r="J523" i="2"/>
  <c r="J752" i="2"/>
  <c r="J1140" i="2"/>
  <c r="J1330" i="2"/>
  <c r="J1359" i="2"/>
  <c r="J164" i="2"/>
  <c r="J263" i="2"/>
  <c r="J958" i="2"/>
  <c r="J1811" i="2"/>
  <c r="J1959" i="2"/>
  <c r="J525" i="2"/>
  <c r="J488" i="2"/>
  <c r="J686" i="2"/>
  <c r="J901" i="2"/>
  <c r="J1466" i="2"/>
  <c r="J60" i="2"/>
  <c r="J331" i="2"/>
  <c r="J498" i="2"/>
  <c r="J992" i="2"/>
  <c r="J1064" i="2"/>
  <c r="J1396" i="2"/>
  <c r="J1352" i="2"/>
  <c r="J1580" i="2"/>
  <c r="J148" i="2"/>
  <c r="J134" i="2"/>
  <c r="J843" i="2"/>
  <c r="J1774" i="2"/>
  <c r="J1354" i="2"/>
  <c r="J64" i="2"/>
  <c r="J352" i="2"/>
  <c r="J540" i="2"/>
  <c r="J1447" i="2"/>
  <c r="J1838" i="2"/>
  <c r="J308" i="2"/>
  <c r="J600" i="2"/>
  <c r="J932" i="2"/>
  <c r="J912" i="2"/>
  <c r="J955" i="2"/>
  <c r="J1061" i="2"/>
  <c r="J206" i="2"/>
  <c r="J193" i="2"/>
  <c r="J417" i="2"/>
  <c r="J549" i="2"/>
  <c r="J511" i="2"/>
  <c r="J977" i="2"/>
  <c r="J928" i="2"/>
  <c r="J475" i="2"/>
  <c r="J1065" i="2"/>
  <c r="J1294" i="2"/>
  <c r="J1273" i="2"/>
  <c r="J221" i="2"/>
  <c r="J524" i="2"/>
  <c r="J303" i="2"/>
  <c r="J715" i="2"/>
  <c r="J202" i="2"/>
  <c r="J662" i="2"/>
  <c r="J587" i="2"/>
  <c r="J1018" i="2"/>
  <c r="J1237" i="2"/>
  <c r="J1852" i="2"/>
  <c r="J2413" i="2"/>
  <c r="J1413" i="2"/>
  <c r="J2249" i="2"/>
  <c r="J2112" i="2"/>
  <c r="J294" i="2"/>
  <c r="J777" i="2"/>
  <c r="J1928" i="2"/>
  <c r="J2012" i="2"/>
  <c r="J151" i="2"/>
  <c r="J1089" i="2"/>
  <c r="J2042" i="2"/>
  <c r="J2367" i="2"/>
  <c r="J2423" i="2"/>
  <c r="J1316" i="2"/>
  <c r="J1635" i="2"/>
  <c r="J2004" i="2"/>
  <c r="J236" i="2"/>
  <c r="J1345" i="2"/>
  <c r="J1494" i="2"/>
  <c r="J1577" i="2"/>
  <c r="J2122" i="2"/>
  <c r="J2121" i="2"/>
  <c r="J2119" i="2"/>
  <c r="J232" i="2"/>
  <c r="J1423" i="2"/>
  <c r="J2040" i="2"/>
  <c r="J2047" i="2"/>
  <c r="J1622" i="2"/>
  <c r="J1751" i="2"/>
  <c r="J1982" i="2"/>
  <c r="J2313" i="2"/>
  <c r="J2447" i="2"/>
  <c r="J1797" i="2"/>
  <c r="J1212" i="2"/>
  <c r="J1820" i="2"/>
  <c r="J1873" i="2"/>
  <c r="J2336" i="2"/>
  <c r="J431" i="2"/>
  <c r="J1208" i="2"/>
  <c r="J2009" i="2"/>
  <c r="J1490" i="2"/>
  <c r="J1722" i="2"/>
  <c r="J1879" i="2"/>
  <c r="J2373" i="2"/>
  <c r="J918" i="2"/>
  <c r="J2282" i="2"/>
  <c r="J627" i="2"/>
  <c r="J1404" i="2"/>
  <c r="J2232" i="2"/>
  <c r="J2418" i="2"/>
  <c r="C11" i="2" l="1"/>
</calcChain>
</file>

<file path=xl/sharedStrings.xml><?xml version="1.0" encoding="utf-8"?>
<sst xmlns="http://schemas.openxmlformats.org/spreadsheetml/2006/main" count="42" uniqueCount="39">
  <si>
    <t>AAPL US Equity</t>
  </si>
  <si>
    <t>Date</t>
  </si>
  <si>
    <t>Last Price</t>
  </si>
  <si>
    <t>S0</t>
  </si>
  <si>
    <t>r</t>
  </si>
  <si>
    <t>Ask</t>
  </si>
  <si>
    <t>k</t>
  </si>
  <si>
    <t>Return</t>
  </si>
  <si>
    <t>Log-Likelihood</t>
  </si>
  <si>
    <t>Term1</t>
  </si>
  <si>
    <t>Term 2</t>
  </si>
  <si>
    <t>Tern 3</t>
  </si>
  <si>
    <t>Term4</t>
  </si>
  <si>
    <t>Variance</t>
  </si>
  <si>
    <t>L</t>
  </si>
  <si>
    <t>Value</t>
  </si>
  <si>
    <t>Constraint</t>
  </si>
  <si>
    <t>-1 &lt;= rho &lt;= 1</t>
  </si>
  <si>
    <t>Real</t>
  </si>
  <si>
    <t>V0</t>
  </si>
  <si>
    <t>Q0</t>
  </si>
  <si>
    <t>Target Price</t>
  </si>
  <si>
    <t>Strike</t>
  </si>
  <si>
    <t>Days to expiry</t>
  </si>
  <si>
    <t>Call Price</t>
  </si>
  <si>
    <t>Heston  Model</t>
  </si>
  <si>
    <t>Interest Rate</t>
  </si>
  <si>
    <t>OIS Rate</t>
  </si>
  <si>
    <t>&gt;= tol</t>
  </si>
  <si>
    <t>Bloomberg April 12- 4/29C</t>
  </si>
  <si>
    <t>Premium  /Discount</t>
  </si>
  <si>
    <t>&lt;- Adjust lookback here</t>
  </si>
  <si>
    <t>N Simulations</t>
  </si>
  <si>
    <t>Θ</t>
  </si>
  <si>
    <t>σ</t>
  </si>
  <si>
    <t>ρ</t>
  </si>
  <si>
    <t>tol, ε</t>
  </si>
  <si>
    <t>Params</t>
  </si>
  <si>
    <t>I used 2 years of data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</si>
</sst>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0000"/>
    <numFmt numFmtId="165" formatCode="0.000000"/>
    <numFmt numFmtId="166" formatCode="0.0000%"/>
    <numFmt numFmtId="167" formatCode="0E+00"/>
    <numFmt numFmtId="168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Open Sans"/>
      <family val="2"/>
    </font>
    <font>
      <b/>
      <sz val="11"/>
      <color theme="1"/>
      <name val="Calibri"/>
      <family val="2"/>
      <scheme val="minor"/>
    </font>
    <font>
      <i/>
      <sz val="9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44" fontId="0" fillId="2" borderId="0" xfId="2" applyFont="1" applyFill="1"/>
    <xf numFmtId="10" fontId="0" fillId="2" borderId="0" xfId="1" applyNumberFormat="1" applyFont="1" applyFill="1"/>
    <xf numFmtId="166" fontId="0" fillId="2" borderId="0" xfId="0" applyNumberFormat="1" applyFill="1"/>
    <xf numFmtId="14" fontId="3" fillId="2" borderId="0" xfId="0" applyNumberFormat="1" applyFont="1" applyFill="1" applyAlignment="1">
      <alignment horizontal="left"/>
    </xf>
    <xf numFmtId="164" fontId="0" fillId="2" borderId="0" xfId="0" applyNumberFormat="1" applyFill="1"/>
    <xf numFmtId="0" fontId="0" fillId="2" borderId="0" xfId="0" quotePrefix="1" applyFill="1" applyAlignment="1">
      <alignment horizontal="center"/>
    </xf>
    <xf numFmtId="167" fontId="0" fillId="2" borderId="0" xfId="0" applyNumberFormat="1" applyFill="1" applyAlignment="1">
      <alignment horizontal="center"/>
    </xf>
    <xf numFmtId="0" fontId="0" fillId="2" borderId="0" xfId="0" applyFill="1" applyAlignment="1">
      <alignment horizontal="right"/>
    </xf>
    <xf numFmtId="2" fontId="0" fillId="2" borderId="0" xfId="0" applyNumberFormat="1" applyFill="1"/>
    <xf numFmtId="164" fontId="0" fillId="2" borderId="0" xfId="1" applyNumberFormat="1" applyFont="1" applyFill="1"/>
    <xf numFmtId="14" fontId="4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center"/>
    </xf>
    <xf numFmtId="0" fontId="0" fillId="2" borderId="1" xfId="0" applyFill="1" applyBorder="1"/>
    <xf numFmtId="0" fontId="0" fillId="2" borderId="4" xfId="0" applyFill="1" applyBorder="1"/>
    <xf numFmtId="0" fontId="0" fillId="3" borderId="2" xfId="0" applyFill="1" applyBorder="1"/>
    <xf numFmtId="0" fontId="0" fillId="3" borderId="5" xfId="0" applyFill="1" applyBorder="1"/>
    <xf numFmtId="44" fontId="0" fillId="3" borderId="6" xfId="2" applyFont="1" applyFill="1" applyBorder="1" applyAlignment="1">
      <alignment horizontal="right"/>
    </xf>
    <xf numFmtId="0" fontId="0" fillId="3" borderId="7" xfId="0" applyFill="1" applyBorder="1"/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44" fontId="0" fillId="3" borderId="9" xfId="2" applyFont="1" applyFill="1" applyBorder="1" applyAlignment="1">
      <alignment horizontal="right"/>
    </xf>
    <xf numFmtId="14" fontId="0" fillId="3" borderId="10" xfId="0" applyNumberFormat="1" applyFill="1" applyBorder="1" applyAlignment="1">
      <alignment horizontal="left"/>
    </xf>
    <xf numFmtId="1" fontId="0" fillId="3" borderId="3" xfId="0" applyNumberFormat="1" applyFill="1" applyBorder="1"/>
    <xf numFmtId="14" fontId="5" fillId="2" borderId="0" xfId="0" applyNumberFormat="1" applyFont="1" applyFill="1" applyAlignment="1">
      <alignment horizontal="left"/>
    </xf>
    <xf numFmtId="14" fontId="6" fillId="4" borderId="0" xfId="0" applyNumberFormat="1" applyFont="1" applyFill="1" applyAlignment="1">
      <alignment horizontal="left"/>
    </xf>
    <xf numFmtId="0" fontId="7" fillId="4" borderId="0" xfId="0" applyFont="1" applyFill="1"/>
    <xf numFmtId="0" fontId="6" fillId="4" borderId="0" xfId="0" applyFont="1" applyFill="1" applyAlignment="1">
      <alignment horizontal="right"/>
    </xf>
    <xf numFmtId="3" fontId="0" fillId="3" borderId="3" xfId="0" applyNumberFormat="1" applyFill="1" applyBorder="1"/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left" vertical="top" wrapText="1"/>
    </xf>
    <xf numFmtId="168" fontId="0" fillId="2" borderId="0" xfId="1" applyNumberFormat="1" applyFont="1" applyFill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9</xdr:row>
          <xdr:rowOff>28575</xdr:rowOff>
        </xdr:from>
        <xdr:to>
          <xdr:col>6</xdr:col>
          <xdr:colOff>723900</xdr:colOff>
          <xdr:row>10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Estimate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9</xdr:row>
          <xdr:rowOff>19050</xdr:rowOff>
        </xdr:from>
        <xdr:to>
          <xdr:col>9</xdr:col>
          <xdr:colOff>904875</xdr:colOff>
          <xdr:row>10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Price Call Option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6BBC1-8FD3-4E6A-BA37-A8822F4C7B96}">
  <sheetPr codeName="Sheet2"/>
  <dimension ref="B2:N2575"/>
  <sheetViews>
    <sheetView tabSelected="1" workbookViewId="0">
      <selection activeCell="L11" sqref="L11"/>
    </sheetView>
  </sheetViews>
  <sheetFormatPr defaultRowHeight="15" x14ac:dyDescent="0.25"/>
  <cols>
    <col min="1" max="1" width="3.140625" style="3" customWidth="1"/>
    <col min="2" max="2" width="10.7109375" style="1" bestFit="1" customWidth="1"/>
    <col min="3" max="3" width="13" style="3" customWidth="1"/>
    <col min="4" max="4" width="12.7109375" style="3" bestFit="1" customWidth="1"/>
    <col min="5" max="5" width="12.7109375" style="3" customWidth="1"/>
    <col min="6" max="6" width="14.140625" style="3" bestFit="1" customWidth="1"/>
    <col min="7" max="8" width="11.85546875" style="3" customWidth="1"/>
    <col min="9" max="9" width="13" style="3" customWidth="1"/>
    <col min="10" max="10" width="14.140625" style="3" bestFit="1" customWidth="1"/>
    <col min="11" max="11" width="9.140625" style="3"/>
    <col min="12" max="12" width="12.42578125" style="3" bestFit="1" customWidth="1"/>
    <col min="13" max="13" width="28.85546875" style="3" bestFit="1" customWidth="1"/>
    <col min="14" max="16384" width="9.140625" style="3"/>
  </cols>
  <sheetData>
    <row r="2" spans="2:14" x14ac:dyDescent="0.25">
      <c r="B2" s="15" t="s">
        <v>37</v>
      </c>
      <c r="C2" s="16" t="s">
        <v>15</v>
      </c>
      <c r="D2" s="16" t="s">
        <v>16</v>
      </c>
      <c r="F2" s="33" t="s">
        <v>25</v>
      </c>
      <c r="G2" s="33"/>
      <c r="H2" s="33"/>
      <c r="I2" s="33"/>
      <c r="J2" s="33"/>
      <c r="M2" s="33" t="s">
        <v>29</v>
      </c>
      <c r="N2" s="33"/>
    </row>
    <row r="3" spans="2:14" x14ac:dyDescent="0.25">
      <c r="B3" s="1" t="s">
        <v>4</v>
      </c>
      <c r="C3" s="4">
        <v>-0.99837265119325791</v>
      </c>
      <c r="D3" s="2" t="s">
        <v>18</v>
      </c>
      <c r="F3" s="3" t="s">
        <v>3</v>
      </c>
      <c r="G3" s="5">
        <f>C15</f>
        <v>121.42</v>
      </c>
      <c r="I3" s="3" t="s">
        <v>21</v>
      </c>
      <c r="J3" s="5">
        <v>127.41284484592549</v>
      </c>
      <c r="M3" s="20" t="s">
        <v>22</v>
      </c>
      <c r="N3" s="21">
        <v>120</v>
      </c>
    </row>
    <row r="4" spans="2:14" x14ac:dyDescent="0.25">
      <c r="B4" s="1" t="s">
        <v>6</v>
      </c>
      <c r="C4" s="4">
        <v>1.6545182954005998E-3</v>
      </c>
      <c r="D4" s="2" t="s">
        <v>28</v>
      </c>
      <c r="F4" s="3" t="s">
        <v>20</v>
      </c>
      <c r="G4" s="6">
        <f>D15</f>
        <v>1.0738366769333263E-2</v>
      </c>
      <c r="I4" s="3" t="s">
        <v>26</v>
      </c>
      <c r="J4" s="7">
        <v>6.9979999999999999E-4</v>
      </c>
      <c r="K4" s="3" t="s">
        <v>27</v>
      </c>
      <c r="M4" s="22" t="s">
        <v>23</v>
      </c>
      <c r="N4" s="23">
        <v>47</v>
      </c>
    </row>
    <row r="5" spans="2:14" ht="16.5" x14ac:dyDescent="0.3">
      <c r="B5" s="8" t="s">
        <v>33</v>
      </c>
      <c r="C5" s="4">
        <v>4.8411924718245862E-4</v>
      </c>
      <c r="D5" s="2" t="s">
        <v>28</v>
      </c>
      <c r="F5" s="3" t="s">
        <v>19</v>
      </c>
      <c r="G5" s="9">
        <f>E15</f>
        <v>4.7618543430039725E-4</v>
      </c>
      <c r="I5" s="3" t="s">
        <v>24</v>
      </c>
      <c r="J5" s="5">
        <f>MAX(J3-N3,0)*EXP(-J4*N4/252)</f>
        <v>7.411877397495477</v>
      </c>
      <c r="M5" s="24" t="s">
        <v>5</v>
      </c>
      <c r="N5" s="25">
        <v>7.25</v>
      </c>
    </row>
    <row r="6" spans="2:14" ht="16.5" x14ac:dyDescent="0.3">
      <c r="B6" s="8" t="s">
        <v>34</v>
      </c>
      <c r="C6" s="4">
        <v>7.3677446199536931E-4</v>
      </c>
      <c r="D6" s="2" t="s">
        <v>28</v>
      </c>
      <c r="F6" s="3" t="s">
        <v>23</v>
      </c>
      <c r="G6" s="3">
        <f>N4</f>
        <v>47</v>
      </c>
    </row>
    <row r="7" spans="2:14" ht="16.5" x14ac:dyDescent="0.3">
      <c r="B7" s="8" t="s">
        <v>35</v>
      </c>
      <c r="C7" s="4">
        <v>-5.4318248838144415E-2</v>
      </c>
      <c r="D7" s="10" t="s">
        <v>17</v>
      </c>
      <c r="F7" s="17"/>
      <c r="G7" s="17"/>
      <c r="I7" s="34" t="s">
        <v>30</v>
      </c>
      <c r="J7" s="35">
        <f>J5/N5-1</f>
        <v>2.2327916895927835E-2</v>
      </c>
    </row>
    <row r="8" spans="2:14" x14ac:dyDescent="0.25">
      <c r="E8" s="18"/>
      <c r="F8" s="19" t="s">
        <v>32</v>
      </c>
      <c r="G8" s="32">
        <v>10000</v>
      </c>
      <c r="I8" s="34"/>
      <c r="J8" s="35"/>
    </row>
    <row r="9" spans="2:14" ht="16.5" x14ac:dyDescent="0.3">
      <c r="B9" s="8" t="s">
        <v>36</v>
      </c>
      <c r="C9" s="11">
        <f>1*10^-9</f>
        <v>1.0000000000000001E-9</v>
      </c>
    </row>
    <row r="11" spans="2:14" x14ac:dyDescent="0.25">
      <c r="B11" s="26" t="s">
        <v>14</v>
      </c>
      <c r="C11" s="27">
        <f>SUM(J16:J520)</f>
        <v>7873.1501825426176</v>
      </c>
      <c r="D11" s="3" t="s">
        <v>31</v>
      </c>
    </row>
    <row r="12" spans="2:14" x14ac:dyDescent="0.25">
      <c r="D12" s="28" t="s">
        <v>38</v>
      </c>
    </row>
    <row r="13" spans="2:14" x14ac:dyDescent="0.25">
      <c r="B13" s="29" t="s">
        <v>0</v>
      </c>
      <c r="C13" s="30"/>
      <c r="D13" s="30"/>
      <c r="E13" s="30"/>
      <c r="F13" s="30"/>
      <c r="G13" s="30"/>
      <c r="H13" s="30"/>
      <c r="I13" s="30"/>
      <c r="J13" s="30"/>
    </row>
    <row r="14" spans="2:14" x14ac:dyDescent="0.25">
      <c r="B14" s="29" t="s">
        <v>1</v>
      </c>
      <c r="C14" s="31" t="s">
        <v>2</v>
      </c>
      <c r="D14" s="31" t="s">
        <v>7</v>
      </c>
      <c r="E14" s="31" t="s">
        <v>13</v>
      </c>
      <c r="F14" s="31" t="s">
        <v>9</v>
      </c>
      <c r="G14" s="31" t="s">
        <v>10</v>
      </c>
      <c r="H14" s="31" t="s">
        <v>11</v>
      </c>
      <c r="I14" s="31" t="s">
        <v>12</v>
      </c>
      <c r="J14" s="31" t="s">
        <v>8</v>
      </c>
      <c r="L14" s="12"/>
    </row>
    <row r="15" spans="2:14" x14ac:dyDescent="0.25">
      <c r="B15" s="1">
        <v>44260</v>
      </c>
      <c r="C15" s="13">
        <v>121.42</v>
      </c>
      <c r="D15" s="6">
        <f>C15/C16-1</f>
        <v>1.0738366769333263E-2</v>
      </c>
      <c r="E15" s="14">
        <f>_xlfn.VAR.S(D15:D135)</f>
        <v>4.7618543430039725E-4</v>
      </c>
    </row>
    <row r="16" spans="2:14" x14ac:dyDescent="0.25">
      <c r="B16" s="1">
        <v>44259</v>
      </c>
      <c r="C16" s="13">
        <v>120.13</v>
      </c>
      <c r="D16" s="6">
        <f t="shared" ref="D16:D79" si="0">C16/C17-1</f>
        <v>-1.5811895788956254E-2</v>
      </c>
      <c r="E16" s="14">
        <f t="shared" ref="E16:E79" si="1">_xlfn.VAR.S(D16:D136)</f>
        <v>4.8455005167303086E-4</v>
      </c>
      <c r="F16" s="9">
        <f>LN(2*PI())-LN($C$6)-LN(E16)-0.5*LN(1-POWER($C$7,2))</f>
        <v>16.68487304356703</v>
      </c>
      <c r="G16" s="9">
        <f>-POWER(D15-1-$C$3,2)/(2*E16*(1-POWER($C$7,2)))</f>
        <v>-8.5910932630811981E-2</v>
      </c>
      <c r="H16" s="9">
        <f>$C$7*(D15-1-$C$3)*(E15-E16-$C$5*$C$4)/(E16*$C$6*(1-POWER($C$7,2)))</f>
        <v>1.2743352459364849E-2</v>
      </c>
      <c r="I16" s="9">
        <f>-POWER(E15-E16-$C$5*$C$4+$C$4*E16,2)/(2*POWER($C$6,2)*E16*(1-POWER($C$7,2)))</f>
        <v>-0.13337168589784659</v>
      </c>
      <c r="J16" s="9">
        <f>SUM(F16:I16)</f>
        <v>16.478333777497735</v>
      </c>
    </row>
    <row r="17" spans="2:10" x14ac:dyDescent="0.25">
      <c r="B17" s="1">
        <v>44258</v>
      </c>
      <c r="C17" s="13">
        <v>122.06</v>
      </c>
      <c r="D17" s="6">
        <f t="shared" si="0"/>
        <v>-2.4456521739130488E-2</v>
      </c>
      <c r="E17" s="14">
        <f t="shared" si="1"/>
        <v>4.9510668274235585E-4</v>
      </c>
      <c r="F17" s="9">
        <f t="shared" ref="F17:F80" si="2">LN(2*PI())-LN($C$6)-LN(E17)-0.5*LN(1-POWER($C$7,2))</f>
        <v>16.663320515349792</v>
      </c>
      <c r="G17" s="9">
        <f t="shared" ref="G17:G80" si="3">-POWER(D16-1-$C$3,2)/(2*E17*(1-POWER($C$7,2)))</f>
        <v>-0.30804192009453624</v>
      </c>
      <c r="H17" s="9">
        <f t="shared" ref="H17:H80" si="4">$C$7*(D16-1-$C$3)*(E16-E17-$C$5*$C$4)/(E17*$C$6*(1-POWER($C$7,2)))</f>
        <v>-2.9580839576487418E-2</v>
      </c>
      <c r="I17" s="9">
        <f t="shared" ref="I17:I80" si="5">-POWER(E16-E17-$C$5*$C$4+$C$4*E17,2)/(2*POWER($C$6,2)*E17*(1-POWER($C$7,2)))</f>
        <v>-0.20722350365928122</v>
      </c>
      <c r="J17" s="9">
        <f t="shared" ref="J17:J80" si="6">SUM(F17:I17)</f>
        <v>16.118474252019489</v>
      </c>
    </row>
    <row r="18" spans="2:10" x14ac:dyDescent="0.25">
      <c r="B18" s="1">
        <v>44257</v>
      </c>
      <c r="C18" s="13">
        <v>125.12</v>
      </c>
      <c r="D18" s="6">
        <f t="shared" si="0"/>
        <v>-2.0893653650520427E-2</v>
      </c>
      <c r="E18" s="14">
        <f t="shared" si="1"/>
        <v>5.2837380988298528E-4</v>
      </c>
      <c r="F18" s="9">
        <f t="shared" si="2"/>
        <v>16.598289768914221</v>
      </c>
      <c r="G18" s="9">
        <f t="shared" si="3"/>
        <v>-0.64573758005315285</v>
      </c>
      <c r="H18" s="9">
        <f t="shared" si="4"/>
        <v>-0.12435787004162917</v>
      </c>
      <c r="I18" s="9">
        <f t="shared" si="5"/>
        <v>-1.9264582943719011</v>
      </c>
      <c r="J18" s="9">
        <f t="shared" si="6"/>
        <v>13.901736024447537</v>
      </c>
    </row>
    <row r="19" spans="2:10" x14ac:dyDescent="0.25">
      <c r="B19" s="1">
        <v>44256</v>
      </c>
      <c r="C19" s="13">
        <v>127.79</v>
      </c>
      <c r="D19" s="6">
        <f t="shared" si="0"/>
        <v>5.3851228764637993E-2</v>
      </c>
      <c r="E19" s="14">
        <f t="shared" si="1"/>
        <v>5.2451303705968767E-4</v>
      </c>
      <c r="F19" s="9">
        <f t="shared" si="2"/>
        <v>16.605623491694235</v>
      </c>
      <c r="G19" s="9">
        <f t="shared" si="3"/>
        <v>-0.48492259528285997</v>
      </c>
      <c r="H19" s="9">
        <f t="shared" si="4"/>
        <v>9.714430090627486E-3</v>
      </c>
      <c r="I19" s="9">
        <f t="shared" si="5"/>
        <v>-2.7169615023037288E-2</v>
      </c>
      <c r="J19" s="9">
        <f t="shared" si="6"/>
        <v>16.103245711478966</v>
      </c>
    </row>
    <row r="20" spans="2:10" x14ac:dyDescent="0.25">
      <c r="B20" s="1">
        <v>44253</v>
      </c>
      <c r="C20" s="13">
        <v>121.26</v>
      </c>
      <c r="D20" s="6">
        <f t="shared" si="0"/>
        <v>2.231589387552857E-3</v>
      </c>
      <c r="E20" s="14">
        <f t="shared" si="1"/>
        <v>5.5413249551499149E-4</v>
      </c>
      <c r="F20" s="9">
        <f t="shared" si="2"/>
        <v>16.550689955656743</v>
      </c>
      <c r="G20" s="9">
        <f t="shared" si="3"/>
        <v>-2.4681862139782051</v>
      </c>
      <c r="H20" s="9">
        <f t="shared" si="4"/>
        <v>0.21199006516993127</v>
      </c>
      <c r="I20" s="9">
        <f t="shared" si="5"/>
        <v>-1.4511795324862686</v>
      </c>
      <c r="J20" s="9">
        <f t="shared" si="6"/>
        <v>12.843314274362202</v>
      </c>
    </row>
    <row r="21" spans="2:10" x14ac:dyDescent="0.25">
      <c r="B21" s="1">
        <v>44252</v>
      </c>
      <c r="C21" s="13">
        <v>120.99</v>
      </c>
      <c r="D21" s="6">
        <f t="shared" si="0"/>
        <v>-3.4782608695652195E-2</v>
      </c>
      <c r="E21" s="14">
        <f t="shared" si="1"/>
        <v>5.5748379429290044E-4</v>
      </c>
      <c r="F21" s="9">
        <f t="shared" si="2"/>
        <v>16.544660341010001</v>
      </c>
      <c r="G21" s="9">
        <f t="shared" si="3"/>
        <v>-3.2842847460578411E-4</v>
      </c>
      <c r="H21" s="9">
        <f t="shared" si="4"/>
        <v>3.3278139965092296E-4</v>
      </c>
      <c r="I21" s="9">
        <f t="shared" si="5"/>
        <v>-1.7287583741361821E-2</v>
      </c>
      <c r="J21" s="9">
        <f t="shared" si="6"/>
        <v>16.527377110193683</v>
      </c>
    </row>
    <row r="22" spans="2:10" x14ac:dyDescent="0.25">
      <c r="B22" s="1">
        <v>44251</v>
      </c>
      <c r="C22" s="13">
        <v>125.35</v>
      </c>
      <c r="D22" s="6">
        <f t="shared" si="0"/>
        <v>-4.0521214047354315E-3</v>
      </c>
      <c r="E22" s="14">
        <f t="shared" si="1"/>
        <v>5.6095760206177658E-4</v>
      </c>
      <c r="F22" s="9">
        <f t="shared" si="2"/>
        <v>16.538448448369607</v>
      </c>
      <c r="G22" s="9">
        <f t="shared" si="3"/>
        <v>-1.1851234137427078</v>
      </c>
      <c r="H22" s="9">
        <f t="shared" si="4"/>
        <v>-2.0516325379165062E-2</v>
      </c>
      <c r="I22" s="9">
        <f t="shared" si="5"/>
        <v>-1.8445132677854192E-2</v>
      </c>
      <c r="J22" s="9">
        <f t="shared" si="6"/>
        <v>15.31436357656988</v>
      </c>
    </row>
    <row r="23" spans="2:10" x14ac:dyDescent="0.25">
      <c r="B23" s="1">
        <v>44250</v>
      </c>
      <c r="C23" s="13">
        <v>125.86</v>
      </c>
      <c r="D23" s="6">
        <f t="shared" si="0"/>
        <v>-1.1111111111110628E-3</v>
      </c>
      <c r="E23" s="14">
        <f t="shared" si="1"/>
        <v>5.7027757225643115E-4</v>
      </c>
      <c r="F23" s="9">
        <f t="shared" si="2"/>
        <v>16.521970564220197</v>
      </c>
      <c r="G23" s="9">
        <f t="shared" si="3"/>
        <v>-2.8364989827369215E-2</v>
      </c>
      <c r="H23" s="9">
        <f t="shared" si="4"/>
        <v>-7.4531088493416889E-3</v>
      </c>
      <c r="I23" s="9">
        <f t="shared" si="5"/>
        <v>-0.13643915960160355</v>
      </c>
      <c r="J23" s="9">
        <f t="shared" si="6"/>
        <v>16.349713305941883</v>
      </c>
    </row>
    <row r="24" spans="2:10" x14ac:dyDescent="0.25">
      <c r="B24" s="1">
        <v>44249</v>
      </c>
      <c r="C24" s="13">
        <v>126</v>
      </c>
      <c r="D24" s="6">
        <f t="shared" si="0"/>
        <v>-2.9799029799029819E-2</v>
      </c>
      <c r="E24" s="14">
        <f t="shared" si="1"/>
        <v>5.7029200061204342E-4</v>
      </c>
      <c r="F24" s="9">
        <f t="shared" si="2"/>
        <v>16.521945263956262</v>
      </c>
      <c r="G24" s="9">
        <f t="shared" si="3"/>
        <v>-6.5943010422431815E-3</v>
      </c>
      <c r="H24" s="9">
        <f t="shared" si="4"/>
        <v>-2.8952158093359929E-4</v>
      </c>
      <c r="I24" s="9">
        <f t="shared" si="5"/>
        <v>-2.6600956601573375E-5</v>
      </c>
      <c r="J24" s="9">
        <f t="shared" si="6"/>
        <v>16.515034840376483</v>
      </c>
    </row>
    <row r="25" spans="2:10" x14ac:dyDescent="0.25">
      <c r="B25" s="1">
        <v>44246</v>
      </c>
      <c r="C25" s="13">
        <v>129.87</v>
      </c>
      <c r="D25" s="6">
        <f t="shared" si="0"/>
        <v>1.2335209313083517E-3</v>
      </c>
      <c r="E25" s="14">
        <f t="shared" si="1"/>
        <v>5.6395635995770341E-4</v>
      </c>
      <c r="F25" s="9">
        <f t="shared" si="2"/>
        <v>16.533116902845997</v>
      </c>
      <c r="G25" s="9">
        <f t="shared" si="3"/>
        <v>-0.87820610139368993</v>
      </c>
      <c r="H25" s="9">
        <f t="shared" si="4"/>
        <v>2.2805204771526214E-2</v>
      </c>
      <c r="I25" s="9">
        <f t="shared" si="5"/>
        <v>-6.8524008524766963E-2</v>
      </c>
      <c r="J25" s="9">
        <f t="shared" si="6"/>
        <v>15.609191997699066</v>
      </c>
    </row>
    <row r="26" spans="2:10" x14ac:dyDescent="0.25">
      <c r="B26" s="1">
        <v>44245</v>
      </c>
      <c r="C26" s="13">
        <v>129.71</v>
      </c>
      <c r="D26" s="6">
        <f t="shared" si="0"/>
        <v>-8.6365025985937205E-3</v>
      </c>
      <c r="E26" s="14">
        <f t="shared" si="1"/>
        <v>5.6537096773219011E-4</v>
      </c>
      <c r="F26" s="9">
        <f t="shared" si="2"/>
        <v>16.530611679639829</v>
      </c>
      <c r="G26" s="9">
        <f t="shared" si="3"/>
        <v>-1.3757283087931243E-4</v>
      </c>
      <c r="H26" s="9">
        <f t="shared" si="4"/>
        <v>-1.1411879763773834E-4</v>
      </c>
      <c r="I26" s="9">
        <f t="shared" si="5"/>
        <v>-2.677870303051146E-3</v>
      </c>
      <c r="J26" s="9">
        <f t="shared" si="6"/>
        <v>16.527682117708263</v>
      </c>
    </row>
    <row r="27" spans="2:10" x14ac:dyDescent="0.25">
      <c r="B27" s="1">
        <v>44244</v>
      </c>
      <c r="C27" s="13">
        <v>130.84</v>
      </c>
      <c r="D27" s="6">
        <f t="shared" si="0"/>
        <v>-1.7643967264809657E-2</v>
      </c>
      <c r="E27" s="14">
        <f t="shared" si="1"/>
        <v>5.6530647717093559E-4</v>
      </c>
      <c r="F27" s="9">
        <f t="shared" si="2"/>
        <v>16.530725753837764</v>
      </c>
      <c r="G27" s="9">
        <f t="shared" si="3"/>
        <v>-9.34523060225015E-2</v>
      </c>
      <c r="H27" s="9">
        <f t="shared" si="4"/>
        <v>-9.8875758958732931E-4</v>
      </c>
      <c r="I27" s="9">
        <f t="shared" si="5"/>
        <v>-6.4595793652068911E-5</v>
      </c>
      <c r="J27" s="9">
        <f t="shared" si="6"/>
        <v>16.43622009443202</v>
      </c>
    </row>
    <row r="28" spans="2:10" x14ac:dyDescent="0.25">
      <c r="B28" s="1">
        <v>44243</v>
      </c>
      <c r="C28" s="13">
        <v>133.19</v>
      </c>
      <c r="D28" s="6">
        <f t="shared" si="0"/>
        <v>-1.6104011228484927E-2</v>
      </c>
      <c r="E28" s="14">
        <f t="shared" si="1"/>
        <v>5.6354730417206087E-4</v>
      </c>
      <c r="F28" s="9">
        <f t="shared" si="2"/>
        <v>16.533842498365733</v>
      </c>
      <c r="G28" s="9">
        <f t="shared" si="3"/>
        <v>-0.33048035185278457</v>
      </c>
      <c r="H28" s="9">
        <f t="shared" si="4"/>
        <v>2.4228502567735792E-3</v>
      </c>
      <c r="I28" s="9">
        <f t="shared" si="5"/>
        <v>-5.8593257155693306E-3</v>
      </c>
      <c r="J28" s="9">
        <f t="shared" si="6"/>
        <v>16.199925671054153</v>
      </c>
    </row>
    <row r="29" spans="2:10" x14ac:dyDescent="0.25">
      <c r="B29" s="1">
        <v>44239</v>
      </c>
      <c r="C29" s="13">
        <v>135.37</v>
      </c>
      <c r="D29" s="6">
        <f t="shared" si="0"/>
        <v>1.7760674905646923E-3</v>
      </c>
      <c r="E29" s="14">
        <f t="shared" si="1"/>
        <v>5.8224576060136922E-4</v>
      </c>
      <c r="F29" s="9">
        <f t="shared" si="2"/>
        <v>16.501201147713402</v>
      </c>
      <c r="G29" s="9">
        <f t="shared" si="3"/>
        <v>-0.27078900943854656</v>
      </c>
      <c r="H29" s="9">
        <f t="shared" si="4"/>
        <v>-4.3908876954659684E-2</v>
      </c>
      <c r="I29" s="9">
        <f t="shared" si="5"/>
        <v>-0.54514839647836144</v>
      </c>
      <c r="J29" s="9">
        <f t="shared" si="6"/>
        <v>15.641354864841837</v>
      </c>
    </row>
    <row r="30" spans="2:10" x14ac:dyDescent="0.25">
      <c r="B30" s="1">
        <v>44238</v>
      </c>
      <c r="C30" s="13">
        <v>135.13</v>
      </c>
      <c r="D30" s="6">
        <f t="shared" si="0"/>
        <v>-1.9203781667773701E-3</v>
      </c>
      <c r="E30" s="14">
        <f t="shared" si="1"/>
        <v>5.8581391123171684E-4</v>
      </c>
      <c r="F30" s="9">
        <f t="shared" si="2"/>
        <v>16.495091593869006</v>
      </c>
      <c r="G30" s="9">
        <f t="shared" si="3"/>
        <v>-1.8933227702990526E-5</v>
      </c>
      <c r="H30" s="9">
        <f t="shared" si="4"/>
        <v>8.2015466431433645E-5</v>
      </c>
      <c r="I30" s="9">
        <f t="shared" si="5"/>
        <v>-1.8228690027454159E-2</v>
      </c>
      <c r="J30" s="9">
        <f t="shared" si="6"/>
        <v>16.476925986080282</v>
      </c>
    </row>
    <row r="31" spans="2:10" x14ac:dyDescent="0.25">
      <c r="B31" s="1">
        <v>44237</v>
      </c>
      <c r="C31" s="13">
        <v>135.38999999999999</v>
      </c>
      <c r="D31" s="6">
        <f t="shared" si="0"/>
        <v>-4.558488346445122E-3</v>
      </c>
      <c r="E31" s="14">
        <f t="shared" si="1"/>
        <v>5.8571225467714879E-4</v>
      </c>
      <c r="F31" s="9">
        <f t="shared" si="2"/>
        <v>16.49526513938217</v>
      </c>
      <c r="G31" s="9">
        <f t="shared" si="3"/>
        <v>-1.0776291766502044E-2</v>
      </c>
      <c r="H31" s="9">
        <f t="shared" si="4"/>
        <v>-3.1321388774166074E-4</v>
      </c>
      <c r="I31" s="9">
        <f t="shared" si="5"/>
        <v>-1.147634412336352E-4</v>
      </c>
      <c r="J31" s="9">
        <f t="shared" si="6"/>
        <v>16.484060870286694</v>
      </c>
    </row>
    <row r="32" spans="2:10" x14ac:dyDescent="0.25">
      <c r="B32" s="1">
        <v>44236</v>
      </c>
      <c r="C32" s="13">
        <v>136.01</v>
      </c>
      <c r="D32" s="6">
        <f t="shared" si="0"/>
        <v>-6.5736615294719192E-3</v>
      </c>
      <c r="E32" s="14">
        <f t="shared" si="1"/>
        <v>5.8576222160516519E-4</v>
      </c>
      <c r="F32" s="9">
        <f t="shared" si="2"/>
        <v>16.495179833335712</v>
      </c>
      <c r="G32" s="9">
        <f t="shared" si="3"/>
        <v>-3.275886745658154E-2</v>
      </c>
      <c r="H32" s="9">
        <f t="shared" si="4"/>
        <v>-6.6447123003379922E-4</v>
      </c>
      <c r="I32" s="9">
        <f t="shared" si="5"/>
        <v>-2.2035428194205951E-5</v>
      </c>
      <c r="J32" s="9">
        <f t="shared" si="6"/>
        <v>16.461734459220899</v>
      </c>
    </row>
    <row r="33" spans="2:10" x14ac:dyDescent="0.25">
      <c r="B33" s="1">
        <v>44235</v>
      </c>
      <c r="C33" s="13">
        <v>136.91</v>
      </c>
      <c r="D33" s="6">
        <f t="shared" si="0"/>
        <v>1.0968119333139015E-3</v>
      </c>
      <c r="E33" s="14">
        <f t="shared" si="1"/>
        <v>5.8534503383586881E-4</v>
      </c>
      <c r="F33" s="9">
        <f t="shared" si="2"/>
        <v>16.495892300592672</v>
      </c>
      <c r="G33" s="9">
        <f t="shared" si="3"/>
        <v>-5.7620371314697272E-2</v>
      </c>
      <c r="H33" s="9">
        <f t="shared" si="4"/>
        <v>-3.9760401577633556E-4</v>
      </c>
      <c r="I33" s="9">
        <f t="shared" si="5"/>
        <v>-5.3949868198350398E-4</v>
      </c>
      <c r="J33" s="9">
        <f t="shared" si="6"/>
        <v>16.437334826580212</v>
      </c>
    </row>
    <row r="34" spans="2:10" x14ac:dyDescent="0.25">
      <c r="B34" s="1">
        <v>44232</v>
      </c>
      <c r="C34" s="13">
        <v>136.76</v>
      </c>
      <c r="D34" s="6">
        <f t="shared" si="0"/>
        <v>-4.5854865710750481E-3</v>
      </c>
      <c r="E34" s="14">
        <f t="shared" si="1"/>
        <v>5.8539883904010117E-4</v>
      </c>
      <c r="F34" s="9">
        <f t="shared" si="2"/>
        <v>16.49580038432385</v>
      </c>
      <c r="G34" s="9">
        <f t="shared" si="3"/>
        <v>-2.411196267516395E-4</v>
      </c>
      <c r="H34" s="9">
        <f t="shared" si="4"/>
        <v>-5.7281883088070947E-5</v>
      </c>
      <c r="I34" s="9">
        <f t="shared" si="5"/>
        <v>-2.0423960393522058E-5</v>
      </c>
      <c r="J34" s="9">
        <f t="shared" si="6"/>
        <v>16.495481558853619</v>
      </c>
    </row>
    <row r="35" spans="2:10" x14ac:dyDescent="0.25">
      <c r="B35" s="1">
        <v>44231</v>
      </c>
      <c r="C35" s="13">
        <v>137.38999999999999</v>
      </c>
      <c r="D35" s="6">
        <f t="shared" si="0"/>
        <v>2.5757802000895946E-2</v>
      </c>
      <c r="E35" s="14">
        <f t="shared" si="1"/>
        <v>5.8715910844692827E-4</v>
      </c>
      <c r="F35" s="9">
        <f t="shared" si="2"/>
        <v>16.492797938716869</v>
      </c>
      <c r="G35" s="9">
        <f t="shared" si="3"/>
        <v>-3.2966827999831638E-2</v>
      </c>
      <c r="H35" s="9">
        <f t="shared" si="4"/>
        <v>-2.00392324407692E-3</v>
      </c>
      <c r="I35" s="9">
        <f t="shared" si="5"/>
        <v>-3.9765533172823374E-3</v>
      </c>
      <c r="J35" s="9">
        <f t="shared" si="6"/>
        <v>16.453850634155678</v>
      </c>
    </row>
    <row r="36" spans="2:10" x14ac:dyDescent="0.25">
      <c r="B36" s="1">
        <v>44230</v>
      </c>
      <c r="C36" s="13">
        <v>133.94</v>
      </c>
      <c r="D36" s="6">
        <f t="shared" si="0"/>
        <v>-7.7783539521446565E-3</v>
      </c>
      <c r="E36" s="14">
        <f t="shared" si="1"/>
        <v>5.90592907398281E-4</v>
      </c>
      <c r="F36" s="9">
        <f t="shared" si="2"/>
        <v>16.486966815297304</v>
      </c>
      <c r="G36" s="9">
        <f t="shared" si="3"/>
        <v>-0.49441996783660913</v>
      </c>
      <c r="H36" s="9">
        <f t="shared" si="4"/>
        <v>1.2793898092435614E-2</v>
      </c>
      <c r="I36" s="9">
        <f t="shared" si="5"/>
        <v>-1.6599733557301009E-2</v>
      </c>
      <c r="J36" s="9">
        <f t="shared" si="6"/>
        <v>15.988741011995829</v>
      </c>
    </row>
    <row r="37" spans="2:10" x14ac:dyDescent="0.25">
      <c r="B37" s="1">
        <v>44229</v>
      </c>
      <c r="C37" s="13">
        <v>134.99</v>
      </c>
      <c r="D37" s="6">
        <f t="shared" si="0"/>
        <v>6.3366631877144197E-3</v>
      </c>
      <c r="E37" s="14">
        <f t="shared" si="1"/>
        <v>5.9814937742226843E-4</v>
      </c>
      <c r="F37" s="9">
        <f t="shared" si="2"/>
        <v>16.474253257611295</v>
      </c>
      <c r="G37" s="9">
        <f t="shared" si="3"/>
        <v>-7.4169630773424797E-2</v>
      </c>
      <c r="H37" s="9">
        <f t="shared" si="4"/>
        <v>-9.717399619894436E-3</v>
      </c>
      <c r="I37" s="9">
        <f t="shared" si="5"/>
        <v>-8.383989884202879E-2</v>
      </c>
      <c r="J37" s="9">
        <f t="shared" si="6"/>
        <v>16.306526328375945</v>
      </c>
    </row>
    <row r="38" spans="2:10" x14ac:dyDescent="0.25">
      <c r="B38" s="1">
        <v>44228</v>
      </c>
      <c r="C38" s="13">
        <v>134.13999999999999</v>
      </c>
      <c r="D38" s="6">
        <f t="shared" si="0"/>
        <v>1.6520157623522103E-2</v>
      </c>
      <c r="E38" s="14">
        <f t="shared" si="1"/>
        <v>5.9932624393330819E-4</v>
      </c>
      <c r="F38" s="9">
        <f t="shared" si="2"/>
        <v>16.472287677905197</v>
      </c>
      <c r="G38" s="9">
        <f t="shared" si="3"/>
        <v>-1.8556896442515434E-2</v>
      </c>
      <c r="H38" s="9">
        <f t="shared" si="4"/>
        <v>1.1491648923754908E-3</v>
      </c>
      <c r="I38" s="9">
        <f t="shared" si="5"/>
        <v>-1.499335348783989E-3</v>
      </c>
      <c r="J38" s="9">
        <f t="shared" si="6"/>
        <v>16.453380611006274</v>
      </c>
    </row>
    <row r="39" spans="2:10" x14ac:dyDescent="0.25">
      <c r="B39" s="1">
        <v>44225</v>
      </c>
      <c r="C39" s="13">
        <v>131.96</v>
      </c>
      <c r="D39" s="6">
        <f t="shared" si="0"/>
        <v>-3.7420672550878997E-2</v>
      </c>
      <c r="E39" s="14">
        <f t="shared" si="1"/>
        <v>6.0320490794787225E-4</v>
      </c>
      <c r="F39" s="9">
        <f t="shared" si="2"/>
        <v>16.465836822209859</v>
      </c>
      <c r="G39" s="9">
        <f t="shared" si="3"/>
        <v>-0.18439181298860138</v>
      </c>
      <c r="H39" s="9">
        <f t="shared" si="4"/>
        <v>8.5431771995566862E-3</v>
      </c>
      <c r="I39" s="9">
        <f t="shared" si="5"/>
        <v>-2.0758723573021474E-2</v>
      </c>
      <c r="J39" s="9">
        <f t="shared" si="6"/>
        <v>16.269229462847793</v>
      </c>
    </row>
    <row r="40" spans="2:10" x14ac:dyDescent="0.25">
      <c r="B40" s="1">
        <v>44224</v>
      </c>
      <c r="C40" s="13">
        <v>137.09</v>
      </c>
      <c r="D40" s="6">
        <f t="shared" si="0"/>
        <v>-3.498521751372663E-2</v>
      </c>
      <c r="E40" s="14">
        <f t="shared" si="1"/>
        <v>5.9949062231849941E-4</v>
      </c>
      <c r="F40" s="9">
        <f t="shared" si="2"/>
        <v>16.472013443548224</v>
      </c>
      <c r="G40" s="9">
        <f t="shared" si="3"/>
        <v>-1.2754661658542794</v>
      </c>
      <c r="H40" s="9">
        <f t="shared" si="4"/>
        <v>1.403125545619213E-2</v>
      </c>
      <c r="I40" s="9">
        <f t="shared" si="5"/>
        <v>-2.3500741632135985E-2</v>
      </c>
      <c r="J40" s="9">
        <f t="shared" si="6"/>
        <v>15.187077791518002</v>
      </c>
    </row>
    <row r="41" spans="2:10" x14ac:dyDescent="0.25">
      <c r="B41" s="1">
        <v>44223</v>
      </c>
      <c r="C41" s="13">
        <v>142.06</v>
      </c>
      <c r="D41" s="6">
        <f t="shared" si="0"/>
        <v>-7.683710533668564E-3</v>
      </c>
      <c r="E41" s="14">
        <f t="shared" si="1"/>
        <v>5.8793682298059009E-4</v>
      </c>
      <c r="F41" s="9">
        <f t="shared" si="2"/>
        <v>16.491474277173307</v>
      </c>
      <c r="G41" s="9">
        <f t="shared" si="3"/>
        <v>-1.1433598923965798</v>
      </c>
      <c r="H41" s="9">
        <f t="shared" si="4"/>
        <v>4.9512648243562982E-2</v>
      </c>
      <c r="I41" s="9">
        <f t="shared" si="5"/>
        <v>-0.21603355828561244</v>
      </c>
      <c r="J41" s="9">
        <f t="shared" si="6"/>
        <v>15.181593474734678</v>
      </c>
    </row>
    <row r="42" spans="2:10" x14ac:dyDescent="0.25">
      <c r="B42" s="1">
        <v>44222</v>
      </c>
      <c r="C42" s="13">
        <v>143.16</v>
      </c>
      <c r="D42" s="6">
        <f t="shared" si="0"/>
        <v>1.6792611251050804E-3</v>
      </c>
      <c r="E42" s="14">
        <f t="shared" si="1"/>
        <v>5.87219309169408E-4</v>
      </c>
      <c r="F42" s="9">
        <f t="shared" si="2"/>
        <v>16.492695415166317</v>
      </c>
      <c r="G42" s="9">
        <f t="shared" si="3"/>
        <v>-7.4037395611007598E-2</v>
      </c>
      <c r="H42" s="9">
        <f t="shared" si="4"/>
        <v>-9.7864552742126169E-5</v>
      </c>
      <c r="I42" s="9">
        <f t="shared" si="5"/>
        <v>-1.2408018201487566E-3</v>
      </c>
      <c r="J42" s="9">
        <f t="shared" si="6"/>
        <v>16.417319353182418</v>
      </c>
    </row>
    <row r="43" spans="2:10" x14ac:dyDescent="0.25">
      <c r="B43" s="1">
        <v>44221</v>
      </c>
      <c r="C43" s="13">
        <v>142.91999999999999</v>
      </c>
      <c r="D43" s="6">
        <f t="shared" si="0"/>
        <v>2.7683900194146682E-2</v>
      </c>
      <c r="E43" s="14">
        <f t="shared" si="1"/>
        <v>5.9144986148117586E-4</v>
      </c>
      <c r="F43" s="9">
        <f t="shared" si="2"/>
        <v>16.48551686059923</v>
      </c>
      <c r="G43" s="9">
        <f t="shared" si="3"/>
        <v>-2.2849472942771455E-6</v>
      </c>
      <c r="H43" s="9">
        <f t="shared" si="4"/>
        <v>3.2654841390339748E-5</v>
      </c>
      <c r="I43" s="9">
        <f t="shared" si="5"/>
        <v>-2.5657443652558704E-2</v>
      </c>
      <c r="J43" s="9">
        <f t="shared" si="6"/>
        <v>16.459889786840769</v>
      </c>
    </row>
    <row r="44" spans="2:10" x14ac:dyDescent="0.25">
      <c r="B44" s="1">
        <v>44218</v>
      </c>
      <c r="C44" s="13">
        <v>139.07</v>
      </c>
      <c r="D44" s="6">
        <f t="shared" si="0"/>
        <v>1.6073646525900376E-2</v>
      </c>
      <c r="E44" s="14">
        <f t="shared" si="1"/>
        <v>6.7245997724683655E-4</v>
      </c>
      <c r="F44" s="9">
        <f t="shared" si="2"/>
        <v>16.357151179071462</v>
      </c>
      <c r="G44" s="9">
        <f t="shared" si="3"/>
        <v>-0.50631489316888256</v>
      </c>
      <c r="H44" s="9">
        <f t="shared" si="4"/>
        <v>0.23439977477499588</v>
      </c>
      <c r="I44" s="9">
        <f t="shared" si="5"/>
        <v>-8.9464070670631788</v>
      </c>
      <c r="J44" s="9">
        <f t="shared" si="6"/>
        <v>7.1388289936143945</v>
      </c>
    </row>
    <row r="45" spans="2:10" x14ac:dyDescent="0.25">
      <c r="B45" s="1">
        <v>44217</v>
      </c>
      <c r="C45" s="13">
        <v>136.87</v>
      </c>
      <c r="D45" s="6">
        <f t="shared" si="0"/>
        <v>3.6658335226842365E-2</v>
      </c>
      <c r="E45" s="14">
        <f t="shared" si="1"/>
        <v>6.7175006641672838E-4</v>
      </c>
      <c r="F45" s="9">
        <f t="shared" si="2"/>
        <v>16.358207429022066</v>
      </c>
      <c r="G45" s="9">
        <f t="shared" si="3"/>
        <v>-0.15579685116511033</v>
      </c>
      <c r="H45" s="9">
        <f t="shared" si="4"/>
        <v>1.4482198067954132E-4</v>
      </c>
      <c r="I45" s="9">
        <f t="shared" si="5"/>
        <v>-1.4317734288423762E-3</v>
      </c>
      <c r="J45" s="9">
        <f t="shared" si="6"/>
        <v>16.201123626408794</v>
      </c>
    </row>
    <row r="46" spans="2:10" x14ac:dyDescent="0.25">
      <c r="B46" s="1">
        <v>44216</v>
      </c>
      <c r="C46" s="13">
        <v>132.03</v>
      </c>
      <c r="D46" s="6">
        <f t="shared" si="0"/>
        <v>3.2856137057028834E-2</v>
      </c>
      <c r="E46" s="14">
        <f t="shared" si="1"/>
        <v>6.6456756523161978E-4</v>
      </c>
      <c r="F46" s="9">
        <f t="shared" si="2"/>
        <v>16.368957224102537</v>
      </c>
      <c r="G46" s="9">
        <f t="shared" si="3"/>
        <v>-0.92601679601970033</v>
      </c>
      <c r="H46" s="9">
        <f t="shared" si="4"/>
        <v>-2.487319772185714E-2</v>
      </c>
      <c r="I46" s="9">
        <f t="shared" si="5"/>
        <v>-7.7798431423305517E-2</v>
      </c>
      <c r="J46" s="9">
        <f t="shared" si="6"/>
        <v>15.340268798937673</v>
      </c>
    </row>
    <row r="47" spans="2:10" x14ac:dyDescent="0.25">
      <c r="B47" s="1">
        <v>44215</v>
      </c>
      <c r="C47" s="13">
        <v>127.83</v>
      </c>
      <c r="D47" s="6">
        <f t="shared" si="0"/>
        <v>5.4270882491740391E-3</v>
      </c>
      <c r="E47" s="14">
        <f t="shared" si="1"/>
        <v>6.6028495483458414E-4</v>
      </c>
      <c r="F47" s="9">
        <f t="shared" si="2"/>
        <v>16.375422283796127</v>
      </c>
      <c r="G47" s="9">
        <f t="shared" si="3"/>
        <v>-0.74068258977581125</v>
      </c>
      <c r="H47" s="9">
        <f t="shared" si="4"/>
        <v>-1.2175879544748559E-2</v>
      </c>
      <c r="I47" s="9">
        <f t="shared" si="5"/>
        <v>-2.9272526891262435E-2</v>
      </c>
      <c r="J47" s="9">
        <f t="shared" si="6"/>
        <v>15.593291287584304</v>
      </c>
    </row>
    <row r="48" spans="2:10" x14ac:dyDescent="0.25">
      <c r="B48" s="1">
        <v>44211</v>
      </c>
      <c r="C48" s="13">
        <v>127.14</v>
      </c>
      <c r="D48" s="6">
        <f t="shared" si="0"/>
        <v>-1.3730509657900791E-2</v>
      </c>
      <c r="E48" s="14">
        <f t="shared" si="1"/>
        <v>6.6384495594789877E-4</v>
      </c>
      <c r="F48" s="9">
        <f t="shared" si="2"/>
        <v>16.370045153256282</v>
      </c>
      <c r="G48" s="9">
        <f t="shared" si="3"/>
        <v>-1.090672207054008E-2</v>
      </c>
      <c r="H48" s="9">
        <f t="shared" si="4"/>
        <v>1.8457217955096578E-3</v>
      </c>
      <c r="I48" s="9">
        <f t="shared" si="5"/>
        <v>-1.4813450607835772E-2</v>
      </c>
      <c r="J48" s="9">
        <f t="shared" si="6"/>
        <v>16.346170702373414</v>
      </c>
    </row>
    <row r="49" spans="2:10" x14ac:dyDescent="0.25">
      <c r="B49" s="1">
        <v>44210</v>
      </c>
      <c r="C49" s="13">
        <v>128.91</v>
      </c>
      <c r="D49" s="6">
        <f t="shared" si="0"/>
        <v>-1.5127206050882358E-2</v>
      </c>
      <c r="E49" s="14">
        <f t="shared" si="1"/>
        <v>6.6176304681521793E-4</v>
      </c>
      <c r="F49" s="9">
        <f t="shared" si="2"/>
        <v>16.373186218850435</v>
      </c>
      <c r="G49" s="9">
        <f t="shared" si="3"/>
        <v>-0.17873601942583939</v>
      </c>
      <c r="H49" s="9">
        <f t="shared" si="4"/>
        <v>2.1980942403498176E-3</v>
      </c>
      <c r="I49" s="9">
        <f t="shared" si="5"/>
        <v>-7.8797090197816576E-3</v>
      </c>
      <c r="J49" s="9">
        <f t="shared" si="6"/>
        <v>16.18876858464516</v>
      </c>
    </row>
    <row r="50" spans="2:10" x14ac:dyDescent="0.25">
      <c r="B50" s="1">
        <v>44209</v>
      </c>
      <c r="C50" s="13">
        <v>130.88999999999999</v>
      </c>
      <c r="D50" s="6">
        <f t="shared" si="0"/>
        <v>1.6226708074533969E-2</v>
      </c>
      <c r="E50" s="14">
        <f t="shared" si="1"/>
        <v>6.7859432759250166E-4</v>
      </c>
      <c r="F50" s="9">
        <f t="shared" si="2"/>
        <v>16.348070282059076</v>
      </c>
      <c r="G50" s="9">
        <f t="shared" si="3"/>
        <v>-0.20744780060590876</v>
      </c>
      <c r="H50" s="9">
        <f t="shared" si="4"/>
        <v>-3.2190315667941408E-2</v>
      </c>
      <c r="I50" s="9">
        <f t="shared" si="5"/>
        <v>-0.37105878470364378</v>
      </c>
      <c r="J50" s="9">
        <f t="shared" si="6"/>
        <v>15.737373381081584</v>
      </c>
    </row>
    <row r="51" spans="2:10" x14ac:dyDescent="0.25">
      <c r="B51" s="1">
        <v>44208</v>
      </c>
      <c r="C51" s="13">
        <v>128.80000000000001</v>
      </c>
      <c r="D51" s="6">
        <f t="shared" si="0"/>
        <v>-1.3955652039073785E-3</v>
      </c>
      <c r="E51" s="14">
        <f t="shared" si="1"/>
        <v>6.7707778304119644E-4</v>
      </c>
      <c r="F51" s="9">
        <f t="shared" si="2"/>
        <v>16.350307615367061</v>
      </c>
      <c r="G51" s="9">
        <f t="shared" si="3"/>
        <v>-0.15786370840665162</v>
      </c>
      <c r="H51" s="9">
        <f t="shared" si="4"/>
        <v>-1.1408695650921606E-3</v>
      </c>
      <c r="I51" s="9">
        <f t="shared" si="5"/>
        <v>-4.5982793926915184E-3</v>
      </c>
      <c r="J51" s="9">
        <f t="shared" si="6"/>
        <v>16.186704758002627</v>
      </c>
    </row>
    <row r="52" spans="2:10" x14ac:dyDescent="0.25">
      <c r="B52" s="1">
        <v>44207</v>
      </c>
      <c r="C52" s="13">
        <v>128.97999999999999</v>
      </c>
      <c r="D52" s="6">
        <f t="shared" si="0"/>
        <v>-2.3248769405528336E-2</v>
      </c>
      <c r="E52" s="14">
        <f t="shared" si="1"/>
        <v>6.7919403317165145E-4</v>
      </c>
      <c r="F52" s="9">
        <f t="shared" si="2"/>
        <v>16.347186925513277</v>
      </c>
      <c r="G52" s="9">
        <f t="shared" si="3"/>
        <v>-6.7470044597056694E-3</v>
      </c>
      <c r="H52" s="9">
        <f t="shared" si="4"/>
        <v>-9.600585160232407E-4</v>
      </c>
      <c r="I52" s="9">
        <f t="shared" si="5"/>
        <v>-4.375128184670716E-3</v>
      </c>
      <c r="J52" s="9">
        <f t="shared" si="6"/>
        <v>16.335104734352878</v>
      </c>
    </row>
    <row r="53" spans="2:10" x14ac:dyDescent="0.25">
      <c r="B53" s="1">
        <v>44204</v>
      </c>
      <c r="C53" s="13">
        <v>132.05000000000001</v>
      </c>
      <c r="D53" s="6">
        <f t="shared" si="0"/>
        <v>8.6312251756799352E-3</v>
      </c>
      <c r="E53" s="14">
        <f t="shared" si="1"/>
        <v>6.7635079218697047E-4</v>
      </c>
      <c r="F53" s="9">
        <f t="shared" si="2"/>
        <v>16.351381910586554</v>
      </c>
      <c r="G53" s="9">
        <f t="shared" si="3"/>
        <v>-0.45882438693611227</v>
      </c>
      <c r="H53" s="9">
        <f t="shared" si="4"/>
        <v>5.5541222018897366E-3</v>
      </c>
      <c r="I53" s="9">
        <f t="shared" si="5"/>
        <v>-1.3650270382722249E-2</v>
      </c>
      <c r="J53" s="9">
        <f t="shared" si="6"/>
        <v>15.884461375469609</v>
      </c>
    </row>
    <row r="54" spans="2:10" x14ac:dyDescent="0.25">
      <c r="B54" s="1">
        <v>44203</v>
      </c>
      <c r="C54" s="13">
        <v>130.91999999999999</v>
      </c>
      <c r="D54" s="6">
        <f t="shared" si="0"/>
        <v>3.4123222748815074E-2</v>
      </c>
      <c r="E54" s="14">
        <f t="shared" si="1"/>
        <v>6.7627807376439703E-4</v>
      </c>
      <c r="F54" s="9">
        <f t="shared" si="2"/>
        <v>16.351489432205341</v>
      </c>
      <c r="G54" s="9">
        <f t="shared" si="3"/>
        <v>-3.6375159638423159E-2</v>
      </c>
      <c r="H54" s="9">
        <f t="shared" si="4"/>
        <v>5.5769596437816357E-4</v>
      </c>
      <c r="I54" s="9">
        <f t="shared" si="5"/>
        <v>-2.0846427580853451E-4</v>
      </c>
      <c r="J54" s="9">
        <f t="shared" si="6"/>
        <v>16.315463504255487</v>
      </c>
    </row>
    <row r="55" spans="2:10" x14ac:dyDescent="0.25">
      <c r="B55" s="1">
        <v>44202</v>
      </c>
      <c r="C55" s="13">
        <v>126.6</v>
      </c>
      <c r="D55" s="6">
        <f t="shared" si="0"/>
        <v>-3.3661552553240215E-2</v>
      </c>
      <c r="E55" s="14">
        <f t="shared" si="1"/>
        <v>6.6989985064830988E-4</v>
      </c>
      <c r="F55" s="9">
        <f t="shared" si="2"/>
        <v>16.360965550820911</v>
      </c>
      <c r="G55" s="9">
        <f t="shared" si="3"/>
        <v>-0.79049628614512446</v>
      </c>
      <c r="H55" s="9">
        <f t="shared" si="4"/>
        <v>-2.0004700668229815E-2</v>
      </c>
      <c r="I55" s="9">
        <f t="shared" si="5"/>
        <v>-6.1638932618306705E-2</v>
      </c>
      <c r="J55" s="9">
        <f t="shared" si="6"/>
        <v>15.488825631389251</v>
      </c>
    </row>
    <row r="56" spans="2:10" x14ac:dyDescent="0.25">
      <c r="B56" s="1">
        <v>44201</v>
      </c>
      <c r="C56" s="13">
        <v>131.01</v>
      </c>
      <c r="D56" s="6">
        <f t="shared" si="0"/>
        <v>1.2363804960976665E-2</v>
      </c>
      <c r="E56" s="14">
        <f t="shared" si="1"/>
        <v>6.5906714240579413E-4</v>
      </c>
      <c r="F56" s="9">
        <f t="shared" si="2"/>
        <v>16.377268360786786</v>
      </c>
      <c r="G56" s="9">
        <f t="shared" si="3"/>
        <v>-0.94754509365667472</v>
      </c>
      <c r="H56" s="9">
        <f t="shared" si="4"/>
        <v>3.9717190538493249E-2</v>
      </c>
      <c r="I56" s="9">
        <f t="shared" si="5"/>
        <v>-0.17339356431615677</v>
      </c>
      <c r="J56" s="9">
        <f t="shared" si="6"/>
        <v>15.296046893352447</v>
      </c>
    </row>
    <row r="57" spans="2:10" x14ac:dyDescent="0.25">
      <c r="B57" s="1">
        <v>44200</v>
      </c>
      <c r="C57" s="13">
        <v>129.41</v>
      </c>
      <c r="D57" s="6">
        <f t="shared" si="0"/>
        <v>-2.471927048006628E-2</v>
      </c>
      <c r="E57" s="14">
        <f t="shared" si="1"/>
        <v>6.5987829981063359E-4</v>
      </c>
      <c r="F57" s="9">
        <f t="shared" si="2"/>
        <v>16.376038351597408</v>
      </c>
      <c r="G57" s="9">
        <f t="shared" si="3"/>
        <v>-8.7601458139844934E-2</v>
      </c>
      <c r="H57" s="9">
        <f t="shared" si="4"/>
        <v>1.9395221567850964E-3</v>
      </c>
      <c r="I57" s="9">
        <f t="shared" si="5"/>
        <v>-3.7907880603844322E-4</v>
      </c>
      <c r="J57" s="9">
        <f t="shared" si="6"/>
        <v>16.289997336808312</v>
      </c>
    </row>
    <row r="58" spans="2:10" x14ac:dyDescent="0.25">
      <c r="B58" s="1">
        <v>44196</v>
      </c>
      <c r="C58" s="13">
        <v>132.69</v>
      </c>
      <c r="D58" s="6">
        <f t="shared" si="0"/>
        <v>-7.7026622793897603E-3</v>
      </c>
      <c r="E58" s="14">
        <f t="shared" si="1"/>
        <v>6.5398260401900571E-4</v>
      </c>
      <c r="F58" s="9">
        <f t="shared" si="2"/>
        <v>16.385013023644749</v>
      </c>
      <c r="G58" s="9">
        <f t="shared" si="3"/>
        <v>-0.53227597931765658</v>
      </c>
      <c r="H58" s="9">
        <f t="shared" si="4"/>
        <v>1.5176540033151309E-2</v>
      </c>
      <c r="I58" s="9">
        <f t="shared" si="5"/>
        <v>-5.3893486923341963E-2</v>
      </c>
      <c r="J58" s="9">
        <f t="shared" si="6"/>
        <v>15.814020097436902</v>
      </c>
    </row>
    <row r="59" spans="2:10" x14ac:dyDescent="0.25">
      <c r="B59" s="1">
        <v>44195</v>
      </c>
      <c r="C59" s="13">
        <v>133.72</v>
      </c>
      <c r="D59" s="6">
        <f t="shared" si="0"/>
        <v>-8.5267294431675689E-3</v>
      </c>
      <c r="E59" s="14">
        <f t="shared" si="1"/>
        <v>6.5302171303724258E-4</v>
      </c>
      <c r="F59" s="9">
        <f t="shared" si="2"/>
        <v>16.38648339545966</v>
      </c>
      <c r="G59" s="9">
        <f t="shared" si="3"/>
        <v>-6.6848238825916118E-2</v>
      </c>
      <c r="H59" s="9">
        <f t="shared" si="4"/>
        <v>1.6893359196549262E-4</v>
      </c>
      <c r="I59" s="9">
        <f t="shared" si="5"/>
        <v>-2.1764077493785566E-3</v>
      </c>
      <c r="J59" s="9">
        <f t="shared" si="6"/>
        <v>16.317627682476331</v>
      </c>
    </row>
    <row r="60" spans="2:10" x14ac:dyDescent="0.25">
      <c r="B60" s="1">
        <v>44194</v>
      </c>
      <c r="C60" s="13">
        <v>134.87</v>
      </c>
      <c r="D60" s="6">
        <f t="shared" si="0"/>
        <v>-1.3314799912210074E-2</v>
      </c>
      <c r="E60" s="14">
        <f t="shared" si="1"/>
        <v>6.5188839004397714E-4</v>
      </c>
      <c r="F60" s="9">
        <f t="shared" si="2"/>
        <v>16.388220409029479</v>
      </c>
      <c r="G60" s="9">
        <f t="shared" si="3"/>
        <v>-7.9316042618488333E-2</v>
      </c>
      <c r="H60" s="9">
        <f t="shared" si="4"/>
        <v>3.8277434800025416E-4</v>
      </c>
      <c r="I60" s="9">
        <f t="shared" si="5"/>
        <v>-2.8210022473524098E-3</v>
      </c>
      <c r="J60" s="9">
        <f t="shared" si="6"/>
        <v>16.306466138511642</v>
      </c>
    </row>
    <row r="61" spans="2:10" x14ac:dyDescent="0.25">
      <c r="B61" s="1">
        <v>44193</v>
      </c>
      <c r="C61" s="13">
        <v>136.69</v>
      </c>
      <c r="D61" s="6">
        <f t="shared" si="0"/>
        <v>3.5765704326740977E-2</v>
      </c>
      <c r="E61" s="14">
        <f t="shared" si="1"/>
        <v>6.5289110231734097E-4</v>
      </c>
      <c r="F61" s="9">
        <f t="shared" si="2"/>
        <v>16.386683425230103</v>
      </c>
      <c r="G61" s="9">
        <f t="shared" si="3"/>
        <v>-0.17148993328149117</v>
      </c>
      <c r="H61" s="9">
        <f t="shared" si="4"/>
        <v>-3.0523210604922317E-3</v>
      </c>
      <c r="I61" s="9">
        <f t="shared" si="5"/>
        <v>-7.4061385675081655E-4</v>
      </c>
      <c r="J61" s="9">
        <f t="shared" si="6"/>
        <v>16.211400557031368</v>
      </c>
    </row>
    <row r="62" spans="2:10" x14ac:dyDescent="0.25">
      <c r="B62" s="1">
        <v>44189</v>
      </c>
      <c r="C62" s="13">
        <v>131.97</v>
      </c>
      <c r="D62" s="6">
        <f t="shared" si="0"/>
        <v>7.7122785583383369E-3</v>
      </c>
      <c r="E62" s="14">
        <f t="shared" si="1"/>
        <v>6.4447168465502655E-4</v>
      </c>
      <c r="F62" s="9">
        <f t="shared" si="2"/>
        <v>16.399662887791607</v>
      </c>
      <c r="G62" s="9">
        <f t="shared" si="3"/>
        <v>-0.9068482616790482</v>
      </c>
      <c r="H62" s="9">
        <f t="shared" si="4"/>
        <v>-2.9840005689506382E-2</v>
      </c>
      <c r="I62" s="9">
        <f t="shared" si="5"/>
        <v>-0.10811658408848913</v>
      </c>
      <c r="J62" s="9">
        <f t="shared" si="6"/>
        <v>15.354858036334564</v>
      </c>
    </row>
    <row r="63" spans="2:10" x14ac:dyDescent="0.25">
      <c r="B63" s="1">
        <v>44188</v>
      </c>
      <c r="C63" s="13">
        <v>130.96</v>
      </c>
      <c r="D63" s="6">
        <f t="shared" si="0"/>
        <v>-6.9760388231724368E-3</v>
      </c>
      <c r="E63" s="14">
        <f t="shared" si="1"/>
        <v>6.4890697328828925E-4</v>
      </c>
      <c r="F63" s="9">
        <f t="shared" si="2"/>
        <v>16.392804407497568</v>
      </c>
      <c r="G63" s="9">
        <f t="shared" si="3"/>
        <v>-2.8614223735828982E-2</v>
      </c>
      <c r="H63" s="9">
        <f t="shared" si="4"/>
        <v>3.6306957340162516E-3</v>
      </c>
      <c r="I63" s="9">
        <f t="shared" si="5"/>
        <v>-2.4668361943755348E-2</v>
      </c>
      <c r="J63" s="9">
        <f t="shared" si="6"/>
        <v>16.343152517551999</v>
      </c>
    </row>
    <row r="64" spans="2:10" x14ac:dyDescent="0.25">
      <c r="B64" s="1">
        <v>44187</v>
      </c>
      <c r="C64" s="13">
        <v>131.88</v>
      </c>
      <c r="D64" s="6">
        <f t="shared" si="0"/>
        <v>2.8464477891289031E-2</v>
      </c>
      <c r="E64" s="14">
        <f t="shared" si="1"/>
        <v>6.4811074630248653E-4</v>
      </c>
      <c r="F64" s="9">
        <f t="shared" si="2"/>
        <v>16.394032188851359</v>
      </c>
      <c r="G64" s="9">
        <f t="shared" si="3"/>
        <v>-5.7272089887087062E-2</v>
      </c>
      <c r="H64" s="9">
        <f t="shared" si="4"/>
        <v>-4.6694208889234032E-6</v>
      </c>
      <c r="I64" s="9">
        <f t="shared" si="5"/>
        <v>-1.624480722480965E-3</v>
      </c>
      <c r="J64" s="9">
        <f t="shared" si="6"/>
        <v>16.335130948820904</v>
      </c>
    </row>
    <row r="65" spans="2:10" x14ac:dyDescent="0.25">
      <c r="B65" s="1">
        <v>44186</v>
      </c>
      <c r="C65" s="13">
        <v>128.22999999999999</v>
      </c>
      <c r="D65" s="6">
        <f t="shared" si="0"/>
        <v>1.2435355888042121E-2</v>
      </c>
      <c r="E65" s="14">
        <f t="shared" si="1"/>
        <v>6.4303937958102892E-4</v>
      </c>
      <c r="F65" s="9">
        <f t="shared" si="2"/>
        <v>16.401887809510175</v>
      </c>
      <c r="G65" s="9">
        <f t="shared" si="3"/>
        <v>-0.5616785159611497</v>
      </c>
      <c r="H65" s="9">
        <f t="shared" si="4"/>
        <v>-1.3178310418777159E-2</v>
      </c>
      <c r="I65" s="9">
        <f t="shared" si="5"/>
        <v>-4.0879157280306035E-2</v>
      </c>
      <c r="J65" s="9">
        <f t="shared" si="6"/>
        <v>15.786151825849942</v>
      </c>
    </row>
    <row r="66" spans="2:10" x14ac:dyDescent="0.25">
      <c r="B66" s="1">
        <v>44183</v>
      </c>
      <c r="C66" s="13">
        <v>126.655</v>
      </c>
      <c r="D66" s="6">
        <f t="shared" si="0"/>
        <v>-1.5889665889665783E-2</v>
      </c>
      <c r="E66" s="14">
        <f t="shared" si="1"/>
        <v>6.4254407101903028E-4</v>
      </c>
      <c r="F66" s="9">
        <f t="shared" si="2"/>
        <v>16.402658367946152</v>
      </c>
      <c r="G66" s="9">
        <f t="shared" si="3"/>
        <v>-9.1167824751653651E-2</v>
      </c>
      <c r="H66" s="9">
        <f t="shared" si="4"/>
        <v>3.8018757787594548E-4</v>
      </c>
      <c r="I66" s="9">
        <f t="shared" si="5"/>
        <v>-8.2482321333980483E-4</v>
      </c>
      <c r="J66" s="9">
        <f t="shared" si="6"/>
        <v>16.311045907559034</v>
      </c>
    </row>
    <row r="67" spans="2:10" x14ac:dyDescent="0.25">
      <c r="B67" s="1">
        <v>44182</v>
      </c>
      <c r="C67" s="13">
        <v>128.69999999999999</v>
      </c>
      <c r="D67" s="6">
        <f t="shared" si="0"/>
        <v>6.9634613879976381E-3</v>
      </c>
      <c r="E67" s="14">
        <f t="shared" si="1"/>
        <v>6.4274541279359413E-4</v>
      </c>
      <c r="F67" s="9">
        <f t="shared" si="2"/>
        <v>16.402345066112211</v>
      </c>
      <c r="G67" s="9">
        <f t="shared" si="3"/>
        <v>-0.23940569378968113</v>
      </c>
      <c r="H67" s="9">
        <f t="shared" si="4"/>
        <v>-2.0198751986257491E-3</v>
      </c>
      <c r="I67" s="9">
        <f t="shared" si="5"/>
        <v>-5.3671407389476562E-6</v>
      </c>
      <c r="J67" s="9">
        <f t="shared" si="6"/>
        <v>16.160914129983166</v>
      </c>
    </row>
    <row r="68" spans="2:10" x14ac:dyDescent="0.25">
      <c r="B68" s="1">
        <v>44181</v>
      </c>
      <c r="C68" s="13">
        <v>127.81</v>
      </c>
      <c r="D68" s="6">
        <f t="shared" si="0"/>
        <v>-5.4738817641530879E-4</v>
      </c>
      <c r="E68" s="14">
        <f t="shared" si="1"/>
        <v>6.522598680363909E-4</v>
      </c>
      <c r="F68" s="9">
        <f t="shared" si="2"/>
        <v>16.387650722262414</v>
      </c>
      <c r="G68" s="9">
        <f t="shared" si="3"/>
        <v>-2.1891855930280486E-2</v>
      </c>
      <c r="H68" s="9">
        <f t="shared" si="4"/>
        <v>6.2400277563424925E-3</v>
      </c>
      <c r="I68" s="9">
        <f t="shared" si="5"/>
        <v>-0.12082480851289296</v>
      </c>
      <c r="J68" s="9">
        <f t="shared" si="6"/>
        <v>16.251174085575581</v>
      </c>
    </row>
    <row r="69" spans="2:10" x14ac:dyDescent="0.25">
      <c r="B69" s="1">
        <v>44180</v>
      </c>
      <c r="C69" s="13">
        <v>127.88</v>
      </c>
      <c r="D69" s="6">
        <f t="shared" si="0"/>
        <v>5.0090326818853725E-2</v>
      </c>
      <c r="E69" s="14">
        <f t="shared" si="1"/>
        <v>6.5299530128136191E-4</v>
      </c>
      <c r="F69" s="9">
        <f t="shared" si="2"/>
        <v>16.386523841725818</v>
      </c>
      <c r="G69" s="9">
        <f t="shared" si="3"/>
        <v>-3.6320907912894182E-3</v>
      </c>
      <c r="H69" s="9">
        <f t="shared" si="4"/>
        <v>-3.7835577217994865E-4</v>
      </c>
      <c r="I69" s="9">
        <f t="shared" si="5"/>
        <v>-2.9420555323193316E-4</v>
      </c>
      <c r="J69" s="9">
        <f t="shared" si="6"/>
        <v>16.382219189609117</v>
      </c>
    </row>
    <row r="70" spans="2:10" x14ac:dyDescent="0.25">
      <c r="B70" s="1">
        <v>44179</v>
      </c>
      <c r="C70" s="13">
        <v>121.78</v>
      </c>
      <c r="D70" s="6">
        <f t="shared" si="0"/>
        <v>-5.1466383465402776E-3</v>
      </c>
      <c r="E70" s="14">
        <f t="shared" si="1"/>
        <v>6.3801103045063666E-4</v>
      </c>
      <c r="F70" s="9">
        <f t="shared" si="2"/>
        <v>16.409738203085944</v>
      </c>
      <c r="G70" s="9">
        <f t="shared" si="3"/>
        <v>-1.8460577390317636</v>
      </c>
      <c r="H70" s="9">
        <f t="shared" si="4"/>
        <v>-7.9662376053025744E-2</v>
      </c>
      <c r="I70" s="9">
        <f t="shared" si="5"/>
        <v>-0.3362501514549267</v>
      </c>
      <c r="J70" s="9">
        <f t="shared" si="6"/>
        <v>14.147767936546227</v>
      </c>
    </row>
    <row r="71" spans="2:10" x14ac:dyDescent="0.25">
      <c r="B71" s="1">
        <v>44176</v>
      </c>
      <c r="C71" s="13">
        <v>122.41</v>
      </c>
      <c r="D71" s="6">
        <f t="shared" si="0"/>
        <v>-6.7348263550794929E-3</v>
      </c>
      <c r="E71" s="14">
        <f t="shared" si="1"/>
        <v>6.4035666093525446E-4</v>
      </c>
      <c r="F71" s="9">
        <f t="shared" si="2"/>
        <v>16.406068471548153</v>
      </c>
      <c r="G71" s="9">
        <f t="shared" si="3"/>
        <v>-3.5935200980713254E-2</v>
      </c>
      <c r="H71" s="9">
        <f t="shared" si="4"/>
        <v>-2.4612768103846696E-3</v>
      </c>
      <c r="I71" s="9">
        <f t="shared" si="5"/>
        <v>-6.2843793042560462E-3</v>
      </c>
      <c r="J71" s="9">
        <f t="shared" si="6"/>
        <v>16.361387614452799</v>
      </c>
    </row>
    <row r="72" spans="2:10" x14ac:dyDescent="0.25">
      <c r="B72" s="1">
        <v>44175</v>
      </c>
      <c r="C72" s="13">
        <v>123.24</v>
      </c>
      <c r="D72" s="6">
        <f t="shared" si="0"/>
        <v>1.1988832320578124E-2</v>
      </c>
      <c r="E72" s="14">
        <f t="shared" si="1"/>
        <v>6.4402733446937042E-4</v>
      </c>
      <c r="F72" s="9">
        <f t="shared" si="2"/>
        <v>16.40035260535705</v>
      </c>
      <c r="G72" s="9">
        <f t="shared" si="3"/>
        <v>-5.4448697165449242E-2</v>
      </c>
      <c r="H72" s="9">
        <f t="shared" si="4"/>
        <v>-4.2931688949645035E-3</v>
      </c>
      <c r="I72" s="9">
        <f t="shared" si="5"/>
        <v>-1.6641609051469403E-2</v>
      </c>
      <c r="J72" s="9">
        <f t="shared" si="6"/>
        <v>16.324969130245169</v>
      </c>
    </row>
    <row r="73" spans="2:10" x14ac:dyDescent="0.25">
      <c r="B73" s="1">
        <v>44174</v>
      </c>
      <c r="C73" s="13">
        <v>121.78</v>
      </c>
      <c r="D73" s="6">
        <f t="shared" si="0"/>
        <v>-2.0903682264029499E-2</v>
      </c>
      <c r="E73" s="14">
        <f t="shared" si="1"/>
        <v>6.4401331202891261E-4</v>
      </c>
      <c r="F73" s="9">
        <f t="shared" si="2"/>
        <v>16.400374378645797</v>
      </c>
      <c r="G73" s="9">
        <f t="shared" si="3"/>
        <v>-8.3599235963088631E-2</v>
      </c>
      <c r="H73" s="9">
        <f t="shared" si="4"/>
        <v>9.3621406787121146E-4</v>
      </c>
      <c r="I73" s="9">
        <f t="shared" si="5"/>
        <v>-1.1131617827486505E-4</v>
      </c>
      <c r="J73" s="9">
        <f t="shared" si="6"/>
        <v>16.317600040572305</v>
      </c>
    </row>
    <row r="74" spans="2:10" x14ac:dyDescent="0.25">
      <c r="B74" s="1">
        <v>44173</v>
      </c>
      <c r="C74" s="13">
        <v>124.38</v>
      </c>
      <c r="D74" s="6">
        <f t="shared" si="0"/>
        <v>5.0909090909090349E-3</v>
      </c>
      <c r="E74" s="14">
        <f t="shared" si="1"/>
        <v>6.3927156662303675E-4</v>
      </c>
      <c r="F74" s="9">
        <f t="shared" si="2"/>
        <v>16.407764424402167</v>
      </c>
      <c r="G74" s="9">
        <f t="shared" si="3"/>
        <v>-0.39822637153949542</v>
      </c>
      <c r="H74" s="9">
        <f t="shared" si="4"/>
        <v>1.026999581780687E-2</v>
      </c>
      <c r="I74" s="9">
        <f t="shared" si="5"/>
        <v>-3.6105143079131735E-2</v>
      </c>
      <c r="J74" s="9">
        <f t="shared" si="6"/>
        <v>15.983702905601346</v>
      </c>
    </row>
    <row r="75" spans="2:10" x14ac:dyDescent="0.25">
      <c r="B75" s="1">
        <v>44172</v>
      </c>
      <c r="C75" s="13">
        <v>123.75</v>
      </c>
      <c r="D75" s="6">
        <f t="shared" si="0"/>
        <v>1.2269938650306678E-2</v>
      </c>
      <c r="E75" s="14">
        <f t="shared" si="1"/>
        <v>6.3941389636166385E-4</v>
      </c>
      <c r="F75" s="9">
        <f t="shared" si="2"/>
        <v>16.407541805559088</v>
      </c>
      <c r="G75" s="9">
        <f t="shared" si="3"/>
        <v>-9.408420157493616E-3</v>
      </c>
      <c r="H75" s="9">
        <f t="shared" si="4"/>
        <v>3.7782559427621356E-4</v>
      </c>
      <c r="I75" s="9">
        <f t="shared" si="5"/>
        <v>-1.89772245420473E-5</v>
      </c>
      <c r="J75" s="9">
        <f t="shared" si="6"/>
        <v>16.398492233771329</v>
      </c>
    </row>
    <row r="76" spans="2:10" x14ac:dyDescent="0.25">
      <c r="B76" s="1">
        <v>44169</v>
      </c>
      <c r="C76" s="13">
        <v>122.25</v>
      </c>
      <c r="D76" s="6">
        <f t="shared" si="0"/>
        <v>-5.6124938994631668E-3</v>
      </c>
      <c r="E76" s="14">
        <f t="shared" si="1"/>
        <v>6.4325219847649194E-4</v>
      </c>
      <c r="F76" s="9">
        <f t="shared" si="2"/>
        <v>16.40155690646916</v>
      </c>
      <c r="G76" s="9">
        <f t="shared" si="3"/>
        <v>-8.8301207648772889E-2</v>
      </c>
      <c r="H76" s="9">
        <f t="shared" si="4"/>
        <v>5.6755987125720409E-3</v>
      </c>
      <c r="I76" s="9">
        <f t="shared" si="5"/>
        <v>-1.8355165069075412E-2</v>
      </c>
      <c r="J76" s="9">
        <f t="shared" si="6"/>
        <v>16.300576132463885</v>
      </c>
    </row>
    <row r="77" spans="2:10" x14ac:dyDescent="0.25">
      <c r="B77" s="1">
        <v>44168</v>
      </c>
      <c r="C77" s="13">
        <v>122.94</v>
      </c>
      <c r="D77" s="6">
        <f t="shared" si="0"/>
        <v>-1.1374715632109789E-3</v>
      </c>
      <c r="E77" s="14">
        <f t="shared" si="1"/>
        <v>6.4326787101142932E-4</v>
      </c>
      <c r="F77" s="9">
        <f t="shared" si="2"/>
        <v>16.401532542239934</v>
      </c>
      <c r="G77" s="9">
        <f t="shared" si="3"/>
        <v>-4.0862005060136909E-2</v>
      </c>
      <c r="H77" s="9">
        <f t="shared" si="4"/>
        <v>-6.7962799015759375E-4</v>
      </c>
      <c r="I77" s="9">
        <f t="shared" si="5"/>
        <v>-8.8072454466766662E-5</v>
      </c>
      <c r="J77" s="9">
        <f t="shared" si="6"/>
        <v>16.35990283673517</v>
      </c>
    </row>
    <row r="78" spans="2:10" x14ac:dyDescent="0.25">
      <c r="B78" s="1">
        <v>44167</v>
      </c>
      <c r="C78" s="13">
        <v>123.08</v>
      </c>
      <c r="D78" s="6">
        <f t="shared" si="0"/>
        <v>2.9335071707952132E-3</v>
      </c>
      <c r="E78" s="14">
        <f t="shared" si="1"/>
        <v>6.4331759209468851E-4</v>
      </c>
      <c r="F78" s="9">
        <f t="shared" si="2"/>
        <v>16.401455250703989</v>
      </c>
      <c r="G78" s="9">
        <f t="shared" si="3"/>
        <v>-5.9588394652899026E-3</v>
      </c>
      <c r="H78" s="9">
        <f t="shared" si="4"/>
        <v>-2.7034295851172401E-4</v>
      </c>
      <c r="I78" s="9">
        <f t="shared" si="5"/>
        <v>-6.5564407010538849E-5</v>
      </c>
      <c r="J78" s="9">
        <f t="shared" si="6"/>
        <v>16.395160503873178</v>
      </c>
    </row>
    <row r="79" spans="2:10" x14ac:dyDescent="0.25">
      <c r="B79" s="1">
        <v>44166</v>
      </c>
      <c r="C79" s="13">
        <v>122.72</v>
      </c>
      <c r="D79" s="6">
        <f t="shared" si="0"/>
        <v>3.0827383452330936E-2</v>
      </c>
      <c r="E79" s="14">
        <f t="shared" si="1"/>
        <v>6.6523285163474382E-4</v>
      </c>
      <c r="F79" s="9">
        <f t="shared" si="2"/>
        <v>16.367956643188002</v>
      </c>
      <c r="G79" s="9">
        <f t="shared" si="3"/>
        <v>-1.2860896868184936E-3</v>
      </c>
      <c r="H79" s="9">
        <f t="shared" si="4"/>
        <v>3.2980188293031299E-3</v>
      </c>
      <c r="I79" s="9">
        <f t="shared" si="5"/>
        <v>-0.64885132768267462</v>
      </c>
      <c r="J79" s="9">
        <f t="shared" si="6"/>
        <v>15.721117244647811</v>
      </c>
    </row>
    <row r="80" spans="2:10" x14ac:dyDescent="0.25">
      <c r="B80" s="1">
        <v>44165</v>
      </c>
      <c r="C80" s="13">
        <v>119.05</v>
      </c>
      <c r="D80" s="6">
        <f t="shared" ref="D80:D143" si="7">C80/C81-1</f>
        <v>2.1099579723818485E-2</v>
      </c>
      <c r="E80" s="14">
        <f t="shared" ref="E80:E143" si="8">_xlfn.VAR.S(D80:D200)</f>
        <v>6.6308554207845265E-4</v>
      </c>
      <c r="F80" s="9">
        <f t="shared" si="2"/>
        <v>16.371189770782951</v>
      </c>
      <c r="G80" s="9">
        <f t="shared" si="3"/>
        <v>-0.64483773966014934</v>
      </c>
      <c r="H80" s="9">
        <f t="shared" si="4"/>
        <v>-4.3838765215711093E-3</v>
      </c>
      <c r="I80" s="9">
        <f t="shared" si="5"/>
        <v>-8.3177945956293773E-3</v>
      </c>
      <c r="J80" s="9">
        <f t="shared" si="6"/>
        <v>15.713650360005602</v>
      </c>
    </row>
    <row r="81" spans="2:10" x14ac:dyDescent="0.25">
      <c r="B81" s="1">
        <v>44162</v>
      </c>
      <c r="C81" s="13">
        <v>116.59</v>
      </c>
      <c r="D81" s="6">
        <f t="shared" si="7"/>
        <v>4.8263380160302738E-3</v>
      </c>
      <c r="E81" s="14">
        <f t="shared" si="8"/>
        <v>6.6715325239496547E-4</v>
      </c>
      <c r="F81" s="9">
        <f t="shared" ref="F81:F144" si="9">LN(2*PI())-LN($C$6)-LN(E81)-0.5*LN(1-POWER($C$7,2))</f>
        <v>16.365073992154283</v>
      </c>
      <c r="G81" s="9">
        <f t="shared" ref="G81:G144" si="10">-POWER(D80-1-$C$3,2)/(2*E81*(1-POWER($C$7,2)))</f>
        <v>-0.28500933632774916</v>
      </c>
      <c r="H81" s="9">
        <f t="shared" ref="H81:H144" si="11">$C$7*(D80-1-$C$3)*(E80-E81-$C$5*$C$4)/(E81*$C$6*(1-POWER($C$7,2)))</f>
        <v>1.050744412483056E-2</v>
      </c>
      <c r="I81" s="9">
        <f t="shared" ref="I81:I144" si="12">-POWER(E80-E81-$C$5*$C$4+$C$4*E81,2)/(2*POWER($C$6,2)*E81*(1-POWER($C$7,2)))</f>
        <v>-1.9627282283118667E-2</v>
      </c>
      <c r="J81" s="9">
        <f t="shared" ref="J81:J144" si="13">SUM(F81:I81)</f>
        <v>16.070944817668245</v>
      </c>
    </row>
    <row r="82" spans="2:10" x14ac:dyDescent="0.25">
      <c r="B82" s="1">
        <v>44160</v>
      </c>
      <c r="C82" s="13">
        <v>116.03</v>
      </c>
      <c r="D82" s="6">
        <f t="shared" si="7"/>
        <v>7.4672223669358662E-3</v>
      </c>
      <c r="E82" s="14">
        <f t="shared" si="8"/>
        <v>6.6719413679831223E-4</v>
      </c>
      <c r="F82" s="9">
        <f t="shared" si="9"/>
        <v>16.365012712155249</v>
      </c>
      <c r="G82" s="9">
        <f t="shared" si="10"/>
        <v>-7.6917755235066266E-3</v>
      </c>
      <c r="H82" s="9">
        <f t="shared" si="11"/>
        <v>2.9846905219243098E-4</v>
      </c>
      <c r="I82" s="9">
        <f t="shared" si="12"/>
        <v>-9.505800843164393E-5</v>
      </c>
      <c r="J82" s="9">
        <f t="shared" si="13"/>
        <v>16.357524347675504</v>
      </c>
    </row>
    <row r="83" spans="2:10" x14ac:dyDescent="0.25">
      <c r="B83" s="1">
        <v>44159</v>
      </c>
      <c r="C83" s="13">
        <v>115.17</v>
      </c>
      <c r="D83" s="6">
        <f t="shared" si="7"/>
        <v>1.1594202898550732E-2</v>
      </c>
      <c r="E83" s="14">
        <f t="shared" si="8"/>
        <v>6.7236766109207702E-4</v>
      </c>
      <c r="F83" s="9">
        <f t="shared" si="9"/>
        <v>16.35728846975805</v>
      </c>
      <c r="G83" s="9">
        <f t="shared" si="10"/>
        <v>-2.543626516340541E-2</v>
      </c>
      <c r="H83" s="9">
        <f t="shared" si="11"/>
        <v>3.8370130017227316E-3</v>
      </c>
      <c r="I83" s="9">
        <f t="shared" si="12"/>
        <v>-3.2480196102708449E-2</v>
      </c>
      <c r="J83" s="9">
        <f t="shared" si="13"/>
        <v>16.303209021493657</v>
      </c>
    </row>
    <row r="84" spans="2:10" x14ac:dyDescent="0.25">
      <c r="B84" s="1">
        <v>44158</v>
      </c>
      <c r="C84" s="13">
        <v>113.85</v>
      </c>
      <c r="D84" s="6">
        <f t="shared" si="7"/>
        <v>-2.9742628259758042E-2</v>
      </c>
      <c r="E84" s="14">
        <f t="shared" si="8"/>
        <v>6.7294511209275499E-4</v>
      </c>
      <c r="F84" s="9">
        <f t="shared" si="9"/>
        <v>16.356430006138808</v>
      </c>
      <c r="G84" s="9">
        <f t="shared" si="10"/>
        <v>-7.4026945555403789E-2</v>
      </c>
      <c r="H84" s="9">
        <f t="shared" si="11"/>
        <v>1.5095908732138522E-3</v>
      </c>
      <c r="I84" s="9">
        <f t="shared" si="12"/>
        <v>-9.6429843233207388E-5</v>
      </c>
      <c r="J84" s="9">
        <f t="shared" si="13"/>
        <v>16.283816221613385</v>
      </c>
    </row>
    <row r="85" spans="2:10" x14ac:dyDescent="0.25">
      <c r="B85" s="1">
        <v>44155</v>
      </c>
      <c r="C85" s="13">
        <v>117.34</v>
      </c>
      <c r="D85" s="6">
        <f t="shared" si="7"/>
        <v>-1.0957518543492917E-2</v>
      </c>
      <c r="E85" s="14">
        <f t="shared" si="8"/>
        <v>6.6390608008075986E-4</v>
      </c>
      <c r="F85" s="9">
        <f t="shared" si="9"/>
        <v>16.369953081578316</v>
      </c>
      <c r="G85" s="9">
        <f t="shared" si="10"/>
        <v>-0.7433186485427431</v>
      </c>
      <c r="H85" s="9">
        <f t="shared" si="11"/>
        <v>2.8782355311793795E-2</v>
      </c>
      <c r="I85" s="9">
        <f t="shared" si="12"/>
        <v>-0.121295590873158</v>
      </c>
      <c r="J85" s="9">
        <f t="shared" si="13"/>
        <v>15.534121197474208</v>
      </c>
    </row>
    <row r="86" spans="2:10" x14ac:dyDescent="0.25">
      <c r="B86" s="1">
        <v>44154</v>
      </c>
      <c r="C86" s="13">
        <v>118.64</v>
      </c>
      <c r="D86" s="6">
        <f t="shared" si="7"/>
        <v>5.1681775819707454E-3</v>
      </c>
      <c r="E86" s="14">
        <f t="shared" si="8"/>
        <v>6.6218051521661E-4</v>
      </c>
      <c r="F86" s="9">
        <f t="shared" si="9"/>
        <v>16.372555575026635</v>
      </c>
      <c r="G86" s="9">
        <f t="shared" si="10"/>
        <v>-0.11994279345302657</v>
      </c>
      <c r="H86" s="9">
        <f t="shared" si="11"/>
        <v>1.2993062828346288E-3</v>
      </c>
      <c r="I86" s="9">
        <f t="shared" si="12"/>
        <v>-5.6935585656770907E-3</v>
      </c>
      <c r="J86" s="9">
        <f t="shared" si="13"/>
        <v>16.248218529290764</v>
      </c>
    </row>
    <row r="87" spans="2:10" x14ac:dyDescent="0.25">
      <c r="B87" s="1">
        <v>44153</v>
      </c>
      <c r="C87" s="13">
        <v>118.03</v>
      </c>
      <c r="D87" s="6">
        <f t="shared" si="7"/>
        <v>-1.139123879721915E-2</v>
      </c>
      <c r="E87" s="14">
        <f t="shared" si="8"/>
        <v>6.6279474632063287E-4</v>
      </c>
      <c r="F87" s="9">
        <f t="shared" si="9"/>
        <v>16.371628416360576</v>
      </c>
      <c r="G87" s="9">
        <f t="shared" si="10"/>
        <v>-9.4860206738143771E-3</v>
      </c>
      <c r="H87" s="9">
        <f t="shared" si="11"/>
        <v>5.5903993698111802E-4</v>
      </c>
      <c r="I87" s="9">
        <f t="shared" si="12"/>
        <v>-1.4148870461447568E-4</v>
      </c>
      <c r="J87" s="9">
        <f t="shared" si="13"/>
        <v>16.362559946919127</v>
      </c>
    </row>
    <row r="88" spans="2:10" x14ac:dyDescent="0.25">
      <c r="B88" s="1">
        <v>44152</v>
      </c>
      <c r="C88" s="13">
        <v>119.39</v>
      </c>
      <c r="D88" s="6">
        <f t="shared" si="7"/>
        <v>-7.5644222776392045E-3</v>
      </c>
      <c r="E88" s="14">
        <f t="shared" si="8"/>
        <v>6.6108909292399533E-4</v>
      </c>
      <c r="F88" s="9">
        <f t="shared" si="9"/>
        <v>16.374205159560869</v>
      </c>
      <c r="G88" s="9">
        <f t="shared" si="10"/>
        <v>-0.12856448661925943</v>
      </c>
      <c r="H88" s="9">
        <f t="shared" si="11"/>
        <v>1.3173105453239502E-3</v>
      </c>
      <c r="I88" s="9">
        <f t="shared" si="12"/>
        <v>-5.5810014605655383E-3</v>
      </c>
      <c r="J88" s="9">
        <f t="shared" si="13"/>
        <v>16.24137698202637</v>
      </c>
    </row>
    <row r="89" spans="2:10" x14ac:dyDescent="0.25">
      <c r="B89" s="1">
        <v>44151</v>
      </c>
      <c r="C89" s="13">
        <v>120.3</v>
      </c>
      <c r="D89" s="6">
        <f t="shared" si="7"/>
        <v>8.7204427301692533E-3</v>
      </c>
      <c r="E89" s="14">
        <f t="shared" si="8"/>
        <v>6.6011754665032418E-4</v>
      </c>
      <c r="F89" s="9">
        <f t="shared" si="9"/>
        <v>16.375675855241148</v>
      </c>
      <c r="G89" s="9">
        <f t="shared" si="10"/>
        <v>-6.4184534404648164E-2</v>
      </c>
      <c r="H89" s="9">
        <f t="shared" si="11"/>
        <v>1.7561231899082625E-4</v>
      </c>
      <c r="I89" s="9">
        <f t="shared" si="12"/>
        <v>-2.2314637449820005E-3</v>
      </c>
      <c r="J89" s="9">
        <f t="shared" si="13"/>
        <v>16.309435469410509</v>
      </c>
    </row>
    <row r="90" spans="2:10" x14ac:dyDescent="0.25">
      <c r="B90" s="1">
        <v>44148</v>
      </c>
      <c r="C90" s="13">
        <v>119.26</v>
      </c>
      <c r="D90" s="6">
        <f t="shared" si="7"/>
        <v>4.194279003439938E-4</v>
      </c>
      <c r="E90" s="14">
        <f t="shared" si="8"/>
        <v>6.5991367529271534E-4</v>
      </c>
      <c r="F90" s="9">
        <f t="shared" si="9"/>
        <v>16.375984743933842</v>
      </c>
      <c r="G90" s="9">
        <f t="shared" si="10"/>
        <v>-3.8232928542304707E-2</v>
      </c>
      <c r="H90" s="9">
        <f t="shared" si="11"/>
        <v>4.7456906287357363E-4</v>
      </c>
      <c r="I90" s="9">
        <f t="shared" si="12"/>
        <v>-3.426314980607248E-4</v>
      </c>
      <c r="J90" s="9">
        <f t="shared" si="13"/>
        <v>16.337883752956351</v>
      </c>
    </row>
    <row r="91" spans="2:10" x14ac:dyDescent="0.25">
      <c r="B91" s="1">
        <v>44147</v>
      </c>
      <c r="C91" s="13">
        <v>119.21</v>
      </c>
      <c r="D91" s="6">
        <f t="shared" si="7"/>
        <v>-2.3432923257176164E-3</v>
      </c>
      <c r="E91" s="14">
        <f t="shared" si="8"/>
        <v>6.6073661587069676E-4</v>
      </c>
      <c r="F91" s="9">
        <f t="shared" si="9"/>
        <v>16.374738478075265</v>
      </c>
      <c r="G91" s="9">
        <f t="shared" si="10"/>
        <v>-1.1073933048440919E-3</v>
      </c>
      <c r="H91" s="9">
        <f t="shared" si="11"/>
        <v>-2.1951817472761341E-4</v>
      </c>
      <c r="I91" s="9">
        <f t="shared" si="12"/>
        <v>-3.9381574671860063E-4</v>
      </c>
      <c r="J91" s="9">
        <f t="shared" si="13"/>
        <v>16.373017750848973</v>
      </c>
    </row>
    <row r="92" spans="2:10" x14ac:dyDescent="0.25">
      <c r="B92" s="1">
        <v>44146</v>
      </c>
      <c r="C92" s="13">
        <v>119.49</v>
      </c>
      <c r="D92" s="6">
        <f t="shared" si="7"/>
        <v>3.0352677416573215E-2</v>
      </c>
      <c r="E92" s="14">
        <f t="shared" si="8"/>
        <v>6.6049561054195541E-4</v>
      </c>
      <c r="F92" s="9">
        <f t="shared" si="9"/>
        <v>16.37510329710798</v>
      </c>
      <c r="G92" s="9">
        <f t="shared" si="10"/>
        <v>-1.1970288311899587E-2</v>
      </c>
      <c r="H92" s="9">
        <f t="shared" si="11"/>
        <v>-2.4891826709842437E-4</v>
      </c>
      <c r="I92" s="9">
        <f t="shared" si="12"/>
        <v>-3.9708231113423078E-4</v>
      </c>
      <c r="J92" s="9">
        <f t="shared" si="13"/>
        <v>16.362487008217848</v>
      </c>
    </row>
    <row r="93" spans="2:10" x14ac:dyDescent="0.25">
      <c r="B93" s="1">
        <v>44145</v>
      </c>
      <c r="C93" s="13">
        <v>115.97</v>
      </c>
      <c r="D93" s="6">
        <f t="shared" si="7"/>
        <v>-3.0089408528197747E-3</v>
      </c>
      <c r="E93" s="14">
        <f t="shared" si="8"/>
        <v>6.5553367424883735E-4</v>
      </c>
      <c r="F93" s="9">
        <f t="shared" si="9"/>
        <v>16.382644101652822</v>
      </c>
      <c r="G93" s="9">
        <f t="shared" si="10"/>
        <v>-0.63123093939447394</v>
      </c>
      <c r="H93" s="9">
        <f t="shared" si="11"/>
        <v>-1.3482088835607598E-2</v>
      </c>
      <c r="I93" s="9">
        <f t="shared" si="12"/>
        <v>-3.8776651717908693E-2</v>
      </c>
      <c r="J93" s="9">
        <f t="shared" si="13"/>
        <v>15.699154421704833</v>
      </c>
    </row>
    <row r="94" spans="2:10" x14ac:dyDescent="0.25">
      <c r="B94" s="1">
        <v>44144</v>
      </c>
      <c r="C94" s="13">
        <v>116.32</v>
      </c>
      <c r="D94" s="6">
        <f t="shared" si="7"/>
        <v>-1.9967983823405588E-2</v>
      </c>
      <c r="E94" s="14">
        <f t="shared" si="8"/>
        <v>6.5729780063645833E-4</v>
      </c>
      <c r="F94" s="9">
        <f t="shared" si="9"/>
        <v>16.379956586182349</v>
      </c>
      <c r="G94" s="9">
        <f t="shared" si="10"/>
        <v>-1.6399560745030014E-2</v>
      </c>
      <c r="H94" s="9">
        <f t="shared" si="11"/>
        <v>-1.3378546470270097E-3</v>
      </c>
      <c r="I94" s="9">
        <f t="shared" si="12"/>
        <v>-3.0685649492443521E-3</v>
      </c>
      <c r="J94" s="9">
        <f t="shared" si="13"/>
        <v>16.359150605841048</v>
      </c>
    </row>
    <row r="95" spans="2:10" x14ac:dyDescent="0.25">
      <c r="B95" s="1">
        <v>44141</v>
      </c>
      <c r="C95" s="13">
        <v>118.69</v>
      </c>
      <c r="D95" s="6">
        <f t="shared" si="7"/>
        <v>-2.8564227505670781E-3</v>
      </c>
      <c r="E95" s="14">
        <f t="shared" si="8"/>
        <v>6.5338729252082523E-4</v>
      </c>
      <c r="F95" s="9">
        <f t="shared" si="9"/>
        <v>16.385923724649722</v>
      </c>
      <c r="G95" s="9">
        <f t="shared" si="10"/>
        <v>-0.35793353039357445</v>
      </c>
      <c r="H95" s="9">
        <f t="shared" si="11"/>
        <v>7.5993699343178296E-3</v>
      </c>
      <c r="I95" s="9">
        <f t="shared" si="12"/>
        <v>-2.4828967689137935E-2</v>
      </c>
      <c r="J95" s="9">
        <f t="shared" si="13"/>
        <v>16.010760596501328</v>
      </c>
    </row>
    <row r="96" spans="2:10" x14ac:dyDescent="0.25">
      <c r="B96" s="1">
        <v>44140</v>
      </c>
      <c r="C96" s="13">
        <v>119.03</v>
      </c>
      <c r="D96" s="6">
        <f t="shared" si="7"/>
        <v>3.5493692909960739E-2</v>
      </c>
      <c r="E96" s="14">
        <f t="shared" si="8"/>
        <v>6.5625682938453645E-4</v>
      </c>
      <c r="F96" s="9">
        <f t="shared" si="9"/>
        <v>16.381541554855978</v>
      </c>
      <c r="G96" s="9">
        <f t="shared" si="10"/>
        <v>-1.5362659030856277E-2</v>
      </c>
      <c r="H96" s="9">
        <f t="shared" si="11"/>
        <v>-1.8543504792464906E-3</v>
      </c>
      <c r="I96" s="9">
        <f t="shared" si="12"/>
        <v>-9.4046226767432271E-3</v>
      </c>
      <c r="J96" s="9">
        <f t="shared" si="13"/>
        <v>16.354919922669133</v>
      </c>
    </row>
    <row r="97" spans="2:10" x14ac:dyDescent="0.25">
      <c r="B97" s="1">
        <v>44139</v>
      </c>
      <c r="C97" s="13">
        <v>114.95</v>
      </c>
      <c r="D97" s="6">
        <f t="shared" si="7"/>
        <v>4.0836653386454147E-2</v>
      </c>
      <c r="E97" s="14">
        <f t="shared" si="8"/>
        <v>6.4864906017451213E-4</v>
      </c>
      <c r="F97" s="9">
        <f t="shared" si="9"/>
        <v>16.393201944267499</v>
      </c>
      <c r="G97" s="9">
        <f t="shared" si="10"/>
        <v>-0.88670695010114176</v>
      </c>
      <c r="H97" s="9">
        <f t="shared" si="11"/>
        <v>-2.6278164357928582E-2</v>
      </c>
      <c r="I97" s="9">
        <f t="shared" si="12"/>
        <v>-8.8435234254607406E-2</v>
      </c>
      <c r="J97" s="9">
        <f t="shared" si="13"/>
        <v>15.391781595553823</v>
      </c>
    </row>
    <row r="98" spans="2:10" x14ac:dyDescent="0.25">
      <c r="B98" s="1">
        <v>44138</v>
      </c>
      <c r="C98" s="13">
        <v>110.44</v>
      </c>
      <c r="D98" s="6">
        <f t="shared" si="7"/>
        <v>1.5353498207226313E-2</v>
      </c>
      <c r="E98" s="14">
        <f t="shared" si="8"/>
        <v>6.3706331982517535E-4</v>
      </c>
      <c r="F98" s="9">
        <f t="shared" si="9"/>
        <v>16.411224721577629</v>
      </c>
      <c r="G98" s="9">
        <f t="shared" si="10"/>
        <v>-1.2101771571084392</v>
      </c>
      <c r="H98" s="9">
        <f t="shared" si="11"/>
        <v>-4.9080766349817936E-2</v>
      </c>
      <c r="I98" s="9">
        <f t="shared" si="12"/>
        <v>-0.20324324152825093</v>
      </c>
      <c r="J98" s="9">
        <f t="shared" si="13"/>
        <v>14.948723556591121</v>
      </c>
    </row>
    <row r="99" spans="2:10" x14ac:dyDescent="0.25">
      <c r="B99" s="1">
        <v>44137</v>
      </c>
      <c r="C99" s="13">
        <v>108.77</v>
      </c>
      <c r="D99" s="6">
        <f t="shared" si="7"/>
        <v>-8.2674995406950558E-4</v>
      </c>
      <c r="E99" s="14">
        <f t="shared" si="8"/>
        <v>6.3777515851514907E-4</v>
      </c>
      <c r="F99" s="9">
        <f t="shared" si="9"/>
        <v>16.410107970277682</v>
      </c>
      <c r="G99" s="9">
        <f t="shared" si="10"/>
        <v>-0.14814367568593864</v>
      </c>
      <c r="H99" s="9">
        <f t="shared" si="11"/>
        <v>2.4074853860785944E-3</v>
      </c>
      <c r="I99" s="9">
        <f t="shared" si="12"/>
        <v>-3.0332742831993241E-4</v>
      </c>
      <c r="J99" s="9">
        <f t="shared" si="13"/>
        <v>16.264068452549502</v>
      </c>
    </row>
    <row r="100" spans="2:10" x14ac:dyDescent="0.25">
      <c r="B100" s="1">
        <v>44134</v>
      </c>
      <c r="C100" s="13">
        <v>108.86</v>
      </c>
      <c r="D100" s="6">
        <f t="shared" si="7"/>
        <v>-5.6018036767256252E-2</v>
      </c>
      <c r="E100" s="14">
        <f t="shared" si="8"/>
        <v>6.3939491519834912E-4</v>
      </c>
      <c r="F100" s="9">
        <f t="shared" si="9"/>
        <v>16.407571491252749</v>
      </c>
      <c r="G100" s="9">
        <f t="shared" si="10"/>
        <v>-4.7235461868744702E-3</v>
      </c>
      <c r="H100" s="9">
        <f t="shared" si="11"/>
        <v>-6.870140492339328E-4</v>
      </c>
      <c r="I100" s="9">
        <f t="shared" si="12"/>
        <v>-2.6835595815138946E-3</v>
      </c>
      <c r="J100" s="9">
        <f t="shared" si="13"/>
        <v>16.399477371435129</v>
      </c>
    </row>
    <row r="101" spans="2:10" x14ac:dyDescent="0.25">
      <c r="B101" s="1">
        <v>44133</v>
      </c>
      <c r="C101" s="13">
        <v>115.32</v>
      </c>
      <c r="D101" s="6">
        <f t="shared" si="7"/>
        <v>3.705035971223003E-2</v>
      </c>
      <c r="E101" s="14">
        <f t="shared" si="8"/>
        <v>6.1137061433065804E-4</v>
      </c>
      <c r="F101" s="9">
        <f t="shared" si="9"/>
        <v>16.452390430007274</v>
      </c>
      <c r="G101" s="9">
        <f t="shared" si="10"/>
        <v>-2.7256984584476731</v>
      </c>
      <c r="H101" s="9">
        <f t="shared" si="11"/>
        <v>0.18979968526241855</v>
      </c>
      <c r="I101" s="9">
        <f t="shared" si="12"/>
        <v>-1.2046205392583083</v>
      </c>
      <c r="J101" s="9">
        <f t="shared" si="13"/>
        <v>12.71187111756371</v>
      </c>
    </row>
    <row r="102" spans="2:10" x14ac:dyDescent="0.25">
      <c r="B102" s="1">
        <v>44132</v>
      </c>
      <c r="C102" s="13">
        <v>111.2</v>
      </c>
      <c r="D102" s="6">
        <f t="shared" si="7"/>
        <v>-4.6312178387650005E-2</v>
      </c>
      <c r="E102" s="14">
        <f t="shared" si="8"/>
        <v>6.0456151172795481E-4</v>
      </c>
      <c r="F102" s="9">
        <f t="shared" si="9"/>
        <v>16.463590354137054</v>
      </c>
      <c r="G102" s="9">
        <f t="shared" si="10"/>
        <v>-1.0408393975643568</v>
      </c>
      <c r="H102" s="9">
        <f t="shared" si="11"/>
        <v>-2.6030225360455673E-2</v>
      </c>
      <c r="I102" s="9">
        <f t="shared" si="12"/>
        <v>-7.5054805272668682E-2</v>
      </c>
      <c r="J102" s="9">
        <f t="shared" si="13"/>
        <v>15.321665925939573</v>
      </c>
    </row>
    <row r="103" spans="2:10" x14ac:dyDescent="0.25">
      <c r="B103" s="1">
        <v>44131</v>
      </c>
      <c r="C103" s="13">
        <v>116.6</v>
      </c>
      <c r="D103" s="6">
        <f t="shared" si="7"/>
        <v>1.3472403302911662E-2</v>
      </c>
      <c r="E103" s="14">
        <f t="shared" si="8"/>
        <v>5.8409393292562547E-4</v>
      </c>
      <c r="F103" s="9">
        <f t="shared" si="9"/>
        <v>16.498031961443921</v>
      </c>
      <c r="G103" s="9">
        <f t="shared" si="10"/>
        <v>-1.9731407684311444</v>
      </c>
      <c r="H103" s="9">
        <f t="shared" si="11"/>
        <v>0.11935336891083925</v>
      </c>
      <c r="I103" s="9">
        <f t="shared" si="12"/>
        <v>-0.67332653797726105</v>
      </c>
      <c r="J103" s="9">
        <f t="shared" si="13"/>
        <v>13.970918023946357</v>
      </c>
    </row>
    <row r="104" spans="2:10" x14ac:dyDescent="0.25">
      <c r="B104" s="1">
        <v>44130</v>
      </c>
      <c r="C104" s="13">
        <v>115.05</v>
      </c>
      <c r="D104" s="6">
        <f t="shared" si="7"/>
        <v>8.6926286508859363E-5</v>
      </c>
      <c r="E104" s="14">
        <f t="shared" si="8"/>
        <v>5.836748602214962E-4</v>
      </c>
      <c r="F104" s="9">
        <f t="shared" si="9"/>
        <v>16.498749693797414</v>
      </c>
      <c r="G104" s="9">
        <f t="shared" si="10"/>
        <v>-0.1205470010344903</v>
      </c>
      <c r="H104" s="9">
        <f t="shared" si="11"/>
        <v>5.7309050821007066E-4</v>
      </c>
      <c r="I104" s="9">
        <f t="shared" si="12"/>
        <v>-5.3941795576891132E-4</v>
      </c>
      <c r="J104" s="9">
        <f t="shared" si="13"/>
        <v>16.378236365315367</v>
      </c>
    </row>
    <row r="105" spans="2:10" x14ac:dyDescent="0.25">
      <c r="B105" s="1">
        <v>44127</v>
      </c>
      <c r="C105" s="13">
        <v>115.04</v>
      </c>
      <c r="D105" s="6">
        <f t="shared" si="7"/>
        <v>-6.1339092872569889E-3</v>
      </c>
      <c r="E105" s="14">
        <f t="shared" si="8"/>
        <v>5.8456703468477299E-4</v>
      </c>
      <c r="F105" s="9">
        <f t="shared" si="9"/>
        <v>16.497222313824803</v>
      </c>
      <c r="G105" s="9">
        <f t="shared" si="10"/>
        <v>-2.0356291900434664E-3</v>
      </c>
      <c r="H105" s="9">
        <f t="shared" si="11"/>
        <v>-3.2991164658455901E-4</v>
      </c>
      <c r="I105" s="9">
        <f t="shared" si="12"/>
        <v>-8.3291607443841459E-4</v>
      </c>
      <c r="J105" s="9">
        <f t="shared" si="13"/>
        <v>16.494023856913739</v>
      </c>
    </row>
    <row r="106" spans="2:10" x14ac:dyDescent="0.25">
      <c r="B106" s="1">
        <v>44126</v>
      </c>
      <c r="C106" s="13">
        <v>115.75</v>
      </c>
      <c r="D106" s="6">
        <f t="shared" si="7"/>
        <v>-9.5832976811842663E-3</v>
      </c>
      <c r="E106" s="14">
        <f t="shared" si="8"/>
        <v>5.8453255635417E-4</v>
      </c>
      <c r="F106" s="9">
        <f t="shared" si="9"/>
        <v>16.497281296534023</v>
      </c>
      <c r="G106" s="9">
        <f t="shared" si="10"/>
        <v>-5.1678371413794479E-2</v>
      </c>
      <c r="H106" s="9">
        <f t="shared" si="11"/>
        <v>-7.5254650384892687E-4</v>
      </c>
      <c r="I106" s="9">
        <f t="shared" si="12"/>
        <v>-6.3605967194726488E-5</v>
      </c>
      <c r="J106" s="9">
        <f t="shared" si="13"/>
        <v>16.444786772649184</v>
      </c>
    </row>
    <row r="107" spans="2:10" x14ac:dyDescent="0.25">
      <c r="B107" s="1">
        <v>44125</v>
      </c>
      <c r="C107" s="13">
        <v>116.87</v>
      </c>
      <c r="D107" s="6">
        <f t="shared" si="7"/>
        <v>-5.4463449919155416E-3</v>
      </c>
      <c r="E107" s="14">
        <f t="shared" si="8"/>
        <v>5.8637693995828113E-4</v>
      </c>
      <c r="F107" s="9">
        <f t="shared" si="9"/>
        <v>16.494130950353846</v>
      </c>
      <c r="G107" s="9">
        <f t="shared" si="10"/>
        <v>-0.10748248659488904</v>
      </c>
      <c r="H107" s="9">
        <f t="shared" si="11"/>
        <v>-3.7396787362164474E-3</v>
      </c>
      <c r="I107" s="9">
        <f t="shared" si="12"/>
        <v>-4.4211852600467456E-3</v>
      </c>
      <c r="J107" s="9">
        <f t="shared" si="13"/>
        <v>16.378487599762693</v>
      </c>
    </row>
    <row r="108" spans="2:10" x14ac:dyDescent="0.25">
      <c r="B108" s="1">
        <v>44124</v>
      </c>
      <c r="C108" s="13">
        <v>117.51</v>
      </c>
      <c r="D108" s="6">
        <f t="shared" si="7"/>
        <v>1.3191929643041833E-2</v>
      </c>
      <c r="E108" s="14">
        <f t="shared" si="8"/>
        <v>5.8795833862818525E-4</v>
      </c>
      <c r="F108" s="9">
        <f t="shared" si="9"/>
        <v>16.491437682673556</v>
      </c>
      <c r="G108" s="9">
        <f t="shared" si="10"/>
        <v>-4.2677525546240949E-2</v>
      </c>
      <c r="H108" s="9">
        <f t="shared" si="11"/>
        <v>-2.1193647924556335E-3</v>
      </c>
      <c r="I108" s="9">
        <f t="shared" si="12"/>
        <v>-3.121952472254887E-3</v>
      </c>
      <c r="J108" s="9">
        <f t="shared" si="13"/>
        <v>16.443518839862602</v>
      </c>
    </row>
    <row r="109" spans="2:10" x14ac:dyDescent="0.25">
      <c r="B109" s="1">
        <v>44123</v>
      </c>
      <c r="C109" s="13">
        <v>115.98</v>
      </c>
      <c r="D109" s="6">
        <f t="shared" si="7"/>
        <v>-2.55419257267685E-2</v>
      </c>
      <c r="E109" s="14">
        <f t="shared" si="8"/>
        <v>5.9404834815872788E-4</v>
      </c>
      <c r="F109" s="9">
        <f t="shared" si="9"/>
        <v>16.481133065131932</v>
      </c>
      <c r="G109" s="9">
        <f t="shared" si="10"/>
        <v>-0.11289930590703591</v>
      </c>
      <c r="H109" s="9">
        <f t="shared" si="11"/>
        <v>9.9193775239952778E-3</v>
      </c>
      <c r="I109" s="9">
        <f t="shared" si="12"/>
        <v>-5.4282821217322925E-2</v>
      </c>
      <c r="J109" s="9">
        <f t="shared" si="13"/>
        <v>16.323870315531568</v>
      </c>
    </row>
    <row r="110" spans="2:10" x14ac:dyDescent="0.25">
      <c r="B110" s="1">
        <v>44120</v>
      </c>
      <c r="C110" s="13">
        <v>119.02</v>
      </c>
      <c r="D110" s="6">
        <f t="shared" si="7"/>
        <v>-1.4000497059067141E-2</v>
      </c>
      <c r="E110" s="14">
        <f t="shared" si="8"/>
        <v>5.9009499573286258E-4</v>
      </c>
      <c r="F110" s="9">
        <f t="shared" si="9"/>
        <v>16.487810241733051</v>
      </c>
      <c r="G110" s="9">
        <f t="shared" si="10"/>
        <v>-0.62731753151357139</v>
      </c>
      <c r="H110" s="9">
        <f t="shared" si="11"/>
        <v>1.073216949039435E-2</v>
      </c>
      <c r="I110" s="9">
        <f t="shared" si="12"/>
        <v>-2.6686217686036674E-2</v>
      </c>
      <c r="J110" s="9">
        <f t="shared" si="13"/>
        <v>15.844538662023838</v>
      </c>
    </row>
    <row r="111" spans="2:10" x14ac:dyDescent="0.25">
      <c r="B111" s="1">
        <v>44119</v>
      </c>
      <c r="C111" s="13">
        <v>120.71</v>
      </c>
      <c r="D111" s="6">
        <f t="shared" si="7"/>
        <v>-3.9607228319168408E-3</v>
      </c>
      <c r="E111" s="14">
        <f t="shared" si="8"/>
        <v>5.8732452391933789E-4</v>
      </c>
      <c r="F111" s="9">
        <f t="shared" si="9"/>
        <v>16.492516256675593</v>
      </c>
      <c r="G111" s="9">
        <f t="shared" si="10"/>
        <v>-0.20853232016106424</v>
      </c>
      <c r="H111" s="9">
        <f t="shared" si="11"/>
        <v>3.8749732832395528E-3</v>
      </c>
      <c r="I111" s="9">
        <f t="shared" si="12"/>
        <v>-1.3607020761891417E-2</v>
      </c>
      <c r="J111" s="9">
        <f t="shared" si="13"/>
        <v>16.274251889035874</v>
      </c>
    </row>
    <row r="112" spans="2:10" x14ac:dyDescent="0.25">
      <c r="B112" s="1">
        <v>44118</v>
      </c>
      <c r="C112" s="13">
        <v>121.19</v>
      </c>
      <c r="D112" s="6">
        <f t="shared" si="7"/>
        <v>7.4318744838985928E-4</v>
      </c>
      <c r="E112" s="14">
        <f t="shared" si="8"/>
        <v>5.9149021493700273E-4</v>
      </c>
      <c r="F112" s="9">
        <f t="shared" si="9"/>
        <v>16.485448634901839</v>
      </c>
      <c r="G112" s="9">
        <f t="shared" si="10"/>
        <v>-2.6474614066986788E-2</v>
      </c>
      <c r="H112" s="9">
        <f t="shared" si="11"/>
        <v>-3.4695617553792608E-3</v>
      </c>
      <c r="I112" s="9">
        <f t="shared" si="12"/>
        <v>-2.4840275935507274E-2</v>
      </c>
      <c r="J112" s="9">
        <f t="shared" si="13"/>
        <v>16.430664183143964</v>
      </c>
    </row>
    <row r="113" spans="2:10" x14ac:dyDescent="0.25">
      <c r="B113" s="1">
        <v>44117</v>
      </c>
      <c r="C113" s="13">
        <v>121.1</v>
      </c>
      <c r="D113" s="6">
        <f t="shared" si="7"/>
        <v>-2.6527331189710734E-2</v>
      </c>
      <c r="E113" s="14">
        <f t="shared" si="8"/>
        <v>5.9199431038661689E-4</v>
      </c>
      <c r="F113" s="9">
        <f t="shared" si="9"/>
        <v>16.484596751384458</v>
      </c>
      <c r="G113" s="9">
        <f t="shared" si="10"/>
        <v>-6.6221467438849584E-4</v>
      </c>
      <c r="H113" s="9">
        <f t="shared" si="11"/>
        <v>-1.4412703867086902E-4</v>
      </c>
      <c r="I113" s="9">
        <f t="shared" si="12"/>
        <v>-1.6545246461817251E-4</v>
      </c>
      <c r="J113" s="9">
        <f t="shared" si="13"/>
        <v>16.483624957206782</v>
      </c>
    </row>
    <row r="114" spans="2:10" x14ac:dyDescent="0.25">
      <c r="B114" s="1">
        <v>44116</v>
      </c>
      <c r="C114" s="13">
        <v>124.4</v>
      </c>
      <c r="D114" s="6">
        <f t="shared" si="7"/>
        <v>6.3520560827562633E-2</v>
      </c>
      <c r="E114" s="14">
        <f t="shared" si="8"/>
        <v>5.8826559007291016E-4</v>
      </c>
      <c r="F114" s="9">
        <f t="shared" si="9"/>
        <v>16.490915245671189</v>
      </c>
      <c r="G114" s="9">
        <f t="shared" si="10"/>
        <v>-0.67574216313720603</v>
      </c>
      <c r="H114" s="9">
        <f t="shared" si="11"/>
        <v>1.0361044789735322E-2</v>
      </c>
      <c r="I114" s="9">
        <f t="shared" si="12"/>
        <v>-2.3898453646653581E-2</v>
      </c>
      <c r="J114" s="9">
        <f t="shared" si="13"/>
        <v>15.801635673677065</v>
      </c>
    </row>
    <row r="115" spans="2:10" x14ac:dyDescent="0.25">
      <c r="B115" s="1">
        <v>44113</v>
      </c>
      <c r="C115" s="13">
        <v>116.97</v>
      </c>
      <c r="D115" s="6">
        <f t="shared" si="7"/>
        <v>1.7395842393667982E-2</v>
      </c>
      <c r="E115" s="14">
        <f t="shared" si="8"/>
        <v>5.7049903790766293E-4</v>
      </c>
      <c r="F115" s="9">
        <f t="shared" si="9"/>
        <v>16.521582292490145</v>
      </c>
      <c r="G115" s="9">
        <f t="shared" si="10"/>
        <v>-3.3673200697204448</v>
      </c>
      <c r="H115" s="9">
        <f t="shared" si="11"/>
        <v>-0.13609775892224951</v>
      </c>
      <c r="I115" s="9">
        <f t="shared" si="12"/>
        <v>-0.51939127797435658</v>
      </c>
      <c r="J115" s="9">
        <f t="shared" si="13"/>
        <v>12.498773185873093</v>
      </c>
    </row>
    <row r="116" spans="2:10" x14ac:dyDescent="0.25">
      <c r="B116" s="1">
        <v>44112</v>
      </c>
      <c r="C116" s="13">
        <v>114.97</v>
      </c>
      <c r="D116" s="6">
        <f t="shared" si="7"/>
        <v>-9.5585679527288026E-4</v>
      </c>
      <c r="E116" s="14">
        <f t="shared" si="8"/>
        <v>5.7440618984195928E-4</v>
      </c>
      <c r="F116" s="9">
        <f t="shared" si="9"/>
        <v>16.514756981525654</v>
      </c>
      <c r="G116" s="9">
        <f t="shared" si="10"/>
        <v>-0.2170773806460578</v>
      </c>
      <c r="H116" s="9">
        <f t="shared" si="11"/>
        <v>9.556845522768179E-3</v>
      </c>
      <c r="I116" s="9">
        <f t="shared" si="12"/>
        <v>-2.2710439905926132E-2</v>
      </c>
      <c r="J116" s="9">
        <f t="shared" si="13"/>
        <v>16.284526006496442</v>
      </c>
    </row>
    <row r="117" spans="2:10" x14ac:dyDescent="0.25">
      <c r="B117" s="1">
        <v>44111</v>
      </c>
      <c r="C117" s="13">
        <v>115.08</v>
      </c>
      <c r="D117" s="6">
        <f t="shared" si="7"/>
        <v>1.6967126193001114E-2</v>
      </c>
      <c r="E117" s="14">
        <f t="shared" si="8"/>
        <v>5.7683015481655277E-4</v>
      </c>
      <c r="F117" s="9">
        <f t="shared" si="9"/>
        <v>16.510545911282996</v>
      </c>
      <c r="G117" s="9">
        <f t="shared" si="10"/>
        <v>-5.8012724758857489E-3</v>
      </c>
      <c r="H117" s="9">
        <f t="shared" si="11"/>
        <v>-1.067894501042263E-3</v>
      </c>
      <c r="I117" s="9">
        <f t="shared" si="12"/>
        <v>-8.2567124139675419E-3</v>
      </c>
      <c r="J117" s="9">
        <f t="shared" si="13"/>
        <v>16.495420031892102</v>
      </c>
    </row>
    <row r="118" spans="2:10" x14ac:dyDescent="0.25">
      <c r="B118" s="1">
        <v>44110</v>
      </c>
      <c r="C118" s="13">
        <v>113.16</v>
      </c>
      <c r="D118" s="6">
        <f t="shared" si="7"/>
        <v>-2.8669527896995728E-2</v>
      </c>
      <c r="E118" s="14">
        <f t="shared" si="8"/>
        <v>5.7558416447406975E-4</v>
      </c>
      <c r="F118" s="9">
        <f t="shared" si="9"/>
        <v>16.512708312091704</v>
      </c>
      <c r="G118" s="9">
        <f t="shared" si="10"/>
        <v>-0.20501354214843159</v>
      </c>
      <c r="H118" s="9">
        <f t="shared" si="11"/>
        <v>-8.769417304428708E-4</v>
      </c>
      <c r="I118" s="9">
        <f t="shared" si="12"/>
        <v>-3.1337727952136878E-3</v>
      </c>
      <c r="J118" s="9">
        <f t="shared" si="13"/>
        <v>16.303684055417616</v>
      </c>
    </row>
    <row r="119" spans="2:10" x14ac:dyDescent="0.25">
      <c r="B119" s="1">
        <v>44109</v>
      </c>
      <c r="C119" s="13">
        <v>116.5</v>
      </c>
      <c r="D119" s="6">
        <f t="shared" si="7"/>
        <v>3.0791010440629929E-2</v>
      </c>
      <c r="E119" s="14">
        <f t="shared" si="8"/>
        <v>5.6805667176061604E-4</v>
      </c>
      <c r="F119" s="9">
        <f t="shared" si="9"/>
        <v>16.525872587418391</v>
      </c>
      <c r="G119" s="9">
        <f t="shared" si="10"/>
        <v>-0.8103214332053803</v>
      </c>
      <c r="H119" s="9">
        <f t="shared" si="11"/>
        <v>2.6527135640547456E-2</v>
      </c>
      <c r="I119" s="9">
        <f t="shared" si="12"/>
        <v>-9.5581069418413545E-2</v>
      </c>
      <c r="J119" s="9">
        <f t="shared" si="13"/>
        <v>15.646497220435144</v>
      </c>
    </row>
    <row r="120" spans="2:10" x14ac:dyDescent="0.25">
      <c r="B120" s="1">
        <v>44106</v>
      </c>
      <c r="C120" s="13">
        <v>113.02</v>
      </c>
      <c r="D120" s="6">
        <f t="shared" si="7"/>
        <v>-3.2280160972686156E-2</v>
      </c>
      <c r="E120" s="14">
        <f t="shared" si="8"/>
        <v>5.7997302153933738E-4</v>
      </c>
      <c r="F120" s="9">
        <f t="shared" si="9"/>
        <v>16.505112187517582</v>
      </c>
      <c r="G120" s="9">
        <f t="shared" si="10"/>
        <v>-0.73541008567468868</v>
      </c>
      <c r="H120" s="9">
        <f t="shared" si="11"/>
        <v>4.7285152929196272E-2</v>
      </c>
      <c r="I120" s="9">
        <f t="shared" si="12"/>
        <v>-0.22020409109183237</v>
      </c>
      <c r="J120" s="9">
        <f t="shared" si="13"/>
        <v>15.596783163680259</v>
      </c>
    </row>
    <row r="121" spans="2:10" x14ac:dyDescent="0.25">
      <c r="B121" s="1">
        <v>44105</v>
      </c>
      <c r="C121" s="13">
        <v>116.79</v>
      </c>
      <c r="D121" s="6">
        <f t="shared" si="7"/>
        <v>8.4621362576633441E-3</v>
      </c>
      <c r="E121" s="14">
        <f t="shared" si="8"/>
        <v>5.7045875406070367E-4</v>
      </c>
      <c r="F121" s="9">
        <f t="shared" si="9"/>
        <v>16.521652906578169</v>
      </c>
      <c r="G121" s="9">
        <f t="shared" si="10"/>
        <v>-1.0106966227015035</v>
      </c>
      <c r="H121" s="9">
        <f t="shared" si="11"/>
        <v>3.8295517871449566E-2</v>
      </c>
      <c r="I121" s="9">
        <f t="shared" si="12"/>
        <v>-0.15102712351161626</v>
      </c>
      <c r="J121" s="9">
        <f t="shared" si="13"/>
        <v>15.398224678236499</v>
      </c>
    </row>
    <row r="122" spans="2:10" x14ac:dyDescent="0.25">
      <c r="B122" s="1">
        <v>44104</v>
      </c>
      <c r="C122" s="13">
        <v>115.81</v>
      </c>
      <c r="D122" s="6">
        <f t="shared" si="7"/>
        <v>1.5075817337189878E-2</v>
      </c>
      <c r="E122" s="14">
        <f t="shared" si="8"/>
        <v>5.7039731195775622E-4</v>
      </c>
      <c r="F122" s="9">
        <f t="shared" si="9"/>
        <v>16.521760618856408</v>
      </c>
      <c r="G122" s="9">
        <f t="shared" si="10"/>
        <v>-4.1070106468745225E-2</v>
      </c>
      <c r="H122" s="9">
        <f t="shared" si="11"/>
        <v>6.5524675576761413E-4</v>
      </c>
      <c r="I122" s="9">
        <f t="shared" si="12"/>
        <v>-6.7527202531425068E-5</v>
      </c>
      <c r="J122" s="9">
        <f t="shared" si="13"/>
        <v>16.481278231940898</v>
      </c>
    </row>
    <row r="123" spans="2:10" x14ac:dyDescent="0.25">
      <c r="B123" s="1">
        <v>44103</v>
      </c>
      <c r="C123" s="13">
        <v>114.09</v>
      </c>
      <c r="D123" s="6">
        <f t="shared" si="7"/>
        <v>-7.5678496868475387E-3</v>
      </c>
      <c r="E123" s="14">
        <f t="shared" si="8"/>
        <v>5.7309992388556005E-4</v>
      </c>
      <c r="F123" s="9">
        <f t="shared" si="9"/>
        <v>16.517033686642975</v>
      </c>
      <c r="G123" s="9">
        <f t="shared" si="10"/>
        <v>-0.15825906060163977</v>
      </c>
      <c r="H123" s="9">
        <f t="shared" si="11"/>
        <v>6.0792636155174874E-3</v>
      </c>
      <c r="I123" s="9">
        <f t="shared" si="12"/>
        <v>-1.0526131155763258E-2</v>
      </c>
      <c r="J123" s="9">
        <f t="shared" si="13"/>
        <v>16.354327758501089</v>
      </c>
    </row>
    <row r="124" spans="2:10" x14ac:dyDescent="0.25">
      <c r="B124" s="1">
        <v>44102</v>
      </c>
      <c r="C124" s="13">
        <v>114.96</v>
      </c>
      <c r="D124" s="6">
        <f t="shared" si="7"/>
        <v>2.386889918061974E-2</v>
      </c>
      <c r="E124" s="14">
        <f t="shared" si="8"/>
        <v>5.740714433933316E-4</v>
      </c>
      <c r="F124" s="9">
        <f t="shared" si="9"/>
        <v>16.515339920972483</v>
      </c>
      <c r="G124" s="9">
        <f t="shared" si="10"/>
        <v>-7.3860041203029442E-2</v>
      </c>
      <c r="H124" s="9">
        <f t="shared" si="11"/>
        <v>-2.0993109420618314E-3</v>
      </c>
      <c r="I124" s="9">
        <f t="shared" si="12"/>
        <v>-1.0891625486884977E-3</v>
      </c>
      <c r="J124" s="9">
        <f t="shared" si="13"/>
        <v>16.438291406278704</v>
      </c>
    </row>
    <row r="125" spans="2:10" x14ac:dyDescent="0.25">
      <c r="B125" s="1">
        <v>44099</v>
      </c>
      <c r="C125" s="13">
        <v>112.28</v>
      </c>
      <c r="D125" s="6">
        <f t="shared" si="7"/>
        <v>3.7516170763260082E-2</v>
      </c>
      <c r="E125" s="14">
        <f t="shared" si="8"/>
        <v>6.2726014402428277E-4</v>
      </c>
      <c r="F125" s="9">
        <f t="shared" si="9"/>
        <v>16.426732418054236</v>
      </c>
      <c r="G125" s="9">
        <f t="shared" si="10"/>
        <v>-0.39549016928818947</v>
      </c>
      <c r="H125" s="9">
        <f t="shared" si="11"/>
        <v>0.1415541543352028</v>
      </c>
      <c r="I125" s="9">
        <f t="shared" si="12"/>
        <v>-4.1295152801577428</v>
      </c>
      <c r="J125" s="9">
        <f t="shared" si="13"/>
        <v>12.043281122943505</v>
      </c>
    </row>
    <row r="126" spans="2:10" x14ac:dyDescent="0.25">
      <c r="B126" s="1">
        <v>44098</v>
      </c>
      <c r="C126" s="13">
        <v>108.22</v>
      </c>
      <c r="D126" s="6">
        <f t="shared" si="7"/>
        <v>1.026885735623595E-2</v>
      </c>
      <c r="E126" s="14">
        <f t="shared" si="8"/>
        <v>6.2178256003707843E-4</v>
      </c>
      <c r="F126" s="9">
        <f t="shared" si="9"/>
        <v>16.435503325701646</v>
      </c>
      <c r="G126" s="9">
        <f t="shared" si="10"/>
        <v>-1.0388028713706094</v>
      </c>
      <c r="H126" s="9">
        <f t="shared" si="11"/>
        <v>-1.9959301590181184E-2</v>
      </c>
      <c r="I126" s="9">
        <f t="shared" si="12"/>
        <v>-4.83626690369389E-2</v>
      </c>
      <c r="J126" s="9">
        <f t="shared" si="13"/>
        <v>15.328378483703917</v>
      </c>
    </row>
    <row r="127" spans="2:10" x14ac:dyDescent="0.25">
      <c r="B127" s="1">
        <v>44097</v>
      </c>
      <c r="C127" s="13">
        <v>107.12</v>
      </c>
      <c r="D127" s="6">
        <f t="shared" si="7"/>
        <v>-4.1946158662015898E-2</v>
      </c>
      <c r="E127" s="14">
        <f t="shared" si="8"/>
        <v>6.2268395104698592E-4</v>
      </c>
      <c r="F127" s="9">
        <f t="shared" si="9"/>
        <v>16.434054687012676</v>
      </c>
      <c r="G127" s="9">
        <f t="shared" si="10"/>
        <v>-6.0140180557860599E-2</v>
      </c>
      <c r="H127" s="9">
        <f t="shared" si="11"/>
        <v>1.7469144201351884E-3</v>
      </c>
      <c r="I127" s="9">
        <f t="shared" si="12"/>
        <v>-6.7023504409125694E-4</v>
      </c>
      <c r="J127" s="9">
        <f t="shared" si="13"/>
        <v>16.374991185830861</v>
      </c>
    </row>
    <row r="128" spans="2:10" x14ac:dyDescent="0.25">
      <c r="B128" s="1">
        <v>44096</v>
      </c>
      <c r="C128" s="13">
        <v>111.81</v>
      </c>
      <c r="D128" s="6">
        <f t="shared" si="7"/>
        <v>1.5715843023255793E-2</v>
      </c>
      <c r="E128" s="14">
        <f t="shared" si="8"/>
        <v>6.3198764318840128E-4</v>
      </c>
      <c r="F128" s="9">
        <f t="shared" si="9"/>
        <v>16.419223933350231</v>
      </c>
      <c r="G128" s="9">
        <f t="shared" si="10"/>
        <v>-1.5065714230755691</v>
      </c>
      <c r="H128" s="9">
        <f t="shared" si="11"/>
        <v>-5.1514655826989525E-2</v>
      </c>
      <c r="I128" s="9">
        <f t="shared" si="12"/>
        <v>-0.11996098539273548</v>
      </c>
      <c r="J128" s="9">
        <f t="shared" si="13"/>
        <v>14.741176869054938</v>
      </c>
    </row>
    <row r="129" spans="2:10" x14ac:dyDescent="0.25">
      <c r="B129" s="1">
        <v>44095</v>
      </c>
      <c r="C129" s="13">
        <v>110.08</v>
      </c>
      <c r="D129" s="6">
        <f t="shared" si="7"/>
        <v>3.0325720703856085E-2</v>
      </c>
      <c r="E129" s="14">
        <f t="shared" si="8"/>
        <v>6.3141882114128964E-4</v>
      </c>
      <c r="F129" s="9">
        <f t="shared" si="9"/>
        <v>16.420124391123096</v>
      </c>
      <c r="G129" s="9">
        <f t="shared" si="10"/>
        <v>-0.15763944790030474</v>
      </c>
      <c r="H129" s="9">
        <f t="shared" si="11"/>
        <v>3.8303005341580517E-4</v>
      </c>
      <c r="I129" s="9">
        <f t="shared" si="12"/>
        <v>-9.6593398899902296E-4</v>
      </c>
      <c r="J129" s="9">
        <f t="shared" si="13"/>
        <v>16.261902039287207</v>
      </c>
    </row>
    <row r="130" spans="2:10" x14ac:dyDescent="0.25">
      <c r="B130" s="1">
        <v>44092</v>
      </c>
      <c r="C130" s="13">
        <v>106.84</v>
      </c>
      <c r="D130" s="6">
        <f t="shared" si="7"/>
        <v>-3.1720137756026778E-2</v>
      </c>
      <c r="E130" s="14">
        <f t="shared" si="8"/>
        <v>6.3068912543519677E-4</v>
      </c>
      <c r="F130" s="9">
        <f t="shared" si="9"/>
        <v>16.421280703924033</v>
      </c>
      <c r="G130" s="9">
        <f t="shared" si="10"/>
        <v>-0.65486600749844637</v>
      </c>
      <c r="H130" s="9">
        <f t="shared" si="11"/>
        <v>2.3985872756763119E-4</v>
      </c>
      <c r="I130" s="9">
        <f t="shared" si="12"/>
        <v>-1.3844538153324779E-3</v>
      </c>
      <c r="J130" s="9">
        <f t="shared" si="13"/>
        <v>15.765270101337823</v>
      </c>
    </row>
    <row r="131" spans="2:10" x14ac:dyDescent="0.25">
      <c r="B131" s="1">
        <v>44091</v>
      </c>
      <c r="C131" s="13">
        <v>110.34</v>
      </c>
      <c r="D131" s="6">
        <f t="shared" si="7"/>
        <v>-1.5963613662712817E-2</v>
      </c>
      <c r="E131" s="14">
        <f t="shared" si="8"/>
        <v>6.3736149541508073E-4</v>
      </c>
      <c r="F131" s="9">
        <f t="shared" si="9"/>
        <v>16.410756784055099</v>
      </c>
      <c r="G131" s="9">
        <f t="shared" si="10"/>
        <v>-0.87497100498048108</v>
      </c>
      <c r="H131" s="9">
        <f t="shared" si="11"/>
        <v>-2.8912610755975975E-2</v>
      </c>
      <c r="I131" s="9">
        <f t="shared" si="12"/>
        <v>-5.971862245819725E-2</v>
      </c>
      <c r="J131" s="9">
        <f t="shared" si="13"/>
        <v>15.447154545860446</v>
      </c>
    </row>
    <row r="132" spans="2:10" x14ac:dyDescent="0.25">
      <c r="B132" s="1">
        <v>44090</v>
      </c>
      <c r="C132" s="13">
        <v>112.13</v>
      </c>
      <c r="D132" s="6">
        <f t="shared" si="7"/>
        <v>-2.9513588367664934E-2</v>
      </c>
      <c r="E132" s="14">
        <f t="shared" si="8"/>
        <v>6.5256358883083608E-4</v>
      </c>
      <c r="F132" s="9">
        <f t="shared" si="9"/>
        <v>16.387185186793484</v>
      </c>
      <c r="G132" s="9">
        <f t="shared" si="10"/>
        <v>-0.23779878892640408</v>
      </c>
      <c r="H132" s="9">
        <f t="shared" si="11"/>
        <v>-3.189809438263868E-2</v>
      </c>
      <c r="I132" s="9">
        <f t="shared" si="12"/>
        <v>-0.31528028740146263</v>
      </c>
      <c r="J132" s="9">
        <f t="shared" si="13"/>
        <v>15.802208016082977</v>
      </c>
    </row>
    <row r="133" spans="2:10" x14ac:dyDescent="0.25">
      <c r="B133" s="1">
        <v>44089</v>
      </c>
      <c r="C133" s="13">
        <v>115.54</v>
      </c>
      <c r="D133" s="6">
        <f t="shared" si="7"/>
        <v>1.6037449612067434E-3</v>
      </c>
      <c r="E133" s="14">
        <f t="shared" si="8"/>
        <v>6.433919048936704E-4</v>
      </c>
      <c r="F133" s="9">
        <f t="shared" si="9"/>
        <v>16.40133974242611</v>
      </c>
      <c r="G133" s="9">
        <f t="shared" si="10"/>
        <v>-0.75585943154423807</v>
      </c>
      <c r="H133" s="9">
        <f t="shared" si="11"/>
        <v>2.995796551042669E-2</v>
      </c>
      <c r="I133" s="9">
        <f t="shared" si="12"/>
        <v>-0.12782361377251664</v>
      </c>
      <c r="J133" s="9">
        <f t="shared" si="13"/>
        <v>15.547614662619782</v>
      </c>
    </row>
    <row r="134" spans="2:10" x14ac:dyDescent="0.25">
      <c r="B134" s="1">
        <v>44088</v>
      </c>
      <c r="C134" s="13">
        <v>115.355</v>
      </c>
      <c r="D134" s="6">
        <f t="shared" si="7"/>
        <v>2.9955357142857242E-2</v>
      </c>
      <c r="E134" s="14">
        <f t="shared" si="8"/>
        <v>7.1749013967072604E-4</v>
      </c>
      <c r="F134" s="9">
        <f t="shared" si="9"/>
        <v>16.292334570468711</v>
      </c>
      <c r="G134" s="9">
        <f t="shared" si="10"/>
        <v>-3.8940620096588366E-7</v>
      </c>
      <c r="H134" s="9">
        <f t="shared" si="11"/>
        <v>-1.8219589166855078E-4</v>
      </c>
      <c r="I134" s="9">
        <f t="shared" si="12"/>
        <v>-6.9959386410788618</v>
      </c>
      <c r="J134" s="9">
        <f t="shared" si="13"/>
        <v>9.2962133440919814</v>
      </c>
    </row>
    <row r="135" spans="2:10" x14ac:dyDescent="0.25">
      <c r="B135" s="1">
        <v>44085</v>
      </c>
      <c r="C135" s="13">
        <v>112</v>
      </c>
      <c r="D135" s="6">
        <f t="shared" si="7"/>
        <v>-1.3128910036126484E-2</v>
      </c>
      <c r="E135" s="14">
        <f t="shared" si="8"/>
        <v>7.1898908567265643E-4</v>
      </c>
      <c r="F135" s="9">
        <f t="shared" si="9"/>
        <v>16.290247597654162</v>
      </c>
      <c r="G135" s="9">
        <f t="shared" si="10"/>
        <v>-0.55970998868121458</v>
      </c>
      <c r="H135" s="9">
        <f t="shared" si="11"/>
        <v>6.7004327868847779E-3</v>
      </c>
      <c r="I135" s="9">
        <f t="shared" si="12"/>
        <v>-1.5840952574805364E-3</v>
      </c>
      <c r="J135" s="9">
        <f t="shared" si="13"/>
        <v>15.735653946502349</v>
      </c>
    </row>
    <row r="136" spans="2:10" x14ac:dyDescent="0.25">
      <c r="B136" s="1">
        <v>44084</v>
      </c>
      <c r="C136" s="13">
        <v>113.49</v>
      </c>
      <c r="D136" s="6">
        <f t="shared" si="7"/>
        <v>-3.2645755199454451E-2</v>
      </c>
      <c r="E136" s="14">
        <f t="shared" si="8"/>
        <v>7.5592109241642076E-4</v>
      </c>
      <c r="F136" s="9">
        <f t="shared" si="9"/>
        <v>16.240156779767343</v>
      </c>
      <c r="G136" s="9">
        <f t="shared" si="10"/>
        <v>-0.14445392208698599</v>
      </c>
      <c r="H136" s="9">
        <f t="shared" si="11"/>
        <v>-5.446474768479527E-2</v>
      </c>
      <c r="I136" s="9">
        <f t="shared" si="12"/>
        <v>-1.6265680409638179</v>
      </c>
      <c r="J136" s="9">
        <f t="shared" si="13"/>
        <v>14.414670069031743</v>
      </c>
    </row>
    <row r="137" spans="2:10" x14ac:dyDescent="0.25">
      <c r="B137" s="1">
        <v>44083</v>
      </c>
      <c r="C137" s="13">
        <v>117.32</v>
      </c>
      <c r="D137" s="6">
        <f t="shared" si="7"/>
        <v>3.9886544938840585E-2</v>
      </c>
      <c r="E137" s="14">
        <f t="shared" si="8"/>
        <v>7.4520224556135406E-4</v>
      </c>
      <c r="F137" s="9">
        <f t="shared" si="9"/>
        <v>16.254438123298613</v>
      </c>
      <c r="G137" s="9">
        <f t="shared" si="10"/>
        <v>-0.79047109723004572</v>
      </c>
      <c r="H137" s="9">
        <f t="shared" si="11"/>
        <v>3.372809714269509E-2</v>
      </c>
      <c r="I137" s="9">
        <f t="shared" si="12"/>
        <v>-0.15414274545840714</v>
      </c>
      <c r="J137" s="9">
        <f t="shared" si="13"/>
        <v>15.343552377752856</v>
      </c>
    </row>
    <row r="138" spans="2:10" x14ac:dyDescent="0.25">
      <c r="B138" s="1">
        <v>44082</v>
      </c>
      <c r="C138" s="13">
        <v>112.82</v>
      </c>
      <c r="D138" s="6">
        <f t="shared" si="7"/>
        <v>-6.7294973544973602E-2</v>
      </c>
      <c r="E138" s="14">
        <f t="shared" si="8"/>
        <v>7.4275918372279485E-4</v>
      </c>
      <c r="F138" s="9">
        <f t="shared" si="9"/>
        <v>16.257721896635481</v>
      </c>
      <c r="G138" s="9">
        <f t="shared" si="10"/>
        <v>-0.98827298412850761</v>
      </c>
      <c r="H138" s="9">
        <f t="shared" si="11"/>
        <v>-6.2542606171756832E-3</v>
      </c>
      <c r="I138" s="9">
        <f t="shared" si="12"/>
        <v>-1.0251758521723149E-2</v>
      </c>
      <c r="J138" s="9">
        <f t="shared" si="13"/>
        <v>15.252942893368074</v>
      </c>
    </row>
    <row r="139" spans="2:10" x14ac:dyDescent="0.25">
      <c r="B139" s="1">
        <v>44078</v>
      </c>
      <c r="C139" s="13">
        <v>120.96</v>
      </c>
      <c r="D139" s="6">
        <f t="shared" si="7"/>
        <v>6.6181336863002649E-4</v>
      </c>
      <c r="E139" s="14">
        <f t="shared" si="8"/>
        <v>7.1069844849567284E-4</v>
      </c>
      <c r="F139" s="9">
        <f t="shared" si="9"/>
        <v>16.301845558623441</v>
      </c>
      <c r="G139" s="9">
        <f t="shared" si="10"/>
        <v>-3.3518741960961673</v>
      </c>
      <c r="H139" s="9">
        <f t="shared" si="11"/>
        <v>0.22415814028072747</v>
      </c>
      <c r="I139" s="9">
        <f t="shared" si="12"/>
        <v>-1.3675494572093643</v>
      </c>
      <c r="J139" s="9">
        <f t="shared" si="13"/>
        <v>11.806580045598636</v>
      </c>
    </row>
    <row r="140" spans="2:10" x14ac:dyDescent="0.25">
      <c r="B140" s="1">
        <v>44077</v>
      </c>
      <c r="C140" s="13">
        <v>120.88</v>
      </c>
      <c r="D140" s="6">
        <f t="shared" si="7"/>
        <v>-8.0060882800608857E-2</v>
      </c>
      <c r="E140" s="14">
        <f t="shared" si="8"/>
        <v>8.6056833663542562E-4</v>
      </c>
      <c r="F140" s="9">
        <f t="shared" si="9"/>
        <v>16.110500747858019</v>
      </c>
      <c r="G140" s="9">
        <f t="shared" si="10"/>
        <v>-5.4325576791781048E-4</v>
      </c>
      <c r="H140" s="9">
        <f t="shared" si="11"/>
        <v>-1.2499902407519777E-2</v>
      </c>
      <c r="I140" s="9">
        <f t="shared" si="12"/>
        <v>-23.911689951680472</v>
      </c>
      <c r="J140" s="9">
        <f t="shared" si="13"/>
        <v>-7.8142323619978917</v>
      </c>
    </row>
    <row r="141" spans="2:10" x14ac:dyDescent="0.25">
      <c r="B141" s="1">
        <v>44076</v>
      </c>
      <c r="C141" s="13">
        <v>131.4</v>
      </c>
      <c r="D141" s="6">
        <f t="shared" si="7"/>
        <v>-2.0718437919213017E-2</v>
      </c>
      <c r="E141" s="14">
        <f t="shared" si="8"/>
        <v>9.0731344223540789E-4</v>
      </c>
      <c r="F141" s="9">
        <f t="shared" si="9"/>
        <v>16.057605803677259</v>
      </c>
      <c r="G141" s="9">
        <f t="shared" si="10"/>
        <v>-3.6882038430468547</v>
      </c>
      <c r="H141" s="9">
        <f t="shared" si="11"/>
        <v>-0.31652747938890552</v>
      </c>
      <c r="I141" s="9">
        <f t="shared" si="12"/>
        <v>-2.1586901123308251</v>
      </c>
      <c r="J141" s="9">
        <f t="shared" si="13"/>
        <v>9.8941843689106719</v>
      </c>
    </row>
    <row r="142" spans="2:10" x14ac:dyDescent="0.25">
      <c r="B142" s="1">
        <v>44075</v>
      </c>
      <c r="C142" s="13">
        <v>134.18</v>
      </c>
      <c r="D142" s="6">
        <f t="shared" si="7"/>
        <v>3.9832610043397443E-2</v>
      </c>
      <c r="E142" s="14">
        <f t="shared" si="8"/>
        <v>9.9325663044993778E-4</v>
      </c>
      <c r="F142" s="9">
        <f t="shared" si="9"/>
        <v>15.967104705206808</v>
      </c>
      <c r="G142" s="9">
        <f t="shared" si="10"/>
        <v>-0.25210595145642378</v>
      </c>
      <c r="H142" s="9">
        <f t="shared" si="11"/>
        <v>-0.14430086966291691</v>
      </c>
      <c r="I142" s="9">
        <f t="shared" si="12"/>
        <v>-6.7358137502157316</v>
      </c>
      <c r="J142" s="9">
        <f t="shared" si="13"/>
        <v>8.8348841338717357</v>
      </c>
    </row>
    <row r="143" spans="2:10" x14ac:dyDescent="0.25">
      <c r="B143" s="1">
        <v>44074</v>
      </c>
      <c r="C143" s="13">
        <v>129.04</v>
      </c>
      <c r="D143" s="6">
        <f t="shared" si="7"/>
        <v>3.3908082815204077E-2</v>
      </c>
      <c r="E143" s="14">
        <f t="shared" si="8"/>
        <v>9.9718169919947868E-4</v>
      </c>
      <c r="F143" s="9">
        <f t="shared" si="9"/>
        <v>15.963160776094506</v>
      </c>
      <c r="G143" s="9">
        <f t="shared" si="10"/>
        <v>-0.73404945386469533</v>
      </c>
      <c r="H143" s="9">
        <f t="shared" si="11"/>
        <v>1.3388808098756994E-2</v>
      </c>
      <c r="I143" s="9">
        <f t="shared" si="12"/>
        <v>-8.7667431892145039E-3</v>
      </c>
      <c r="J143" s="9">
        <f t="shared" si="13"/>
        <v>15.233733387139353</v>
      </c>
    </row>
    <row r="144" spans="2:10" x14ac:dyDescent="0.25">
      <c r="B144" s="1">
        <v>44071</v>
      </c>
      <c r="C144" s="13">
        <v>124.80800000000001</v>
      </c>
      <c r="D144" s="6">
        <f t="shared" ref="D144:D207" si="14">C144/C145-1</f>
        <v>-1.6158707303415287E-3</v>
      </c>
      <c r="E144" s="14">
        <f t="shared" ref="E144:E207" si="15">_xlfn.VAR.S(D144:D264)</f>
        <v>1.0272838676595954E-3</v>
      </c>
      <c r="F144" s="9">
        <f t="shared" si="9"/>
        <v>15.933420198921219</v>
      </c>
      <c r="G144" s="9">
        <f t="shared" si="10"/>
        <v>-0.50868579088102972</v>
      </c>
      <c r="H144" s="9">
        <f t="shared" si="11"/>
        <v>7.1804255565680514E-2</v>
      </c>
      <c r="I144" s="9">
        <f t="shared" si="12"/>
        <v>-0.7669433147011806</v>
      </c>
      <c r="J144" s="9">
        <f t="shared" si="13"/>
        <v>14.72959534890469</v>
      </c>
    </row>
    <row r="145" spans="2:10" x14ac:dyDescent="0.25">
      <c r="B145" s="1">
        <v>44070</v>
      </c>
      <c r="C145" s="13">
        <v>125.01</v>
      </c>
      <c r="D145" s="6">
        <f t="shared" si="14"/>
        <v>-1.1950490823730231E-2</v>
      </c>
      <c r="E145" s="14">
        <f t="shared" si="15"/>
        <v>1.0863460438635091E-3</v>
      </c>
      <c r="F145" s="9">
        <f t="shared" ref="F145:F208" si="16">LN(2*PI())-LN($C$6)-LN(E145)-0.5*LN(1-POWER($C$7,2))</f>
        <v>15.877518684891871</v>
      </c>
      <c r="G145" s="9">
        <f t="shared" ref="G145:G208" si="17">-POWER(D144-1-$C$3,2)/(2*E145*(1-POWER($C$7,2)))</f>
        <v>-4.8555427270200744E-3</v>
      </c>
      <c r="H145" s="9">
        <f t="shared" ref="H145:H208" si="18">$C$7*(D144-1-$C$3)*(E144-E145-$C$5*$C$4)/(E145*$C$6*(1-POWER($C$7,2)))</f>
        <v>-1.3214850837085214E-2</v>
      </c>
      <c r="I145" s="9">
        <f t="shared" ref="I145:I208" si="19">-POWER(E144-E145-$C$5*$C$4+$C$4*E145,2)/(2*POWER($C$6,2)*E145*(1-POWER($C$7,2)))</f>
        <v>-2.8671901758957361</v>
      </c>
      <c r="J145" s="9">
        <f t="shared" ref="J145:J208" si="20">SUM(F145:I145)</f>
        <v>12.99225811543203</v>
      </c>
    </row>
    <row r="146" spans="2:10" x14ac:dyDescent="0.25">
      <c r="B146" s="1">
        <v>44069</v>
      </c>
      <c r="C146" s="13">
        <v>126.52200000000001</v>
      </c>
      <c r="D146" s="6">
        <f t="shared" si="14"/>
        <v>1.3595033046264859E-2</v>
      </c>
      <c r="E146" s="14">
        <f t="shared" si="15"/>
        <v>1.0867401329368134E-3</v>
      </c>
      <c r="F146" s="9">
        <f t="shared" si="16"/>
        <v>15.877155984984402</v>
      </c>
      <c r="G146" s="9">
        <f t="shared" si="17"/>
        <v>-8.5072445292638257E-2</v>
      </c>
      <c r="H146" s="9">
        <f t="shared" si="18"/>
        <v>-1.1040632386329734E-3</v>
      </c>
      <c r="I146" s="9">
        <f t="shared" si="19"/>
        <v>-3.0905292670145926E-4</v>
      </c>
      <c r="J146" s="9">
        <f t="shared" si="20"/>
        <v>15.790670423526429</v>
      </c>
    </row>
    <row r="147" spans="2:10" x14ac:dyDescent="0.25">
      <c r="B147" s="1">
        <v>44068</v>
      </c>
      <c r="C147" s="13">
        <v>124.825</v>
      </c>
      <c r="D147" s="6">
        <f t="shared" si="14"/>
        <v>-8.2076626038869449E-3</v>
      </c>
      <c r="E147" s="14">
        <f t="shared" si="15"/>
        <v>1.0977109047221585E-3</v>
      </c>
      <c r="F147" s="9">
        <f t="shared" si="16"/>
        <v>15.86711148058974</v>
      </c>
      <c r="G147" s="9">
        <f t="shared" si="17"/>
        <v>-6.5431298303107996E-2</v>
      </c>
      <c r="H147" s="9">
        <f t="shared" si="18"/>
        <v>9.4898174232281706E-3</v>
      </c>
      <c r="I147" s="9">
        <f t="shared" si="19"/>
        <v>-8.3412032204229103E-2</v>
      </c>
      <c r="J147" s="9">
        <f t="shared" si="20"/>
        <v>15.72775796750563</v>
      </c>
    </row>
    <row r="148" spans="2:10" x14ac:dyDescent="0.25">
      <c r="B148" s="1">
        <v>44067</v>
      </c>
      <c r="C148" s="13">
        <v>125.858</v>
      </c>
      <c r="D148" s="6">
        <f t="shared" si="14"/>
        <v>1.196430007236482E-2</v>
      </c>
      <c r="E148" s="14">
        <f t="shared" si="15"/>
        <v>1.1106077949012065E-3</v>
      </c>
      <c r="F148" s="9">
        <f t="shared" si="16"/>
        <v>15.855431067966327</v>
      </c>
      <c r="G148" s="9">
        <f t="shared" si="17"/>
        <v>-4.3675943060576018E-2</v>
      </c>
      <c r="H148" s="9">
        <f t="shared" si="18"/>
        <v>-8.969366960766249E-3</v>
      </c>
      <c r="I148" s="9">
        <f t="shared" si="19"/>
        <v>-0.11700884370025544</v>
      </c>
      <c r="J148" s="9">
        <f t="shared" si="20"/>
        <v>15.68577691424473</v>
      </c>
    </row>
    <row r="149" spans="2:10" x14ac:dyDescent="0.25">
      <c r="B149" s="1">
        <v>44064</v>
      </c>
      <c r="C149" s="13">
        <v>124.37</v>
      </c>
      <c r="D149" s="6">
        <f t="shared" si="14"/>
        <v>5.1532445571760732E-2</v>
      </c>
      <c r="E149" s="14">
        <f t="shared" si="15"/>
        <v>1.1214380656909642E-3</v>
      </c>
      <c r="F149" s="9">
        <f t="shared" si="16"/>
        <v>15.845726647482318</v>
      </c>
      <c r="G149" s="9">
        <f t="shared" si="17"/>
        <v>-4.7781845109754785E-2</v>
      </c>
      <c r="H149" s="9">
        <f t="shared" si="18"/>
        <v>7.9275358442397626E-3</v>
      </c>
      <c r="I149" s="9">
        <f t="shared" si="19"/>
        <v>-7.8725388420186782E-2</v>
      </c>
      <c r="J149" s="9">
        <f t="shared" si="20"/>
        <v>15.727146949796616</v>
      </c>
    </row>
    <row r="150" spans="2:10" x14ac:dyDescent="0.25">
      <c r="B150" s="1">
        <v>44063</v>
      </c>
      <c r="C150" s="13">
        <v>118.27500000000001</v>
      </c>
      <c r="D150" s="6">
        <f t="shared" si="14"/>
        <v>2.2185155736854867E-2</v>
      </c>
      <c r="E150" s="14">
        <f t="shared" si="15"/>
        <v>1.1681205848222611E-3</v>
      </c>
      <c r="F150" s="9">
        <f t="shared" si="16"/>
        <v>15.804942376899598</v>
      </c>
      <c r="G150" s="9">
        <f t="shared" si="17"/>
        <v>-1.0691912574982287</v>
      </c>
      <c r="H150" s="9">
        <f t="shared" si="18"/>
        <v>0.15000109943156795</v>
      </c>
      <c r="I150" s="9">
        <f t="shared" si="19"/>
        <v>-1.6409259688939524</v>
      </c>
      <c r="J150" s="9">
        <f t="shared" si="20"/>
        <v>13.244826249938985</v>
      </c>
    </row>
    <row r="151" spans="2:10" x14ac:dyDescent="0.25">
      <c r="B151" s="1">
        <v>44062</v>
      </c>
      <c r="C151" s="13">
        <v>115.708</v>
      </c>
      <c r="D151" s="6">
        <f t="shared" si="14"/>
        <v>1.2547268589426785E-3</v>
      </c>
      <c r="E151" s="14">
        <f t="shared" si="15"/>
        <v>1.1659299733437396E-3</v>
      </c>
      <c r="F151" s="9">
        <f t="shared" si="16"/>
        <v>15.806819467448532</v>
      </c>
      <c r="G151" s="9">
        <f t="shared" si="17"/>
        <v>-0.18177509115560606</v>
      </c>
      <c r="H151" s="9">
        <f t="shared" si="18"/>
        <v>-1.8117452274029186E-3</v>
      </c>
      <c r="I151" s="9">
        <f t="shared" si="19"/>
        <v>-8.7265459653890209E-3</v>
      </c>
      <c r="J151" s="9">
        <f t="shared" si="20"/>
        <v>15.614506085100134</v>
      </c>
    </row>
    <row r="152" spans="2:10" x14ac:dyDescent="0.25">
      <c r="B152" s="1">
        <v>44061</v>
      </c>
      <c r="C152" s="13">
        <v>115.563</v>
      </c>
      <c r="D152" s="6">
        <f t="shared" si="14"/>
        <v>8.3327516403741697E-3</v>
      </c>
      <c r="E152" s="14">
        <f t="shared" si="15"/>
        <v>1.2067051826055828E-3</v>
      </c>
      <c r="F152" s="9">
        <f t="shared" si="16"/>
        <v>15.772444840460171</v>
      </c>
      <c r="G152" s="9">
        <f t="shared" si="17"/>
        <v>-5.7701746383298288E-5</v>
      </c>
      <c r="H152" s="9">
        <f t="shared" si="18"/>
        <v>-9.4930647271138742E-4</v>
      </c>
      <c r="I152" s="9">
        <f t="shared" si="19"/>
        <v>-1.1992989987515752</v>
      </c>
      <c r="J152" s="9">
        <f t="shared" si="20"/>
        <v>14.572138833489502</v>
      </c>
    </row>
    <row r="153" spans="2:10" x14ac:dyDescent="0.25">
      <c r="B153" s="1">
        <v>44060</v>
      </c>
      <c r="C153" s="13">
        <v>114.608</v>
      </c>
      <c r="D153" s="6">
        <f t="shared" si="14"/>
        <v>-2.6107842795976E-3</v>
      </c>
      <c r="E153" s="14">
        <f t="shared" si="15"/>
        <v>1.2076709692038501E-3</v>
      </c>
      <c r="F153" s="9">
        <f t="shared" si="16"/>
        <v>15.771644810482195</v>
      </c>
      <c r="G153" s="9">
        <f t="shared" si="17"/>
        <v>-1.8670433118675896E-2</v>
      </c>
      <c r="H153" s="9">
        <f t="shared" si="18"/>
        <v>7.2535550568948682E-4</v>
      </c>
      <c r="I153" s="9">
        <f t="shared" si="19"/>
        <v>-4.0940025305517533E-5</v>
      </c>
      <c r="J153" s="9">
        <f t="shared" si="20"/>
        <v>15.753658792843904</v>
      </c>
    </row>
    <row r="154" spans="2:10" x14ac:dyDescent="0.25">
      <c r="B154" s="1">
        <v>44057</v>
      </c>
      <c r="C154" s="13">
        <v>114.908</v>
      </c>
      <c r="D154" s="6">
        <f t="shared" si="14"/>
        <v>-8.8687940179121849E-4</v>
      </c>
      <c r="E154" s="14">
        <f t="shared" si="15"/>
        <v>1.2194239975555463E-3</v>
      </c>
      <c r="F154" s="9">
        <f t="shared" si="16"/>
        <v>15.761959882302703</v>
      </c>
      <c r="G154" s="9">
        <f t="shared" si="17"/>
        <v>-7.3866532998580064E-3</v>
      </c>
      <c r="H154" s="9">
        <f t="shared" si="18"/>
        <v>-3.2262415044698239E-3</v>
      </c>
      <c r="I154" s="9">
        <f t="shared" si="19"/>
        <v>-8.4104317495096254E-2</v>
      </c>
      <c r="J154" s="9">
        <f t="shared" si="20"/>
        <v>15.667242670003279</v>
      </c>
    </row>
    <row r="155" spans="2:10" x14ac:dyDescent="0.25">
      <c r="B155" s="1">
        <v>44056</v>
      </c>
      <c r="C155" s="13">
        <v>115.01</v>
      </c>
      <c r="D155" s="6">
        <f t="shared" si="14"/>
        <v>1.7697548889478831E-2</v>
      </c>
      <c r="E155" s="14">
        <f t="shared" si="15"/>
        <v>1.2413282138233987E-3</v>
      </c>
      <c r="F155" s="9">
        <f t="shared" si="16"/>
        <v>15.744156549870938</v>
      </c>
      <c r="G155" s="9">
        <f t="shared" si="17"/>
        <v>-2.5537362133046513E-3</v>
      </c>
      <c r="H155" s="9">
        <f t="shared" si="18"/>
        <v>-3.4004615785052845E-3</v>
      </c>
      <c r="I155" s="9">
        <f t="shared" si="19"/>
        <v>-0.31739239952327103</v>
      </c>
      <c r="J155" s="9">
        <f t="shared" si="20"/>
        <v>15.420809952555857</v>
      </c>
    </row>
    <row r="156" spans="2:10" x14ac:dyDescent="0.25">
      <c r="B156" s="1">
        <v>44055</v>
      </c>
      <c r="C156" s="13">
        <v>113.01</v>
      </c>
      <c r="D156" s="6">
        <f t="shared" si="14"/>
        <v>3.3234285714285772E-2</v>
      </c>
      <c r="E156" s="14">
        <f t="shared" si="15"/>
        <v>1.2454284939451836E-3</v>
      </c>
      <c r="F156" s="9">
        <f t="shared" si="16"/>
        <v>15.740858853860077</v>
      </c>
      <c r="G156" s="9">
        <f t="shared" si="17"/>
        <v>-0.10398651954871113</v>
      </c>
      <c r="H156" s="9">
        <f t="shared" si="18"/>
        <v>4.6763291347397861E-3</v>
      </c>
      <c r="I156" s="9">
        <f t="shared" si="19"/>
        <v>-5.9856316518428375E-3</v>
      </c>
      <c r="J156" s="9">
        <f t="shared" si="20"/>
        <v>15.635563031794263</v>
      </c>
    </row>
    <row r="157" spans="2:10" x14ac:dyDescent="0.25">
      <c r="B157" s="1">
        <v>44054</v>
      </c>
      <c r="C157" s="13">
        <v>109.375</v>
      </c>
      <c r="D157" s="6">
        <f t="shared" si="14"/>
        <v>-2.9744162940884222E-2</v>
      </c>
      <c r="E157" s="14">
        <f t="shared" si="15"/>
        <v>1.2394851429473489E-3</v>
      </c>
      <c r="F157" s="9">
        <f t="shared" si="16"/>
        <v>15.745642410312724</v>
      </c>
      <c r="G157" s="9">
        <f t="shared" si="17"/>
        <v>-0.40418181122366931</v>
      </c>
      <c r="H157" s="9">
        <f t="shared" si="18"/>
        <v>-9.6961338780279689E-3</v>
      </c>
      <c r="I157" s="9">
        <f t="shared" si="19"/>
        <v>-3.8563562847828831E-2</v>
      </c>
      <c r="J157" s="9">
        <f t="shared" si="20"/>
        <v>15.293200902363198</v>
      </c>
    </row>
    <row r="158" spans="2:10" x14ac:dyDescent="0.25">
      <c r="B158" s="1">
        <v>44053</v>
      </c>
      <c r="C158" s="13">
        <v>112.72799999999999</v>
      </c>
      <c r="D158" s="6">
        <f t="shared" si="14"/>
        <v>1.4534752909200588E-2</v>
      </c>
      <c r="E158" s="14">
        <f t="shared" si="15"/>
        <v>1.2314340721739083E-3</v>
      </c>
      <c r="F158" s="9">
        <f t="shared" si="16"/>
        <v>15.752159093833844</v>
      </c>
      <c r="G158" s="9">
        <f t="shared" si="17"/>
        <v>-0.40078642285020333</v>
      </c>
      <c r="H158" s="9">
        <f t="shared" si="18"/>
        <v>1.3657208542125493E-2</v>
      </c>
      <c r="I158" s="9">
        <f t="shared" si="19"/>
        <v>-6.4710120026966689E-2</v>
      </c>
      <c r="J158" s="9">
        <f t="shared" si="20"/>
        <v>15.300319759498802</v>
      </c>
    </row>
    <row r="159" spans="2:10" x14ac:dyDescent="0.25">
      <c r="B159" s="1">
        <v>44050</v>
      </c>
      <c r="C159" s="13">
        <v>111.113</v>
      </c>
      <c r="D159" s="6">
        <f t="shared" si="14"/>
        <v>-2.4494526044090192E-2</v>
      </c>
      <c r="E159" s="14">
        <f t="shared" si="15"/>
        <v>1.2342973953740816E-3</v>
      </c>
      <c r="F159" s="9">
        <f t="shared" si="16"/>
        <v>15.749836598846114</v>
      </c>
      <c r="G159" s="9">
        <f t="shared" si="17"/>
        <v>-6.7687936368499318E-2</v>
      </c>
      <c r="H159" s="9">
        <f t="shared" si="18"/>
        <v>2.8333841010623026E-3</v>
      </c>
      <c r="I159" s="9">
        <f t="shared" si="19"/>
        <v>-1.9694313817216632E-3</v>
      </c>
      <c r="J159" s="9">
        <f t="shared" si="20"/>
        <v>15.683012615196956</v>
      </c>
    </row>
    <row r="160" spans="2:10" x14ac:dyDescent="0.25">
      <c r="B160" s="1">
        <v>44049</v>
      </c>
      <c r="C160" s="13">
        <v>113.90300000000001</v>
      </c>
      <c r="D160" s="6">
        <f t="shared" si="14"/>
        <v>3.4889108964865523E-2</v>
      </c>
      <c r="E160" s="14">
        <f t="shared" si="15"/>
        <v>1.2279351684318643E-3</v>
      </c>
      <c r="F160" s="9">
        <f t="shared" si="16"/>
        <v>15.755004462512042</v>
      </c>
      <c r="G160" s="9">
        <f t="shared" si="17"/>
        <v>-0.2786676294335253</v>
      </c>
      <c r="H160" s="9">
        <f t="shared" si="18"/>
        <v>8.7477271090624347E-3</v>
      </c>
      <c r="I160" s="9">
        <f t="shared" si="19"/>
        <v>-4.3373276966523822E-2</v>
      </c>
      <c r="J160" s="9">
        <f t="shared" si="20"/>
        <v>15.441711283221055</v>
      </c>
    </row>
    <row r="161" spans="2:10" x14ac:dyDescent="0.25">
      <c r="B161" s="1">
        <v>44048</v>
      </c>
      <c r="C161" s="13">
        <v>110.063</v>
      </c>
      <c r="D161" s="6">
        <f t="shared" si="14"/>
        <v>3.6292344868462667E-3</v>
      </c>
      <c r="E161" s="14">
        <f t="shared" si="15"/>
        <v>1.2204771857992737E-3</v>
      </c>
      <c r="F161" s="9">
        <f t="shared" si="16"/>
        <v>15.761096578234222</v>
      </c>
      <c r="G161" s="9">
        <f t="shared" si="17"/>
        <v>-0.45458391212662258</v>
      </c>
      <c r="H161" s="9">
        <f t="shared" si="18"/>
        <v>-1.3414932261210452E-2</v>
      </c>
      <c r="I161" s="9">
        <f t="shared" si="19"/>
        <v>-5.6980155536860547E-2</v>
      </c>
      <c r="J161" s="9">
        <f t="shared" si="20"/>
        <v>15.236117578309528</v>
      </c>
    </row>
    <row r="162" spans="2:10" x14ac:dyDescent="0.25">
      <c r="B162" s="1">
        <v>44047</v>
      </c>
      <c r="C162" s="13">
        <v>109.66500000000001</v>
      </c>
      <c r="D162" s="6">
        <f t="shared" si="14"/>
        <v>6.6735207182067047E-3</v>
      </c>
      <c r="E162" s="14">
        <f t="shared" si="15"/>
        <v>1.2240108284538003E-3</v>
      </c>
      <c r="F162" s="9">
        <f t="shared" si="16"/>
        <v>15.758205465579744</v>
      </c>
      <c r="G162" s="9">
        <f t="shared" si="17"/>
        <v>-1.6418994532353512E-3</v>
      </c>
      <c r="H162" s="9">
        <f t="shared" si="18"/>
        <v>5.242038299504095E-4</v>
      </c>
      <c r="I162" s="9">
        <f t="shared" si="19"/>
        <v>-4.0255639496234322E-3</v>
      </c>
      <c r="J162" s="9">
        <f t="shared" si="20"/>
        <v>15.753062206006836</v>
      </c>
    </row>
    <row r="163" spans="2:10" x14ac:dyDescent="0.25">
      <c r="B163" s="1">
        <v>44046</v>
      </c>
      <c r="C163" s="13">
        <v>108.938</v>
      </c>
      <c r="D163" s="6">
        <f t="shared" si="14"/>
        <v>2.5202333897986096E-2</v>
      </c>
      <c r="E163" s="14">
        <f t="shared" si="15"/>
        <v>1.2246152156473833E-3</v>
      </c>
      <c r="F163" s="9">
        <f t="shared" si="16"/>
        <v>15.757711811428418</v>
      </c>
      <c r="G163" s="9">
        <f t="shared" si="17"/>
        <v>-1.0427440122850264E-2</v>
      </c>
      <c r="H163" s="9">
        <f t="shared" si="18"/>
        <v>4.2820126808745205E-4</v>
      </c>
      <c r="I163" s="9">
        <f t="shared" si="19"/>
        <v>-2.9070709825102626E-4</v>
      </c>
      <c r="J163" s="9">
        <f t="shared" si="20"/>
        <v>15.747421865475404</v>
      </c>
    </row>
    <row r="164" spans="2:10" x14ac:dyDescent="0.25">
      <c r="B164" s="1">
        <v>44043</v>
      </c>
      <c r="C164" s="13">
        <v>106.26</v>
      </c>
      <c r="D164" s="6">
        <f t="shared" si="14"/>
        <v>0.1046886370724609</v>
      </c>
      <c r="E164" s="14">
        <f t="shared" si="15"/>
        <v>1.2205458393553352E-3</v>
      </c>
      <c r="F164" s="9">
        <f t="shared" si="16"/>
        <v>15.761040328411609</v>
      </c>
      <c r="G164" s="9">
        <f t="shared" si="17"/>
        <v>-0.22835053375487116</v>
      </c>
      <c r="H164" s="9">
        <f t="shared" si="18"/>
        <v>-4.6679474017459217E-3</v>
      </c>
      <c r="I164" s="9">
        <f t="shared" si="19"/>
        <v>-2.1163199832765787E-2</v>
      </c>
      <c r="J164" s="9">
        <f t="shared" si="20"/>
        <v>15.506858647422227</v>
      </c>
    </row>
    <row r="165" spans="2:10" x14ac:dyDescent="0.25">
      <c r="B165" s="1">
        <v>44042</v>
      </c>
      <c r="C165" s="13">
        <v>96.19</v>
      </c>
      <c r="D165" s="6">
        <f t="shared" si="14"/>
        <v>1.210016835016825E-2</v>
      </c>
      <c r="E165" s="14">
        <f t="shared" si="15"/>
        <v>1.1362662912376546E-3</v>
      </c>
      <c r="F165" s="9">
        <f t="shared" si="16"/>
        <v>15.832590792277051</v>
      </c>
      <c r="G165" s="9">
        <f t="shared" si="17"/>
        <v>-4.6877482770172039</v>
      </c>
      <c r="H165" s="9">
        <f t="shared" si="18"/>
        <v>-0.55986700998843719</v>
      </c>
      <c r="I165" s="9">
        <f t="shared" si="19"/>
        <v>-5.9237667597837236</v>
      </c>
      <c r="J165" s="9">
        <f t="shared" si="20"/>
        <v>4.6612087454876852</v>
      </c>
    </row>
    <row r="166" spans="2:10" x14ac:dyDescent="0.25">
      <c r="B166" s="1">
        <v>44041</v>
      </c>
      <c r="C166" s="13">
        <v>95.04</v>
      </c>
      <c r="D166" s="6">
        <f t="shared" si="14"/>
        <v>1.9162922372470748E-2</v>
      </c>
      <c r="E166" s="14">
        <f t="shared" si="15"/>
        <v>1.1361994564587845E-3</v>
      </c>
      <c r="F166" s="9">
        <f t="shared" si="16"/>
        <v>15.832649613651109</v>
      </c>
      <c r="G166" s="9">
        <f t="shared" si="17"/>
        <v>-4.8408980404295643E-2</v>
      </c>
      <c r="H166" s="9">
        <f t="shared" si="18"/>
        <v>5.0036617022649059E-4</v>
      </c>
      <c r="I166" s="9">
        <f t="shared" si="19"/>
        <v>-1.0672878454794821E-3</v>
      </c>
      <c r="J166" s="9">
        <f t="shared" si="20"/>
        <v>15.783673711571561</v>
      </c>
    </row>
    <row r="167" spans="2:10" x14ac:dyDescent="0.25">
      <c r="B167" s="1">
        <v>44040</v>
      </c>
      <c r="C167" s="13">
        <v>93.253</v>
      </c>
      <c r="D167" s="6">
        <f t="shared" si="14"/>
        <v>-1.642231832085228E-2</v>
      </c>
      <c r="E167" s="14">
        <f t="shared" si="15"/>
        <v>1.1340432645768833E-3</v>
      </c>
      <c r="F167" s="9">
        <f t="shared" si="16"/>
        <v>15.834549139644741</v>
      </c>
      <c r="G167" s="9">
        <f t="shared" si="17"/>
        <v>-0.13597641909604222</v>
      </c>
      <c r="H167" s="9">
        <f t="shared" si="18"/>
        <v>-1.5494968103036734E-3</v>
      </c>
      <c r="I167" s="9">
        <f t="shared" si="19"/>
        <v>-8.5067498775934138E-3</v>
      </c>
      <c r="J167" s="9">
        <f t="shared" si="20"/>
        <v>15.688516473860801</v>
      </c>
    </row>
    <row r="168" spans="2:10" x14ac:dyDescent="0.25">
      <c r="B168" s="1">
        <v>44039</v>
      </c>
      <c r="C168" s="13">
        <v>94.81</v>
      </c>
      <c r="D168" s="6">
        <f t="shared" si="14"/>
        <v>2.3700264535982285E-2</v>
      </c>
      <c r="E168" s="14">
        <f t="shared" si="15"/>
        <v>1.1391797575565433E-3</v>
      </c>
      <c r="F168" s="9">
        <f t="shared" si="16"/>
        <v>15.830030003887844</v>
      </c>
      <c r="G168" s="9">
        <f t="shared" si="17"/>
        <v>-0.14341659491914732</v>
      </c>
      <c r="H168" s="9">
        <f t="shared" si="18"/>
        <v>-6.9562206915090878E-3</v>
      </c>
      <c r="I168" s="9">
        <f t="shared" si="19"/>
        <v>-1.3319172261827307E-2</v>
      </c>
      <c r="J168" s="9">
        <f t="shared" si="20"/>
        <v>15.666338016015361</v>
      </c>
    </row>
    <row r="169" spans="2:10" x14ac:dyDescent="0.25">
      <c r="B169" s="1">
        <v>44036</v>
      </c>
      <c r="C169" s="13">
        <v>92.614999999999995</v>
      </c>
      <c r="D169" s="6">
        <f t="shared" si="14"/>
        <v>-2.4772470246109402E-3</v>
      </c>
      <c r="E169" s="14">
        <f t="shared" si="15"/>
        <v>1.1355146285437763E-3</v>
      </c>
      <c r="F169" s="9">
        <f t="shared" si="16"/>
        <v>15.833252531016699</v>
      </c>
      <c r="G169" s="9">
        <f t="shared" si="17"/>
        <v>-0.21516912269493568</v>
      </c>
      <c r="H169" s="9">
        <f t="shared" si="18"/>
        <v>-4.1167682135385218E-3</v>
      </c>
      <c r="I169" s="9">
        <f t="shared" si="19"/>
        <v>-1.8300994608224642E-2</v>
      </c>
      <c r="J169" s="9">
        <f t="shared" si="20"/>
        <v>15.595665645499999</v>
      </c>
    </row>
    <row r="170" spans="2:10" x14ac:dyDescent="0.25">
      <c r="B170" s="1">
        <v>44035</v>
      </c>
      <c r="C170" s="13">
        <v>92.844999999999999</v>
      </c>
      <c r="D170" s="6">
        <f t="shared" si="14"/>
        <v>-4.5511555226581235E-2</v>
      </c>
      <c r="E170" s="14">
        <f t="shared" si="15"/>
        <v>1.1531564994556296E-3</v>
      </c>
      <c r="F170" s="9">
        <f t="shared" si="16"/>
        <v>15.817835531931975</v>
      </c>
      <c r="G170" s="9">
        <f t="shared" si="17"/>
        <v>-7.3266563276890078E-3</v>
      </c>
      <c r="H170" s="9">
        <f t="shared" si="18"/>
        <v>-4.8540558177644459E-3</v>
      </c>
      <c r="I170" s="9">
        <f t="shared" si="19"/>
        <v>-0.21902866589810918</v>
      </c>
      <c r="J170" s="9">
        <f t="shared" si="20"/>
        <v>15.586626153888412</v>
      </c>
    </row>
    <row r="171" spans="2:10" x14ac:dyDescent="0.25">
      <c r="B171" s="1">
        <v>44034</v>
      </c>
      <c r="C171" s="13">
        <v>97.272000000000006</v>
      </c>
      <c r="D171" s="6">
        <f t="shared" si="14"/>
        <v>2.8041237113403117E-3</v>
      </c>
      <c r="E171" s="14">
        <f t="shared" si="15"/>
        <v>1.134526714627371E-3</v>
      </c>
      <c r="F171" s="9">
        <f t="shared" si="16"/>
        <v>15.834122923956235</v>
      </c>
      <c r="G171" s="9">
        <f t="shared" si="17"/>
        <v>-0.98219452215442515</v>
      </c>
      <c r="H171" s="9">
        <f t="shared" si="18"/>
        <v>5.477486908622934E-2</v>
      </c>
      <c r="I171" s="9">
        <f t="shared" si="19"/>
        <v>-0.31619994149610975</v>
      </c>
      <c r="J171" s="9">
        <f t="shared" si="20"/>
        <v>14.590503329391929</v>
      </c>
    </row>
    <row r="172" spans="2:10" x14ac:dyDescent="0.25">
      <c r="B172" s="1">
        <v>44033</v>
      </c>
      <c r="C172" s="13">
        <v>97</v>
      </c>
      <c r="D172" s="6">
        <f t="shared" si="14"/>
        <v>-1.3806706114398493E-2</v>
      </c>
      <c r="E172" s="14">
        <f t="shared" si="15"/>
        <v>1.1374626256739268E-3</v>
      </c>
      <c r="F172" s="9">
        <f t="shared" si="16"/>
        <v>15.83153848165394</v>
      </c>
      <c r="G172" s="9">
        <f t="shared" si="17"/>
        <v>-6.1052426994133218E-4</v>
      </c>
      <c r="H172" s="9">
        <f t="shared" si="18"/>
        <v>2.8586543397291137E-4</v>
      </c>
      <c r="I172" s="9">
        <f t="shared" si="19"/>
        <v>-2.7945243602598507E-3</v>
      </c>
      <c r="J172" s="9">
        <f t="shared" si="20"/>
        <v>15.828419298457712</v>
      </c>
    </row>
    <row r="173" spans="2:10" x14ac:dyDescent="0.25">
      <c r="B173" s="1">
        <v>44032</v>
      </c>
      <c r="C173" s="13">
        <v>98.358000000000004</v>
      </c>
      <c r="D173" s="6">
        <f t="shared" si="14"/>
        <v>2.1073831077152994E-2</v>
      </c>
      <c r="E173" s="14">
        <f t="shared" si="15"/>
        <v>1.1408639534275344E-3</v>
      </c>
      <c r="F173" s="9">
        <f t="shared" si="16"/>
        <v>15.828552667142768</v>
      </c>
      <c r="G173" s="9">
        <f t="shared" si="17"/>
        <v>-0.10470791128860851</v>
      </c>
      <c r="H173" s="9">
        <f t="shared" si="18"/>
        <v>-4.2036730519136572E-3</v>
      </c>
      <c r="I173" s="9">
        <f t="shared" si="19"/>
        <v>-4.3386196112272339E-3</v>
      </c>
      <c r="J173" s="9">
        <f t="shared" si="20"/>
        <v>15.715302463191019</v>
      </c>
    </row>
    <row r="174" spans="2:10" x14ac:dyDescent="0.25">
      <c r="B174" s="1">
        <v>44029</v>
      </c>
      <c r="C174" s="13">
        <v>96.328000000000003</v>
      </c>
      <c r="D174" s="6">
        <f t="shared" si="14"/>
        <v>-2.0099044777356356E-3</v>
      </c>
      <c r="E174" s="14">
        <f t="shared" si="15"/>
        <v>1.1463529221923377E-3</v>
      </c>
      <c r="F174" s="9">
        <f t="shared" si="16"/>
        <v>15.823752965495915</v>
      </c>
      <c r="G174" s="9">
        <f t="shared" si="17"/>
        <v>-0.16543105287250134</v>
      </c>
      <c r="H174" s="9">
        <f t="shared" si="18"/>
        <v>7.8897740936964122E-3</v>
      </c>
      <c r="I174" s="9">
        <f t="shared" si="19"/>
        <v>-1.5554130914621035E-2</v>
      </c>
      <c r="J174" s="9">
        <f t="shared" si="20"/>
        <v>15.650657555802489</v>
      </c>
    </row>
    <row r="175" spans="2:10" x14ac:dyDescent="0.25">
      <c r="B175" s="1">
        <v>44028</v>
      </c>
      <c r="C175" s="13">
        <v>96.522000000000006</v>
      </c>
      <c r="D175" s="6">
        <f t="shared" si="14"/>
        <v>-1.2310053722179526E-2</v>
      </c>
      <c r="E175" s="14">
        <f t="shared" si="15"/>
        <v>1.1464196651794908E-3</v>
      </c>
      <c r="F175" s="9">
        <f t="shared" si="16"/>
        <v>15.823694745166923</v>
      </c>
      <c r="G175" s="9">
        <f t="shared" si="17"/>
        <v>-5.7870433345915163E-3</v>
      </c>
      <c r="H175" s="9">
        <f t="shared" si="18"/>
        <v>-2.035670871132999E-4</v>
      </c>
      <c r="I175" s="9">
        <f t="shared" si="19"/>
        <v>-8.5331503043454627E-4</v>
      </c>
      <c r="J175" s="9">
        <f t="shared" si="20"/>
        <v>15.816850819714784</v>
      </c>
    </row>
    <row r="176" spans="2:10" x14ac:dyDescent="0.25">
      <c r="B176" s="1">
        <v>44027</v>
      </c>
      <c r="C176" s="13">
        <v>97.724999999999994</v>
      </c>
      <c r="D176" s="6">
        <f t="shared" si="14"/>
        <v>6.8721795215231918E-3</v>
      </c>
      <c r="E176" s="14">
        <f t="shared" si="15"/>
        <v>1.1447185588868618E-3</v>
      </c>
      <c r="F176" s="9">
        <f t="shared" si="16"/>
        <v>15.82517968971313</v>
      </c>
      <c r="G176" s="9">
        <f t="shared" si="17"/>
        <v>-8.5097780796076494E-2</v>
      </c>
      <c r="H176" s="9">
        <f t="shared" si="18"/>
        <v>8.1036192592377082E-4</v>
      </c>
      <c r="I176" s="9">
        <f t="shared" si="19"/>
        <v>-6.3003267688323599E-3</v>
      </c>
      <c r="J176" s="9">
        <f t="shared" si="20"/>
        <v>15.734591944074145</v>
      </c>
    </row>
    <row r="177" spans="2:10" x14ac:dyDescent="0.25">
      <c r="B177" s="1">
        <v>44026</v>
      </c>
      <c r="C177" s="13">
        <v>97.058000000000007</v>
      </c>
      <c r="D177" s="6">
        <f t="shared" si="14"/>
        <v>1.6548314795031382E-2</v>
      </c>
      <c r="E177" s="14">
        <f t="shared" si="15"/>
        <v>1.144556035229932E-3</v>
      </c>
      <c r="F177" s="9">
        <f t="shared" si="16"/>
        <v>15.825321676749214</v>
      </c>
      <c r="G177" s="9">
        <f t="shared" si="17"/>
        <v>-1.2052556133873816E-2</v>
      </c>
      <c r="H177" s="9">
        <f t="shared" si="18"/>
        <v>2.1633306814716944E-4</v>
      </c>
      <c r="I177" s="9">
        <f t="shared" si="19"/>
        <v>-1.2717232227464263E-3</v>
      </c>
      <c r="J177" s="9">
        <f t="shared" si="20"/>
        <v>15.812213730460741</v>
      </c>
    </row>
    <row r="178" spans="2:10" x14ac:dyDescent="0.25">
      <c r="B178" s="1">
        <v>44025</v>
      </c>
      <c r="C178" s="13">
        <v>95.477999999999994</v>
      </c>
      <c r="D178" s="6">
        <f t="shared" si="14"/>
        <v>-4.6080066722269386E-3</v>
      </c>
      <c r="E178" s="14">
        <f t="shared" si="15"/>
        <v>1.1434966664473039E-3</v>
      </c>
      <c r="F178" s="9">
        <f t="shared" si="16"/>
        <v>15.826247677149075</v>
      </c>
      <c r="G178" s="9">
        <f t="shared" si="17"/>
        <v>-9.7636510647421917E-2</v>
      </c>
      <c r="H178" s="9">
        <f t="shared" si="18"/>
        <v>-2.4930051720442413E-4</v>
      </c>
      <c r="I178" s="9">
        <f t="shared" si="19"/>
        <v>-3.7355602681676849E-3</v>
      </c>
      <c r="J178" s="9">
        <f t="shared" si="20"/>
        <v>15.72462630571628</v>
      </c>
    </row>
    <row r="179" spans="2:10" x14ac:dyDescent="0.25">
      <c r="B179" s="1">
        <v>44022</v>
      </c>
      <c r="C179" s="13">
        <v>95.92</v>
      </c>
      <c r="D179" s="6">
        <f t="shared" si="14"/>
        <v>2.476929026054675E-3</v>
      </c>
      <c r="E179" s="14">
        <f t="shared" si="15"/>
        <v>1.1437856723721842E-3</v>
      </c>
      <c r="F179" s="9">
        <f t="shared" si="16"/>
        <v>15.82599497032621</v>
      </c>
      <c r="G179" s="9">
        <f t="shared" si="17"/>
        <v>-1.7046336433201255E-2</v>
      </c>
      <c r="H179" s="9">
        <f t="shared" si="18"/>
        <v>-4.3937321085515458E-4</v>
      </c>
      <c r="I179" s="9">
        <f t="shared" si="19"/>
        <v>-5.2005296423184759E-4</v>
      </c>
      <c r="J179" s="9">
        <f t="shared" si="20"/>
        <v>15.807989207717922</v>
      </c>
    </row>
    <row r="180" spans="2:10" x14ac:dyDescent="0.25">
      <c r="B180" s="1">
        <v>44021</v>
      </c>
      <c r="C180" s="13">
        <v>95.683000000000007</v>
      </c>
      <c r="D180" s="6">
        <f t="shared" si="14"/>
        <v>3.5660719717232059E-3</v>
      </c>
      <c r="E180" s="14">
        <f t="shared" si="15"/>
        <v>1.1446677323044771E-3</v>
      </c>
      <c r="F180" s="9">
        <f t="shared" si="16"/>
        <v>15.825224091640919</v>
      </c>
      <c r="G180" s="9">
        <f t="shared" si="17"/>
        <v>-3.1621510840442005E-4</v>
      </c>
      <c r="H180" s="9">
        <f t="shared" si="18"/>
        <v>9.2366589355761354E-5</v>
      </c>
      <c r="I180" s="9">
        <f t="shared" si="19"/>
        <v>-3.58730217871146E-5</v>
      </c>
      <c r="J180" s="9">
        <f t="shared" si="20"/>
        <v>15.824964370100085</v>
      </c>
    </row>
    <row r="181" spans="2:10" x14ac:dyDescent="0.25">
      <c r="B181" s="1">
        <v>44020</v>
      </c>
      <c r="C181" s="13">
        <v>95.343000000000004</v>
      </c>
      <c r="D181" s="6">
        <f t="shared" si="14"/>
        <v>2.329000890816002E-2</v>
      </c>
      <c r="E181" s="14">
        <f t="shared" si="15"/>
        <v>1.1450085273415809E-3</v>
      </c>
      <c r="F181" s="9">
        <f t="shared" si="16"/>
        <v>15.824926411968359</v>
      </c>
      <c r="G181" s="9">
        <f t="shared" si="17"/>
        <v>-1.6461755620897213E-3</v>
      </c>
      <c r="H181" s="9">
        <f t="shared" si="18"/>
        <v>1.4294983732706179E-4</v>
      </c>
      <c r="I181" s="9">
        <f t="shared" si="19"/>
        <v>-4.5705789194255126E-4</v>
      </c>
      <c r="J181" s="9">
        <f t="shared" si="20"/>
        <v>15.822966128351654</v>
      </c>
    </row>
    <row r="182" spans="2:10" x14ac:dyDescent="0.25">
      <c r="B182" s="1">
        <v>44019</v>
      </c>
      <c r="C182" s="13">
        <v>93.173000000000002</v>
      </c>
      <c r="D182" s="6">
        <f t="shared" si="14"/>
        <v>-3.1028321367813083E-3</v>
      </c>
      <c r="E182" s="14">
        <f t="shared" si="15"/>
        <v>1.1432710832933466E-3</v>
      </c>
      <c r="F182" s="9">
        <f t="shared" si="16"/>
        <v>15.826444971478344</v>
      </c>
      <c r="G182" s="9">
        <f t="shared" si="17"/>
        <v>-0.20583898137907217</v>
      </c>
      <c r="H182" s="9">
        <f t="shared" si="18"/>
        <v>-1.3120373980875513E-3</v>
      </c>
      <c r="I182" s="9">
        <f t="shared" si="19"/>
        <v>-6.46250280300138E-3</v>
      </c>
      <c r="J182" s="9">
        <f t="shared" si="20"/>
        <v>15.612831449898183</v>
      </c>
    </row>
    <row r="183" spans="2:10" x14ac:dyDescent="0.25">
      <c r="B183" s="1">
        <v>44018</v>
      </c>
      <c r="C183" s="13">
        <v>93.462999999999994</v>
      </c>
      <c r="D183" s="6">
        <f t="shared" si="14"/>
        <v>2.6750010985630679E-2</v>
      </c>
      <c r="E183" s="14">
        <f t="shared" si="15"/>
        <v>1.14617307841804E-3</v>
      </c>
      <c r="F183" s="9">
        <f t="shared" si="16"/>
        <v>15.82390986122981</v>
      </c>
      <c r="G183" s="9">
        <f t="shared" si="17"/>
        <v>-9.7894564109980604E-3</v>
      </c>
      <c r="H183" s="9">
        <f t="shared" si="18"/>
        <v>-1.1299866077267655E-3</v>
      </c>
      <c r="I183" s="9">
        <f t="shared" si="19"/>
        <v>-2.6306625335297158E-3</v>
      </c>
      <c r="J183" s="9">
        <f t="shared" si="20"/>
        <v>15.810359755677556</v>
      </c>
    </row>
    <row r="184" spans="2:10" x14ac:dyDescent="0.25">
      <c r="B184" s="1">
        <v>44014</v>
      </c>
      <c r="C184" s="13">
        <v>91.028000000000006</v>
      </c>
      <c r="D184" s="6">
        <f t="shared" si="14"/>
        <v>0</v>
      </c>
      <c r="E184" s="14">
        <f t="shared" si="15"/>
        <v>1.1410726174219121E-3</v>
      </c>
      <c r="F184" s="9">
        <f t="shared" si="16"/>
        <v>15.82836978388683</v>
      </c>
      <c r="G184" s="9">
        <f t="shared" si="17"/>
        <v>-0.27737754851518204</v>
      </c>
      <c r="H184" s="9">
        <f t="shared" si="18"/>
        <v>-6.9994264343056101E-3</v>
      </c>
      <c r="I184" s="9">
        <f t="shared" si="19"/>
        <v>-3.0994710106432531E-2</v>
      </c>
      <c r="J184" s="9">
        <f t="shared" si="20"/>
        <v>15.512998098830911</v>
      </c>
    </row>
    <row r="185" spans="2:10" x14ac:dyDescent="0.25">
      <c r="B185" s="1">
        <v>44013</v>
      </c>
      <c r="C185" s="13">
        <v>91.028000000000006</v>
      </c>
      <c r="D185" s="6">
        <f t="shared" si="14"/>
        <v>-1.8859649122806577E-3</v>
      </c>
      <c r="E185" s="14">
        <f t="shared" si="15"/>
        <v>1.1441258848612376E-3</v>
      </c>
      <c r="F185" s="9">
        <f t="shared" si="16"/>
        <v>15.825697570288622</v>
      </c>
      <c r="G185" s="9">
        <f t="shared" si="17"/>
        <v>-1.1607555277233818E-3</v>
      </c>
      <c r="H185" s="9">
        <f t="shared" si="18"/>
        <v>-4.0536044035142899E-4</v>
      </c>
      <c r="I185" s="9">
        <f t="shared" si="19"/>
        <v>-3.1058969650549014E-3</v>
      </c>
      <c r="J185" s="9">
        <f t="shared" si="20"/>
        <v>15.821025557355492</v>
      </c>
    </row>
    <row r="186" spans="2:10" x14ac:dyDescent="0.25">
      <c r="B186" s="1">
        <v>44012</v>
      </c>
      <c r="C186" s="13">
        <v>91.2</v>
      </c>
      <c r="D186" s="6">
        <f t="shared" si="14"/>
        <v>8.3476145723921924E-3</v>
      </c>
      <c r="E186" s="14">
        <f t="shared" si="15"/>
        <v>1.1456063551168732E-3</v>
      </c>
      <c r="F186" s="9">
        <f t="shared" si="16"/>
        <v>15.824404431784396</v>
      </c>
      <c r="G186" s="9">
        <f t="shared" si="17"/>
        <v>-5.4032084331389471E-3</v>
      </c>
      <c r="H186" s="9">
        <f t="shared" si="18"/>
        <v>-5.1735395775304215E-4</v>
      </c>
      <c r="I186" s="9">
        <f t="shared" si="19"/>
        <v>-1.201671451611086E-4</v>
      </c>
      <c r="J186" s="9">
        <f t="shared" si="20"/>
        <v>15.818363702248345</v>
      </c>
    </row>
    <row r="187" spans="2:10" x14ac:dyDescent="0.25">
      <c r="B187" s="1">
        <v>44011</v>
      </c>
      <c r="C187" s="13">
        <v>90.444999999999993</v>
      </c>
      <c r="D187" s="6">
        <f t="shared" si="14"/>
        <v>2.3040901275902526E-2</v>
      </c>
      <c r="E187" s="14">
        <f t="shared" si="15"/>
        <v>1.1456829629250985E-3</v>
      </c>
      <c r="F187" s="9">
        <f t="shared" si="16"/>
        <v>15.824337563050141</v>
      </c>
      <c r="G187" s="9">
        <f t="shared" si="17"/>
        <v>-1.9767953648112936E-2</v>
      </c>
      <c r="H187" s="9">
        <f t="shared" si="18"/>
        <v>3.8063532739941562E-4</v>
      </c>
      <c r="I187" s="9">
        <f t="shared" si="19"/>
        <v>-8.3556908601335755E-4</v>
      </c>
      <c r="J187" s="9">
        <f t="shared" si="20"/>
        <v>15.804114675643413</v>
      </c>
    </row>
    <row r="188" spans="2:10" x14ac:dyDescent="0.25">
      <c r="B188" s="1">
        <v>44008</v>
      </c>
      <c r="C188" s="13">
        <v>88.408000000000001</v>
      </c>
      <c r="D188" s="6">
        <f t="shared" si="14"/>
        <v>-3.0720315754851346E-2</v>
      </c>
      <c r="E188" s="14">
        <f t="shared" si="15"/>
        <v>1.1423053114937944E-3</v>
      </c>
      <c r="F188" s="9">
        <f t="shared" si="16"/>
        <v>15.827290072835913</v>
      </c>
      <c r="G188" s="9">
        <f t="shared" si="17"/>
        <v>-0.20130219934970969</v>
      </c>
      <c r="H188" s="9">
        <f t="shared" si="18"/>
        <v>-3.5715713656430514E-3</v>
      </c>
      <c r="I188" s="9">
        <f t="shared" si="19"/>
        <v>-1.6134754270201324E-2</v>
      </c>
      <c r="J188" s="9">
        <f t="shared" si="20"/>
        <v>15.606281547850358</v>
      </c>
    </row>
    <row r="189" spans="2:10" x14ac:dyDescent="0.25">
      <c r="B189" s="1">
        <v>44007</v>
      </c>
      <c r="C189" s="13">
        <v>91.21</v>
      </c>
      <c r="D189" s="6">
        <f t="shared" si="14"/>
        <v>1.3275565183580529E-2</v>
      </c>
      <c r="E189" s="14">
        <f t="shared" si="15"/>
        <v>1.1344983477053192E-3</v>
      </c>
      <c r="F189" s="9">
        <f t="shared" si="16"/>
        <v>15.834147927577854</v>
      </c>
      <c r="G189" s="9">
        <f t="shared" si="17"/>
        <v>-0.46252505802174576</v>
      </c>
      <c r="H189" s="9">
        <f t="shared" si="18"/>
        <v>1.4770744913567165E-2</v>
      </c>
      <c r="I189" s="9">
        <f t="shared" si="19"/>
        <v>-6.4254319686101416E-2</v>
      </c>
      <c r="J189" s="9">
        <f t="shared" si="20"/>
        <v>15.322139294783575</v>
      </c>
    </row>
    <row r="190" spans="2:10" x14ac:dyDescent="0.25">
      <c r="B190" s="1">
        <v>44006</v>
      </c>
      <c r="C190" s="13">
        <v>90.015000000000001</v>
      </c>
      <c r="D190" s="6">
        <f t="shared" si="14"/>
        <v>-1.7646673651126266E-2</v>
      </c>
      <c r="E190" s="14">
        <f t="shared" si="15"/>
        <v>1.137016013202924E-3</v>
      </c>
      <c r="F190" s="9">
        <f t="shared" si="16"/>
        <v>15.831931198005817</v>
      </c>
      <c r="G190" s="9">
        <f t="shared" si="17"/>
        <v>-5.9841924241990946E-2</v>
      </c>
      <c r="H190" s="9">
        <f t="shared" si="18"/>
        <v>2.5139041722643087E-3</v>
      </c>
      <c r="I190" s="9">
        <f t="shared" si="19"/>
        <v>-1.6787827929187192E-3</v>
      </c>
      <c r="J190" s="9">
        <f t="shared" si="20"/>
        <v>15.772924395143173</v>
      </c>
    </row>
    <row r="191" spans="2:10" x14ac:dyDescent="0.25">
      <c r="B191" s="1">
        <v>44005</v>
      </c>
      <c r="C191" s="13">
        <v>91.632000000000005</v>
      </c>
      <c r="D191" s="6">
        <f t="shared" si="14"/>
        <v>2.1333511669898941E-2</v>
      </c>
      <c r="E191" s="14">
        <f t="shared" si="15"/>
        <v>1.1338870193766902E-3</v>
      </c>
      <c r="F191" s="9">
        <f t="shared" si="16"/>
        <v>15.834686926243867</v>
      </c>
      <c r="G191" s="9">
        <f t="shared" si="17"/>
        <v>-0.16429646148449101</v>
      </c>
      <c r="H191" s="9">
        <f t="shared" si="18"/>
        <v>2.9260505326564514E-3</v>
      </c>
      <c r="I191" s="9">
        <f t="shared" si="19"/>
        <v>-1.4399565287415246E-2</v>
      </c>
      <c r="J191" s="9">
        <f t="shared" si="20"/>
        <v>15.658916950004615</v>
      </c>
    </row>
    <row r="192" spans="2:10" x14ac:dyDescent="0.25">
      <c r="B192" s="1">
        <v>44004</v>
      </c>
      <c r="C192" s="13">
        <v>89.718000000000004</v>
      </c>
      <c r="D192" s="6">
        <f t="shared" si="14"/>
        <v>2.6169507034198736E-2</v>
      </c>
      <c r="E192" s="14">
        <f t="shared" si="15"/>
        <v>1.1310024274118328E-3</v>
      </c>
      <c r="F192" s="9">
        <f t="shared" si="16"/>
        <v>15.837234153022321</v>
      </c>
      <c r="G192" s="9">
        <f t="shared" si="17"/>
        <v>-0.17218442736169165</v>
      </c>
      <c r="H192" s="9">
        <f t="shared" si="18"/>
        <v>-2.6844107676125503E-3</v>
      </c>
      <c r="I192" s="9">
        <f t="shared" si="19"/>
        <v>-1.2775722678192134E-2</v>
      </c>
      <c r="J192" s="9">
        <f t="shared" si="20"/>
        <v>15.649589592214824</v>
      </c>
    </row>
    <row r="193" spans="2:10" x14ac:dyDescent="0.25">
      <c r="B193" s="1">
        <v>44001</v>
      </c>
      <c r="C193" s="13">
        <v>87.43</v>
      </c>
      <c r="D193" s="6">
        <f t="shared" si="14"/>
        <v>-5.7202642921314606E-3</v>
      </c>
      <c r="E193" s="14">
        <f t="shared" si="15"/>
        <v>1.126279700442085E-3</v>
      </c>
      <c r="F193" s="9">
        <f t="shared" si="16"/>
        <v>15.841418595722276</v>
      </c>
      <c r="G193" s="9">
        <f t="shared" si="17"/>
        <v>-0.2681837869359025</v>
      </c>
      <c r="H193" s="9">
        <f t="shared" si="18"/>
        <v>-6.3188794366338006E-3</v>
      </c>
      <c r="I193" s="9">
        <f t="shared" si="19"/>
        <v>-2.745197659224155E-2</v>
      </c>
      <c r="J193" s="9">
        <f t="shared" si="20"/>
        <v>15.539463952757499</v>
      </c>
    </row>
    <row r="194" spans="2:10" x14ac:dyDescent="0.25">
      <c r="B194" s="1">
        <v>44000</v>
      </c>
      <c r="C194" s="13">
        <v>87.933000000000007</v>
      </c>
      <c r="D194" s="6">
        <f t="shared" si="14"/>
        <v>4.0957029250154875E-4</v>
      </c>
      <c r="E194" s="14">
        <f t="shared" si="15"/>
        <v>1.1283428316769531E-3</v>
      </c>
      <c r="F194" s="9">
        <f t="shared" si="16"/>
        <v>15.839588460716234</v>
      </c>
      <c r="G194" s="9">
        <f t="shared" si="17"/>
        <v>-2.3994116181560041E-2</v>
      </c>
      <c r="H194" s="9">
        <f t="shared" si="18"/>
        <v>-1.3790822859797731E-3</v>
      </c>
      <c r="I194" s="9">
        <f t="shared" si="19"/>
        <v>-8.1424010745992056E-4</v>
      </c>
      <c r="J194" s="9">
        <f t="shared" si="20"/>
        <v>15.813401022141235</v>
      </c>
    </row>
    <row r="195" spans="2:10" x14ac:dyDescent="0.25">
      <c r="B195" s="1">
        <v>43999</v>
      </c>
      <c r="C195" s="13">
        <v>87.897000000000006</v>
      </c>
      <c r="D195" s="6">
        <f t="shared" si="14"/>
        <v>-1.3974096796182112E-3</v>
      </c>
      <c r="E195" s="14">
        <f t="shared" si="15"/>
        <v>1.1283278370411436E-3</v>
      </c>
      <c r="F195" s="9">
        <f t="shared" si="16"/>
        <v>15.839601749882453</v>
      </c>
      <c r="G195" s="9">
        <f t="shared" si="17"/>
        <v>-6.5910496640687237E-4</v>
      </c>
      <c r="H195" s="9">
        <f t="shared" si="18"/>
        <v>-6.2725512994101916E-5</v>
      </c>
      <c r="I195" s="9">
        <f t="shared" si="19"/>
        <v>-9.5648754802463555E-4</v>
      </c>
      <c r="J195" s="9">
        <f t="shared" si="20"/>
        <v>15.837923431855026</v>
      </c>
    </row>
    <row r="196" spans="2:10" x14ac:dyDescent="0.25">
      <c r="B196" s="1">
        <v>43998</v>
      </c>
      <c r="C196" s="13">
        <v>88.02</v>
      </c>
      <c r="D196" s="6">
        <f t="shared" si="14"/>
        <v>2.6496244810374492E-2</v>
      </c>
      <c r="E196" s="14">
        <f t="shared" si="15"/>
        <v>1.1298219018213355E-3</v>
      </c>
      <c r="F196" s="9">
        <f t="shared" si="16"/>
        <v>15.838278485111749</v>
      </c>
      <c r="G196" s="9">
        <f t="shared" si="17"/>
        <v>-4.0609223989816505E-3</v>
      </c>
      <c r="H196" s="9">
        <f t="shared" si="18"/>
        <v>-4.5432551553162455E-4</v>
      </c>
      <c r="I196" s="9">
        <f t="shared" si="19"/>
        <v>-1.4820362706521853E-4</v>
      </c>
      <c r="J196" s="9">
        <f t="shared" si="20"/>
        <v>15.833615033570171</v>
      </c>
    </row>
    <row r="197" spans="2:10" x14ac:dyDescent="0.25">
      <c r="B197" s="1">
        <v>43997</v>
      </c>
      <c r="C197" s="13">
        <v>85.748000000000005</v>
      </c>
      <c r="D197" s="6">
        <f t="shared" si="14"/>
        <v>1.2373081463990632E-2</v>
      </c>
      <c r="E197" s="14">
        <f t="shared" si="15"/>
        <v>1.125128745841597E-3</v>
      </c>
      <c r="F197" s="9">
        <f t="shared" si="16"/>
        <v>15.8424410265501</v>
      </c>
      <c r="G197" s="9">
        <f t="shared" si="17"/>
        <v>-0.27565385091682926</v>
      </c>
      <c r="H197" s="9">
        <f t="shared" si="18"/>
        <v>-6.3612249644452992E-3</v>
      </c>
      <c r="I197" s="9">
        <f t="shared" si="19"/>
        <v>-2.7181852847034324E-2</v>
      </c>
      <c r="J197" s="9">
        <f t="shared" si="20"/>
        <v>15.533244097821791</v>
      </c>
    </row>
    <row r="198" spans="2:10" x14ac:dyDescent="0.25">
      <c r="B198" s="1">
        <v>43994</v>
      </c>
      <c r="C198" s="13">
        <v>84.7</v>
      </c>
      <c r="D198" s="6">
        <f t="shared" si="14"/>
        <v>8.6335218815125625E-3</v>
      </c>
      <c r="E198" s="14">
        <f t="shared" si="15"/>
        <v>1.1242764907145146E-3</v>
      </c>
      <c r="F198" s="9">
        <f t="shared" si="16"/>
        <v>15.843198787005184</v>
      </c>
      <c r="G198" s="9">
        <f t="shared" si="17"/>
        <v>-5.1505333772904539E-2</v>
      </c>
      <c r="H198" s="9">
        <f t="shared" si="18"/>
        <v>-3.6235056812736645E-5</v>
      </c>
      <c r="I198" s="9">
        <f t="shared" si="19"/>
        <v>-3.0020461093365884E-3</v>
      </c>
      <c r="J198" s="9">
        <f t="shared" si="20"/>
        <v>15.788655172066129</v>
      </c>
    </row>
    <row r="199" spans="2:10" x14ac:dyDescent="0.25">
      <c r="B199" s="1">
        <v>43993</v>
      </c>
      <c r="C199" s="13">
        <v>83.974999999999994</v>
      </c>
      <c r="D199" s="6">
        <f t="shared" si="14"/>
        <v>-4.8010429656501485E-2</v>
      </c>
      <c r="E199" s="14">
        <f t="shared" si="15"/>
        <v>1.1240888655377078E-3</v>
      </c>
      <c r="F199" s="9">
        <f t="shared" si="16"/>
        <v>15.843365686194163</v>
      </c>
      <c r="G199" s="9">
        <f t="shared" si="17"/>
        <v>-2.1898499076041966E-2</v>
      </c>
      <c r="H199" s="9">
        <f t="shared" si="18"/>
        <v>2.8267630388010276E-4</v>
      </c>
      <c r="I199" s="9">
        <f t="shared" si="19"/>
        <v>-1.2768644711673388E-3</v>
      </c>
      <c r="J199" s="9">
        <f t="shared" si="20"/>
        <v>15.820472998950835</v>
      </c>
    </row>
    <row r="200" spans="2:10" x14ac:dyDescent="0.25">
      <c r="B200" s="1">
        <v>43992</v>
      </c>
      <c r="C200" s="13">
        <v>88.21</v>
      </c>
      <c r="D200" s="6">
        <f t="shared" si="14"/>
        <v>2.5721528407637306E-2</v>
      </c>
      <c r="E200" s="14">
        <f t="shared" si="15"/>
        <v>1.1030312041782023E-3</v>
      </c>
      <c r="F200" s="9">
        <f t="shared" si="16"/>
        <v>15.8622764662561</v>
      </c>
      <c r="G200" s="9">
        <f t="shared" si="17"/>
        <v>-1.1201860151197414</v>
      </c>
      <c r="H200" s="9">
        <f t="shared" si="18"/>
        <v>6.7404238970480618E-2</v>
      </c>
      <c r="I200" s="9">
        <f t="shared" si="19"/>
        <v>-0.40837569046634309</v>
      </c>
      <c r="J200" s="9">
        <f t="shared" si="20"/>
        <v>14.401118999640497</v>
      </c>
    </row>
    <row r="201" spans="2:10" x14ac:dyDescent="0.25">
      <c r="B201" s="1">
        <v>43991</v>
      </c>
      <c r="C201" s="13">
        <v>85.998000000000005</v>
      </c>
      <c r="D201" s="6">
        <f t="shared" si="14"/>
        <v>3.1583998080729536E-2</v>
      </c>
      <c r="E201" s="14">
        <f t="shared" si="15"/>
        <v>1.1003063699198416E-3</v>
      </c>
      <c r="F201" s="9">
        <f t="shared" si="16"/>
        <v>15.864749837272422</v>
      </c>
      <c r="G201" s="9">
        <f t="shared" si="17"/>
        <v>-0.2645842154903828</v>
      </c>
      <c r="H201" s="9">
        <f t="shared" si="18"/>
        <v>-3.1150441906877867E-3</v>
      </c>
      <c r="I201" s="9">
        <f t="shared" si="19"/>
        <v>-1.1771128086885369E-2</v>
      </c>
      <c r="J201" s="9">
        <f t="shared" si="20"/>
        <v>15.585279449504467</v>
      </c>
    </row>
    <row r="202" spans="2:10" x14ac:dyDescent="0.25">
      <c r="B202" s="1">
        <v>43990</v>
      </c>
      <c r="C202" s="13">
        <v>83.364999999999995</v>
      </c>
      <c r="D202" s="6">
        <f t="shared" si="14"/>
        <v>5.9125188536952589E-3</v>
      </c>
      <c r="E202" s="14">
        <f t="shared" si="15"/>
        <v>1.0942302533650111E-3</v>
      </c>
      <c r="F202" s="9">
        <f t="shared" si="16"/>
        <v>15.870287345297445</v>
      </c>
      <c r="G202" s="9">
        <f t="shared" si="17"/>
        <v>-0.41127378099111772</v>
      </c>
      <c r="H202" s="9">
        <f t="shared" si="18"/>
        <v>-1.0678551479445192E-2</v>
      </c>
      <c r="I202" s="9">
        <f t="shared" si="19"/>
        <v>-4.238608863550368E-2</v>
      </c>
      <c r="J202" s="9">
        <f t="shared" si="20"/>
        <v>15.405948924191378</v>
      </c>
    </row>
    <row r="203" spans="2:10" x14ac:dyDescent="0.25">
      <c r="B203" s="1">
        <v>43987</v>
      </c>
      <c r="C203" s="13">
        <v>82.875</v>
      </c>
      <c r="D203" s="6">
        <f t="shared" si="14"/>
        <v>2.8481012658227778E-2</v>
      </c>
      <c r="E203" s="14">
        <f t="shared" si="15"/>
        <v>1.0941181452267998E-3</v>
      </c>
      <c r="F203" s="9">
        <f t="shared" si="16"/>
        <v>15.870389804429072</v>
      </c>
      <c r="G203" s="9">
        <f t="shared" si="17"/>
        <v>-8.4163768419481897E-3</v>
      </c>
      <c r="H203" s="9">
        <f t="shared" si="18"/>
        <v>1.9949837709141868E-4</v>
      </c>
      <c r="I203" s="9">
        <f t="shared" si="19"/>
        <v>-1.0617247993410777E-3</v>
      </c>
      <c r="J203" s="9">
        <f t="shared" si="20"/>
        <v>15.861111201164874</v>
      </c>
    </row>
    <row r="204" spans="2:10" x14ac:dyDescent="0.25">
      <c r="B204" s="1">
        <v>43986</v>
      </c>
      <c r="C204" s="13">
        <v>80.58</v>
      </c>
      <c r="D204" s="6">
        <f t="shared" si="14"/>
        <v>-8.612204724409489E-3</v>
      </c>
      <c r="E204" s="14">
        <f t="shared" si="15"/>
        <v>1.0886755272485056E-3</v>
      </c>
      <c r="F204" s="9">
        <f t="shared" si="16"/>
        <v>15.875376651629642</v>
      </c>
      <c r="G204" s="9">
        <f t="shared" si="17"/>
        <v>-0.33217114860084879</v>
      </c>
      <c r="H204" s="9">
        <f t="shared" si="18"/>
        <v>-8.4658472555084723E-3</v>
      </c>
      <c r="I204" s="9">
        <f t="shared" si="19"/>
        <v>-3.5224437856012272E-2</v>
      </c>
      <c r="J204" s="9">
        <f t="shared" si="20"/>
        <v>15.499515217917272</v>
      </c>
    </row>
    <row r="205" spans="2:10" x14ac:dyDescent="0.25">
      <c r="B205" s="1">
        <v>43985</v>
      </c>
      <c r="C205" s="13">
        <v>81.28</v>
      </c>
      <c r="D205" s="6">
        <f t="shared" si="14"/>
        <v>5.5050411331725169E-3</v>
      </c>
      <c r="E205" s="14">
        <f t="shared" si="15"/>
        <v>1.0878330571266498E-3</v>
      </c>
      <c r="F205" s="9">
        <f t="shared" si="16"/>
        <v>15.876150799887066</v>
      </c>
      <c r="G205" s="9">
        <f t="shared" si="17"/>
        <v>-4.833403605305403E-2</v>
      </c>
      <c r="H205" s="9">
        <f t="shared" si="18"/>
        <v>2.8874500781845881E-5</v>
      </c>
      <c r="I205" s="9">
        <f t="shared" si="19"/>
        <v>-2.8792747291107486E-3</v>
      </c>
      <c r="J205" s="9">
        <f t="shared" si="20"/>
        <v>15.824966363605682</v>
      </c>
    </row>
    <row r="206" spans="2:10" x14ac:dyDescent="0.25">
      <c r="B206" s="1">
        <v>43984</v>
      </c>
      <c r="C206" s="13">
        <v>80.834999999999994</v>
      </c>
      <c r="D206" s="6">
        <f t="shared" si="14"/>
        <v>4.6232429812460563E-3</v>
      </c>
      <c r="E206" s="14">
        <f t="shared" si="15"/>
        <v>1.0898958579296002E-3</v>
      </c>
      <c r="F206" s="9">
        <f t="shared" si="16"/>
        <v>15.874256347914068</v>
      </c>
      <c r="G206" s="9">
        <f t="shared" si="17"/>
        <v>-6.9185480984858411E-3</v>
      </c>
      <c r="H206" s="9">
        <f t="shared" si="18"/>
        <v>7.5339583059730656E-4</v>
      </c>
      <c r="I206" s="9">
        <f t="shared" si="19"/>
        <v>-9.5333811499330391E-4</v>
      </c>
      <c r="J206" s="9">
        <f t="shared" si="20"/>
        <v>15.867137857531187</v>
      </c>
    </row>
    <row r="207" spans="2:10" x14ac:dyDescent="0.25">
      <c r="B207" s="1">
        <v>43983</v>
      </c>
      <c r="C207" s="13">
        <v>80.462999999999994</v>
      </c>
      <c r="D207" s="6">
        <f t="shared" si="14"/>
        <v>1.2304208341196388E-2</v>
      </c>
      <c r="E207" s="14">
        <f t="shared" si="15"/>
        <v>1.0923218357435716E-3</v>
      </c>
      <c r="F207" s="9">
        <f t="shared" si="16"/>
        <v>15.87203294112893</v>
      </c>
      <c r="G207" s="9">
        <f t="shared" si="17"/>
        <v>-4.1205538464697778E-3</v>
      </c>
      <c r="H207" s="9">
        <f t="shared" si="18"/>
        <v>6.5443145283460968E-4</v>
      </c>
      <c r="I207" s="9">
        <f t="shared" si="19"/>
        <v>-1.7046057250716066E-3</v>
      </c>
      <c r="J207" s="9">
        <f t="shared" si="20"/>
        <v>15.866862213010224</v>
      </c>
    </row>
    <row r="208" spans="2:10" x14ac:dyDescent="0.25">
      <c r="B208" s="1">
        <v>43980</v>
      </c>
      <c r="C208" s="13">
        <v>79.484999999999999</v>
      </c>
      <c r="D208" s="6">
        <f t="shared" ref="D208:D271" si="21">C208/C209-1</f>
        <v>-9.8035519022665607E-4</v>
      </c>
      <c r="E208" s="14">
        <f t="shared" ref="E208:E271" si="22">_xlfn.VAR.S(D208:D328)</f>
        <v>1.0927693743095037E-3</v>
      </c>
      <c r="F208" s="9">
        <f t="shared" si="16"/>
        <v>15.871623311938047</v>
      </c>
      <c r="G208" s="9">
        <f t="shared" si="17"/>
        <v>-5.2313263690706491E-2</v>
      </c>
      <c r="H208" s="9">
        <f t="shared" si="18"/>
        <v>9.0199873241699619E-4</v>
      </c>
      <c r="I208" s="9">
        <f t="shared" si="19"/>
        <v>-2.6462525504968292E-4</v>
      </c>
      <c r="J208" s="9">
        <f t="shared" si="20"/>
        <v>15.819947421724708</v>
      </c>
    </row>
    <row r="209" spans="2:10" x14ac:dyDescent="0.25">
      <c r="B209" s="1">
        <v>43979</v>
      </c>
      <c r="C209" s="13">
        <v>79.563000000000002</v>
      </c>
      <c r="D209" s="6">
        <f t="shared" si="21"/>
        <v>4.4009656976151668E-4</v>
      </c>
      <c r="E209" s="14">
        <f t="shared" si="22"/>
        <v>1.0930513285467532E-3</v>
      </c>
      <c r="F209" s="9">
        <f t="shared" ref="F209:F272" si="23">LN(2*PI())-LN($C$6)-LN(E209)-0.5*LN(1-POWER($C$7,2))</f>
        <v>15.871365327155996</v>
      </c>
      <c r="G209" s="9">
        <f t="shared" ref="G209:G272" si="24">-POWER(D208-1-$C$3,2)/(2*E209*(1-POWER($C$7,2)))</f>
        <v>-3.1198182990020973E-3</v>
      </c>
      <c r="H209" s="9">
        <f t="shared" ref="H209:H272" si="25">$C$7*(D208-1-$C$3)*(E208-E209-$C$5*$C$4)/(E209*$C$6*(1-POWER($C$7,2)))</f>
        <v>-1.910363226540675E-4</v>
      </c>
      <c r="I209" s="9">
        <f t="shared" ref="I209:I272" si="26">-POWER(E208-E209-$C$5*$C$4+$C$4*E209,2)/(2*POWER($C$6,2)*E209*(1-POWER($C$7,2)))</f>
        <v>-4.4489790596845068E-4</v>
      </c>
      <c r="J209" s="9">
        <f t="shared" ref="J209:J272" si="27">SUM(F209:I209)</f>
        <v>15.867609574628371</v>
      </c>
    </row>
    <row r="210" spans="2:10" x14ac:dyDescent="0.25">
      <c r="B210" s="1">
        <v>43978</v>
      </c>
      <c r="C210" s="13">
        <v>79.528000000000006</v>
      </c>
      <c r="D210" s="6">
        <f t="shared" si="21"/>
        <v>4.3569958198097503E-3</v>
      </c>
      <c r="E210" s="14">
        <f t="shared" si="22"/>
        <v>1.0963534926156434E-3</v>
      </c>
      <c r="F210" s="9">
        <f t="shared" si="23"/>
        <v>15.868348830123645</v>
      </c>
      <c r="G210" s="9">
        <f t="shared" si="24"/>
        <v>-6.4474600642328212E-4</v>
      </c>
      <c r="H210" s="9">
        <f t="shared" si="25"/>
        <v>-3.2855195956894227E-4</v>
      </c>
      <c r="I210" s="9">
        <f t="shared" si="26"/>
        <v>-4.4157584135141948E-3</v>
      </c>
      <c r="J210" s="9">
        <f t="shared" si="27"/>
        <v>15.862959773744137</v>
      </c>
    </row>
    <row r="211" spans="2:10" x14ac:dyDescent="0.25">
      <c r="B211" s="1">
        <v>43977</v>
      </c>
      <c r="C211" s="13">
        <v>79.183000000000007</v>
      </c>
      <c r="D211" s="6">
        <f t="shared" si="21"/>
        <v>-6.7734530812938454E-3</v>
      </c>
      <c r="E211" s="14">
        <f t="shared" si="22"/>
        <v>1.097846009328215E-3</v>
      </c>
      <c r="F211" s="9">
        <f t="shared" si="23"/>
        <v>15.866988409668314</v>
      </c>
      <c r="G211" s="9">
        <f t="shared" si="24"/>
        <v>-3.4034927007423306E-3</v>
      </c>
      <c r="H211" s="9">
        <f t="shared" si="25"/>
        <v>4.2165614528168085E-4</v>
      </c>
      <c r="I211" s="9">
        <f t="shared" si="26"/>
        <v>-1.9153654050011834E-4</v>
      </c>
      <c r="J211" s="9">
        <f t="shared" si="27"/>
        <v>15.863815036572353</v>
      </c>
    </row>
    <row r="212" spans="2:10" x14ac:dyDescent="0.25">
      <c r="B212" s="1">
        <v>43973</v>
      </c>
      <c r="C212" s="13">
        <v>79.722999999999999</v>
      </c>
      <c r="D212" s="6">
        <f t="shared" si="21"/>
        <v>6.4383371416307789E-3</v>
      </c>
      <c r="E212" s="14">
        <f t="shared" si="22"/>
        <v>1.0973535623954424E-3</v>
      </c>
      <c r="F212" s="9">
        <f t="shared" si="23"/>
        <v>15.867437067683172</v>
      </c>
      <c r="G212" s="9">
        <f t="shared" si="24"/>
        <v>-3.2251370949673487E-2</v>
      </c>
      <c r="H212" s="9">
        <f t="shared" si="25"/>
        <v>-1.7465305629573154E-4</v>
      </c>
      <c r="I212" s="9">
        <f t="shared" si="26"/>
        <v>-1.9120329961025753E-3</v>
      </c>
      <c r="J212" s="9">
        <f t="shared" si="27"/>
        <v>15.833099010681099</v>
      </c>
    </row>
    <row r="213" spans="2:10" x14ac:dyDescent="0.25">
      <c r="B213" s="1">
        <v>43972</v>
      </c>
      <c r="C213" s="13">
        <v>79.212999999999994</v>
      </c>
      <c r="D213" s="6">
        <f t="shared" si="21"/>
        <v>-7.4553929430635213E-3</v>
      </c>
      <c r="E213" s="14">
        <f t="shared" si="22"/>
        <v>1.098275057513513E-3</v>
      </c>
      <c r="F213" s="9">
        <f t="shared" si="23"/>
        <v>15.866597676937561</v>
      </c>
      <c r="G213" s="9">
        <f t="shared" si="24"/>
        <v>-1.056843691350714E-2</v>
      </c>
      <c r="H213" s="9">
        <f t="shared" si="25"/>
        <v>5.5791964183384652E-4</v>
      </c>
      <c r="I213" s="9">
        <f t="shared" si="26"/>
        <v>-7.5334531781061393E-6</v>
      </c>
      <c r="J213" s="9">
        <f t="shared" si="27"/>
        <v>15.856579626212708</v>
      </c>
    </row>
    <row r="214" spans="2:10" x14ac:dyDescent="0.25">
      <c r="B214" s="1">
        <v>43971</v>
      </c>
      <c r="C214" s="13">
        <v>79.808000000000007</v>
      </c>
      <c r="D214" s="6">
        <f t="shared" si="21"/>
        <v>1.9454557067126732E-2</v>
      </c>
      <c r="E214" s="14">
        <f t="shared" si="22"/>
        <v>1.0983320269900281E-3</v>
      </c>
      <c r="F214" s="9">
        <f t="shared" si="23"/>
        <v>15.866545806507997</v>
      </c>
      <c r="G214" s="9">
        <f t="shared" si="24"/>
        <v>-3.7666351646370992E-2</v>
      </c>
      <c r="H214" s="9">
        <f t="shared" si="25"/>
        <v>-5.2461607959240059E-4</v>
      </c>
      <c r="I214" s="9">
        <f t="shared" si="26"/>
        <v>-7.7396313316309569E-4</v>
      </c>
      <c r="J214" s="9">
        <f t="shared" si="27"/>
        <v>15.82758087564887</v>
      </c>
    </row>
    <row r="215" spans="2:10" x14ac:dyDescent="0.25">
      <c r="B215" s="1">
        <v>43970</v>
      </c>
      <c r="C215" s="13">
        <v>78.284999999999997</v>
      </c>
      <c r="D215" s="6">
        <f t="shared" si="21"/>
        <v>-5.778511557023136E-3</v>
      </c>
      <c r="E215" s="14">
        <f t="shared" si="22"/>
        <v>1.0978071129898054E-3</v>
      </c>
      <c r="F215" s="9">
        <f t="shared" si="23"/>
        <v>15.867023839981071</v>
      </c>
      <c r="G215" s="9">
        <f t="shared" si="24"/>
        <v>-0.1451756930006376</v>
      </c>
      <c r="H215" s="9">
        <f t="shared" si="25"/>
        <v>3.3149059809238859E-4</v>
      </c>
      <c r="I215" s="9">
        <f t="shared" si="26"/>
        <v>-1.996424235661428E-3</v>
      </c>
      <c r="J215" s="9">
        <f t="shared" si="27"/>
        <v>15.720183213342864</v>
      </c>
    </row>
    <row r="216" spans="2:10" x14ac:dyDescent="0.25">
      <c r="B216" s="1">
        <v>43969</v>
      </c>
      <c r="C216" s="13">
        <v>78.739999999999995</v>
      </c>
      <c r="D216" s="6">
        <f t="shared" si="21"/>
        <v>2.3554492512479097E-2</v>
      </c>
      <c r="E216" s="14">
        <f t="shared" si="22"/>
        <v>1.0973683966596657E-3</v>
      </c>
      <c r="F216" s="9">
        <f t="shared" si="23"/>
        <v>15.867423549556959</v>
      </c>
      <c r="G216" s="9">
        <f t="shared" si="24"/>
        <v>-2.5064085418259021E-2</v>
      </c>
      <c r="H216" s="9">
        <f t="shared" si="25"/>
        <v>-1.8077871462774439E-4</v>
      </c>
      <c r="I216" s="9">
        <f t="shared" si="26"/>
        <v>-1.778161038213897E-3</v>
      </c>
      <c r="J216" s="9">
        <f t="shared" si="27"/>
        <v>15.840400524385858</v>
      </c>
    </row>
    <row r="217" spans="2:10" x14ac:dyDescent="0.25">
      <c r="B217" s="1">
        <v>43966</v>
      </c>
      <c r="C217" s="13">
        <v>76.927999999999997</v>
      </c>
      <c r="D217" s="6">
        <f t="shared" si="21"/>
        <v>-5.9055372488209246E-3</v>
      </c>
      <c r="E217" s="14">
        <f t="shared" si="22"/>
        <v>1.093824638416003E-3</v>
      </c>
      <c r="F217" s="9">
        <f t="shared" si="23"/>
        <v>15.87065809920785</v>
      </c>
      <c r="G217" s="9">
        <f t="shared" si="24"/>
        <v>-0.22042949023297329</v>
      </c>
      <c r="H217" s="9">
        <f t="shared" si="25"/>
        <v>-4.0655458561373956E-3</v>
      </c>
      <c r="I217" s="9">
        <f t="shared" si="26"/>
        <v>-1.7504168965943645E-2</v>
      </c>
      <c r="J217" s="9">
        <f t="shared" si="27"/>
        <v>15.628658894152794</v>
      </c>
    </row>
    <row r="218" spans="2:10" x14ac:dyDescent="0.25">
      <c r="B218" s="1">
        <v>43965</v>
      </c>
      <c r="C218" s="13">
        <v>77.385000000000005</v>
      </c>
      <c r="D218" s="6">
        <f t="shared" si="21"/>
        <v>6.1368039213138825E-3</v>
      </c>
      <c r="E218" s="14">
        <f t="shared" si="22"/>
        <v>1.0948366206797574E-3</v>
      </c>
      <c r="F218" s="9">
        <f t="shared" si="23"/>
        <v>15.869733349129083</v>
      </c>
      <c r="G218" s="9">
        <f t="shared" si="24"/>
        <v>-2.5991225256571441E-2</v>
      </c>
      <c r="H218" s="9">
        <f t="shared" si="25"/>
        <v>-9.2235117616225586E-4</v>
      </c>
      <c r="I218" s="9">
        <f t="shared" si="26"/>
        <v>-1.9990454668021685E-9</v>
      </c>
      <c r="J218" s="9">
        <f t="shared" si="27"/>
        <v>15.842819770697302</v>
      </c>
    </row>
    <row r="219" spans="2:10" x14ac:dyDescent="0.25">
      <c r="B219" s="1">
        <v>43964</v>
      </c>
      <c r="C219" s="13">
        <v>76.912999999999997</v>
      </c>
      <c r="D219" s="6">
        <f t="shared" si="21"/>
        <v>-1.2074036967104629E-2</v>
      </c>
      <c r="E219" s="14">
        <f t="shared" si="22"/>
        <v>1.0948664052980626E-3</v>
      </c>
      <c r="F219" s="9">
        <f t="shared" si="23"/>
        <v>15.869706144875398</v>
      </c>
      <c r="G219" s="9">
        <f t="shared" si="24"/>
        <v>-9.3140867586738018E-3</v>
      </c>
      <c r="H219" s="9">
        <f t="shared" si="25"/>
        <v>2.5300992900430881E-4</v>
      </c>
      <c r="I219" s="9">
        <f t="shared" si="26"/>
        <v>-8.1152557262790311E-4</v>
      </c>
      <c r="J219" s="9">
        <f t="shared" si="27"/>
        <v>15.859833542473101</v>
      </c>
    </row>
    <row r="220" spans="2:10" x14ac:dyDescent="0.25">
      <c r="B220" s="1">
        <v>43963</v>
      </c>
      <c r="C220" s="13">
        <v>77.852999999999994</v>
      </c>
      <c r="D220" s="6">
        <f t="shared" si="21"/>
        <v>-1.14281360710069E-2</v>
      </c>
      <c r="E220" s="14">
        <f t="shared" si="22"/>
        <v>1.0933545527218225E-3</v>
      </c>
      <c r="F220" s="9">
        <f t="shared" si="23"/>
        <v>15.871087954889839</v>
      </c>
      <c r="G220" s="9">
        <f t="shared" si="24"/>
        <v>-8.6103586833542384E-2</v>
      </c>
      <c r="H220" s="9">
        <f t="shared" si="25"/>
        <v>6.5869924407980336E-4</v>
      </c>
      <c r="I220" s="9">
        <f t="shared" si="26"/>
        <v>-5.3650067968745233E-3</v>
      </c>
      <c r="J220" s="9">
        <f t="shared" si="27"/>
        <v>15.7802780605035</v>
      </c>
    </row>
    <row r="221" spans="2:10" x14ac:dyDescent="0.25">
      <c r="B221" s="1">
        <v>43962</v>
      </c>
      <c r="C221" s="13">
        <v>78.753</v>
      </c>
      <c r="D221" s="6">
        <f t="shared" si="21"/>
        <v>1.5735235319154439E-2</v>
      </c>
      <c r="E221" s="14">
        <f t="shared" si="22"/>
        <v>1.092684382758404E-3</v>
      </c>
      <c r="F221" s="9">
        <f t="shared" si="23"/>
        <v>15.871701091255835</v>
      </c>
      <c r="G221" s="9">
        <f t="shared" si="24"/>
        <v>-7.8224815650709476E-2</v>
      </c>
      <c r="H221" s="9">
        <f t="shared" si="25"/>
        <v>-1.1557065767432116E-4</v>
      </c>
      <c r="I221" s="9">
        <f t="shared" si="26"/>
        <v>-2.377839434464572E-3</v>
      </c>
      <c r="J221" s="9">
        <f t="shared" si="27"/>
        <v>15.790982865512985</v>
      </c>
    </row>
    <row r="222" spans="2:10" x14ac:dyDescent="0.25">
      <c r="B222" s="1">
        <v>43959</v>
      </c>
      <c r="C222" s="13">
        <v>77.533000000000001</v>
      </c>
      <c r="D222" s="6">
        <f t="shared" si="21"/>
        <v>2.1044314216105864E-2</v>
      </c>
      <c r="E222" s="14">
        <f t="shared" si="22"/>
        <v>1.0917587727681489E-3</v>
      </c>
      <c r="F222" s="9">
        <f t="shared" si="23"/>
        <v>15.87254854754538</v>
      </c>
      <c r="G222" s="9">
        <f t="shared" si="24"/>
        <v>-9.1421953422762881E-2</v>
      </c>
      <c r="H222" s="9">
        <f t="shared" si="25"/>
        <v>-1.1907972555136682E-4</v>
      </c>
      <c r="I222" s="9">
        <f t="shared" si="26"/>
        <v>-3.1550360405942102E-3</v>
      </c>
      <c r="J222" s="9">
        <f t="shared" si="27"/>
        <v>15.77785247835647</v>
      </c>
    </row>
    <row r="223" spans="2:10" x14ac:dyDescent="0.25">
      <c r="B223" s="1">
        <v>43958</v>
      </c>
      <c r="C223" s="13">
        <v>75.935000000000002</v>
      </c>
      <c r="D223" s="6">
        <f t="shared" si="21"/>
        <v>1.0338220814816834E-2</v>
      </c>
      <c r="E223" s="14">
        <f t="shared" si="22"/>
        <v>1.0891805677742902E-3</v>
      </c>
      <c r="F223" s="9">
        <f t="shared" si="23"/>
        <v>15.8749128555726</v>
      </c>
      <c r="G223" s="9">
        <f t="shared" si="24"/>
        <v>-0.17358656194600294</v>
      </c>
      <c r="H223" s="9">
        <f t="shared" si="25"/>
        <v>-2.3427035434085571E-3</v>
      </c>
      <c r="I223" s="9">
        <f t="shared" si="26"/>
        <v>-1.0866208611691172E-2</v>
      </c>
      <c r="J223" s="9">
        <f t="shared" si="27"/>
        <v>15.688117381471496</v>
      </c>
    </row>
    <row r="224" spans="2:10" x14ac:dyDescent="0.25">
      <c r="B224" s="1">
        <v>43957</v>
      </c>
      <c r="C224" s="13">
        <v>75.158000000000001</v>
      </c>
      <c r="D224" s="6">
        <f t="shared" si="21"/>
        <v>1.0323968275305795E-2</v>
      </c>
      <c r="E224" s="14">
        <f t="shared" si="22"/>
        <v>1.0886192459063613E-3</v>
      </c>
      <c r="F224" s="9">
        <f t="shared" si="23"/>
        <v>15.875428350042599</v>
      </c>
      <c r="G224" s="9">
        <f t="shared" si="24"/>
        <v>-3.4954293555191418E-2</v>
      </c>
      <c r="H224" s="9">
        <f t="shared" si="25"/>
        <v>1.4180115947501777E-4</v>
      </c>
      <c r="I224" s="9">
        <f t="shared" si="26"/>
        <v>-2.0690928179821779E-3</v>
      </c>
      <c r="J224" s="9">
        <f t="shared" si="27"/>
        <v>15.838546764828902</v>
      </c>
    </row>
    <row r="225" spans="2:10" x14ac:dyDescent="0.25">
      <c r="B225" s="1">
        <v>43956</v>
      </c>
      <c r="C225" s="13">
        <v>74.39</v>
      </c>
      <c r="D225" s="6">
        <f t="shared" si="21"/>
        <v>1.5008868877063541E-2</v>
      </c>
      <c r="E225" s="14">
        <f t="shared" si="22"/>
        <v>1.0883202386556845E-3</v>
      </c>
      <c r="F225" s="9">
        <f t="shared" si="23"/>
        <v>15.875703054281901</v>
      </c>
      <c r="G225" s="9">
        <f t="shared" si="24"/>
        <v>-3.4849576230874431E-2</v>
      </c>
      <c r="H225" s="9">
        <f t="shared" si="25"/>
        <v>2.9660055483527413E-4</v>
      </c>
      <c r="I225" s="9">
        <f t="shared" si="26"/>
        <v>-1.4316085476446616E-3</v>
      </c>
      <c r="J225" s="9">
        <f t="shared" si="27"/>
        <v>15.839718470058218</v>
      </c>
    </row>
    <row r="226" spans="2:10" x14ac:dyDescent="0.25">
      <c r="B226" s="1">
        <v>43955</v>
      </c>
      <c r="C226" s="13">
        <v>73.290000000000006</v>
      </c>
      <c r="D226" s="6">
        <f t="shared" si="21"/>
        <v>1.4141805501743487E-2</v>
      </c>
      <c r="E226" s="14">
        <f t="shared" si="22"/>
        <v>1.0868328639716573E-3</v>
      </c>
      <c r="F226" s="9">
        <f t="shared" si="23"/>
        <v>15.877070659085495</v>
      </c>
      <c r="G226" s="9">
        <f t="shared" si="24"/>
        <v>-8.2623085527929213E-2</v>
      </c>
      <c r="H226" s="9">
        <f t="shared" si="25"/>
        <v>-6.2489699498397336E-4</v>
      </c>
      <c r="I226" s="9">
        <f t="shared" si="26"/>
        <v>-5.2471773141349442E-3</v>
      </c>
      <c r="J226" s="9">
        <f t="shared" si="27"/>
        <v>15.788575499248447</v>
      </c>
    </row>
    <row r="227" spans="2:10" x14ac:dyDescent="0.25">
      <c r="B227" s="1">
        <v>43952</v>
      </c>
      <c r="C227" s="13">
        <v>72.268000000000001</v>
      </c>
      <c r="D227" s="6">
        <f t="shared" si="21"/>
        <v>-1.6092579986385358E-2</v>
      </c>
      <c r="E227" s="14">
        <f t="shared" si="22"/>
        <v>1.0859144673716719E-3</v>
      </c>
      <c r="F227" s="9">
        <f t="shared" si="23"/>
        <v>15.87791603732293</v>
      </c>
      <c r="G227" s="9">
        <f t="shared" si="24"/>
        <v>-7.2323869290419243E-2</v>
      </c>
      <c r="H227" s="9">
        <f t="shared" si="25"/>
        <v>-1.0005181909257393E-4</v>
      </c>
      <c r="I227" s="9">
        <f t="shared" si="26"/>
        <v>-3.1167911234867857E-3</v>
      </c>
      <c r="J227" s="9">
        <f t="shared" si="27"/>
        <v>15.80237532508993</v>
      </c>
    </row>
    <row r="228" spans="2:10" x14ac:dyDescent="0.25">
      <c r="B228" s="1">
        <v>43951</v>
      </c>
      <c r="C228" s="13">
        <v>73.45</v>
      </c>
      <c r="D228" s="6">
        <f t="shared" si="21"/>
        <v>2.108906899475893E-2</v>
      </c>
      <c r="E228" s="14">
        <f t="shared" si="22"/>
        <v>1.0833250523181318E-3</v>
      </c>
      <c r="F228" s="9">
        <f t="shared" si="23"/>
        <v>15.880303432776438</v>
      </c>
      <c r="G228" s="9">
        <f t="shared" si="24"/>
        <v>-0.14535113600624722</v>
      </c>
      <c r="H228" s="9">
        <f t="shared" si="25"/>
        <v>2.1630662213140408E-3</v>
      </c>
      <c r="I228" s="9">
        <f t="shared" si="26"/>
        <v>-1.0934234992987473E-2</v>
      </c>
      <c r="J228" s="9">
        <f t="shared" si="27"/>
        <v>15.726181127998517</v>
      </c>
    </row>
    <row r="229" spans="2:10" x14ac:dyDescent="0.25">
      <c r="B229" s="1">
        <v>43950</v>
      </c>
      <c r="C229" s="13">
        <v>71.933000000000007</v>
      </c>
      <c r="D229" s="6">
        <f t="shared" si="21"/>
        <v>3.2852322492641362E-2</v>
      </c>
      <c r="E229" s="14">
        <f t="shared" si="22"/>
        <v>1.0802167164810804E-3</v>
      </c>
      <c r="F229" s="9">
        <f t="shared" si="23"/>
        <v>15.883176811992398</v>
      </c>
      <c r="G229" s="9">
        <f t="shared" si="24"/>
        <v>-0.17583479796377965</v>
      </c>
      <c r="H229" s="9">
        <f t="shared" si="25"/>
        <v>-3.0738211117182835E-3</v>
      </c>
      <c r="I229" s="9">
        <f t="shared" si="26"/>
        <v>-1.4338182192724718E-2</v>
      </c>
      <c r="J229" s="9">
        <f t="shared" si="27"/>
        <v>15.689930010724174</v>
      </c>
    </row>
    <row r="230" spans="2:10" x14ac:dyDescent="0.25">
      <c r="B230" s="1">
        <v>43949</v>
      </c>
      <c r="C230" s="13">
        <v>69.644999999999996</v>
      </c>
      <c r="D230" s="6">
        <f t="shared" si="21"/>
        <v>-1.6216292571299529E-2</v>
      </c>
      <c r="E230" s="14">
        <f t="shared" si="22"/>
        <v>1.0721718607272243E-3</v>
      </c>
      <c r="F230" s="9">
        <f t="shared" si="23"/>
        <v>15.890652128765089</v>
      </c>
      <c r="G230" s="9">
        <f t="shared" si="24"/>
        <v>-0.45602959638011914</v>
      </c>
      <c r="H230" s="9">
        <f t="shared" si="25"/>
        <v>-1.5599220037218144E-2</v>
      </c>
      <c r="I230" s="9">
        <f t="shared" si="26"/>
        <v>-7.0068189416731388E-2</v>
      </c>
      <c r="J230" s="9">
        <f t="shared" si="27"/>
        <v>15.348955122931018</v>
      </c>
    </row>
    <row r="231" spans="2:10" x14ac:dyDescent="0.25">
      <c r="B231" s="1">
        <v>43948</v>
      </c>
      <c r="C231" s="13">
        <v>70.793000000000006</v>
      </c>
      <c r="D231" s="6">
        <f t="shared" si="21"/>
        <v>7.0678371004917473E-4</v>
      </c>
      <c r="E231" s="14">
        <f t="shared" si="22"/>
        <v>1.0756359097279242E-3</v>
      </c>
      <c r="F231" s="9">
        <f t="shared" si="23"/>
        <v>15.887426465787291</v>
      </c>
      <c r="G231" s="9">
        <f t="shared" si="24"/>
        <v>-0.14844136934953542</v>
      </c>
      <c r="H231" s="9">
        <f t="shared" si="25"/>
        <v>-5.2316064809246592E-3</v>
      </c>
      <c r="I231" s="9">
        <f t="shared" si="26"/>
        <v>-5.3052066392696084E-3</v>
      </c>
      <c r="J231" s="9">
        <f t="shared" si="27"/>
        <v>15.728448283317562</v>
      </c>
    </row>
    <row r="232" spans="2:10" x14ac:dyDescent="0.25">
      <c r="B232" s="1">
        <v>43945</v>
      </c>
      <c r="C232" s="13">
        <v>70.742999999999995</v>
      </c>
      <c r="D232" s="6">
        <f t="shared" si="21"/>
        <v>2.8884331777127903E-2</v>
      </c>
      <c r="E232" s="14">
        <f t="shared" si="22"/>
        <v>1.079272353825098E-3</v>
      </c>
      <c r="F232" s="9">
        <f t="shared" si="23"/>
        <v>15.884051428797983</v>
      </c>
      <c r="G232" s="9">
        <f t="shared" si="24"/>
        <v>-3.9375966672705636E-4</v>
      </c>
      <c r="H232" s="9">
        <f t="shared" si="25"/>
        <v>-2.7986543248508899E-4</v>
      </c>
      <c r="I232" s="9">
        <f t="shared" si="26"/>
        <v>-6.0189263729629331E-3</v>
      </c>
      <c r="J232" s="9">
        <f t="shared" si="27"/>
        <v>15.877358877325808</v>
      </c>
    </row>
    <row r="233" spans="2:10" x14ac:dyDescent="0.25">
      <c r="B233" s="1">
        <v>43944</v>
      </c>
      <c r="C233" s="13">
        <v>68.757000000000005</v>
      </c>
      <c r="D233" s="6">
        <f t="shared" si="21"/>
        <v>-3.8826512133285362E-3</v>
      </c>
      <c r="E233" s="14">
        <f t="shared" si="22"/>
        <v>1.0731262014759676E-3</v>
      </c>
      <c r="F233" s="9">
        <f t="shared" si="23"/>
        <v>15.889762424132888</v>
      </c>
      <c r="G233" s="9">
        <f t="shared" si="24"/>
        <v>-0.34718267026081445</v>
      </c>
      <c r="H233" s="9">
        <f t="shared" si="25"/>
        <v>-1.0038823624939852E-2</v>
      </c>
      <c r="I233" s="9">
        <f t="shared" si="26"/>
        <v>-4.364913985811894E-2</v>
      </c>
      <c r="J233" s="9">
        <f t="shared" si="27"/>
        <v>15.488891790389015</v>
      </c>
    </row>
    <row r="234" spans="2:10" x14ac:dyDescent="0.25">
      <c r="B234" s="1">
        <v>43943</v>
      </c>
      <c r="C234" s="13">
        <v>69.025000000000006</v>
      </c>
      <c r="D234" s="6">
        <f t="shared" si="21"/>
        <v>2.8795850535823453E-2</v>
      </c>
      <c r="E234" s="14">
        <f t="shared" si="22"/>
        <v>1.0779287795816784E-3</v>
      </c>
      <c r="F234" s="9">
        <f t="shared" si="23"/>
        <v>15.885297093280858</v>
      </c>
      <c r="G234" s="9">
        <f t="shared" si="24"/>
        <v>-1.4124282839367371E-2</v>
      </c>
      <c r="H234" s="9">
        <f t="shared" si="25"/>
        <v>-2.1179719239248053E-3</v>
      </c>
      <c r="I234" s="9">
        <f t="shared" si="26"/>
        <v>-1.2506784621387452E-2</v>
      </c>
      <c r="J234" s="9">
        <f t="shared" si="27"/>
        <v>15.85654805389618</v>
      </c>
    </row>
    <row r="235" spans="2:10" x14ac:dyDescent="0.25">
      <c r="B235" s="1">
        <v>43942</v>
      </c>
      <c r="C235" s="13">
        <v>67.093000000000004</v>
      </c>
      <c r="D235" s="6">
        <f t="shared" si="21"/>
        <v>-3.0910115118512826E-2</v>
      </c>
      <c r="E235" s="14">
        <f t="shared" si="22"/>
        <v>1.0722663339930863E-3</v>
      </c>
      <c r="F235" s="9">
        <f t="shared" si="23"/>
        <v>15.890564018726613</v>
      </c>
      <c r="G235" s="9">
        <f t="shared" si="24"/>
        <v>-0.34520889631401719</v>
      </c>
      <c r="H235" s="9">
        <f t="shared" si="25"/>
        <v>-9.1080273806814493E-3</v>
      </c>
      <c r="I235" s="9">
        <f t="shared" si="26"/>
        <v>-3.7934534859516304E-2</v>
      </c>
      <c r="J235" s="9">
        <f t="shared" si="27"/>
        <v>15.498312560172396</v>
      </c>
    </row>
    <row r="236" spans="2:10" x14ac:dyDescent="0.25">
      <c r="B236" s="1">
        <v>43941</v>
      </c>
      <c r="C236" s="13">
        <v>69.233000000000004</v>
      </c>
      <c r="D236" s="6">
        <f t="shared" si="21"/>
        <v>-2.0749646393210752E-2</v>
      </c>
      <c r="E236" s="14">
        <f t="shared" si="22"/>
        <v>1.0645514069279648E-3</v>
      </c>
      <c r="F236" s="9">
        <f t="shared" si="23"/>
        <v>15.897785000133082</v>
      </c>
      <c r="G236" s="9">
        <f t="shared" si="24"/>
        <v>-0.49871683999150146</v>
      </c>
      <c r="H236" s="9">
        <f t="shared" si="25"/>
        <v>1.562562202975068E-2</v>
      </c>
      <c r="I236" s="9">
        <f t="shared" si="26"/>
        <v>-6.5310464827036133E-2</v>
      </c>
      <c r="J236" s="9">
        <f t="shared" si="27"/>
        <v>15.349383317344294</v>
      </c>
    </row>
    <row r="237" spans="2:10" x14ac:dyDescent="0.25">
      <c r="B237" s="1">
        <v>43938</v>
      </c>
      <c r="C237" s="13">
        <v>70.7</v>
      </c>
      <c r="D237" s="6">
        <f t="shared" si="21"/>
        <v>-1.3575544486766233E-2</v>
      </c>
      <c r="E237" s="14">
        <f t="shared" si="22"/>
        <v>1.0603579346337502E-3</v>
      </c>
      <c r="F237" s="9">
        <f t="shared" si="23"/>
        <v>15.901731971099062</v>
      </c>
      <c r="G237" s="9">
        <f t="shared" si="24"/>
        <v>-0.23681233446812885</v>
      </c>
      <c r="H237" s="9">
        <f t="shared" si="25"/>
        <v>5.293733581640387E-3</v>
      </c>
      <c r="I237" s="9">
        <f t="shared" si="26"/>
        <v>-2.3079054278441737E-2</v>
      </c>
      <c r="J237" s="9">
        <f t="shared" si="27"/>
        <v>15.647134315934132</v>
      </c>
    </row>
    <row r="238" spans="2:10" x14ac:dyDescent="0.25">
      <c r="B238" s="1">
        <v>43937</v>
      </c>
      <c r="C238" s="13">
        <v>71.673000000000002</v>
      </c>
      <c r="D238" s="6">
        <f t="shared" si="21"/>
        <v>7.9456601226304269E-3</v>
      </c>
      <c r="E238" s="14">
        <f t="shared" si="22"/>
        <v>1.0594737384231276E-3</v>
      </c>
      <c r="F238" s="9">
        <f t="shared" si="23"/>
        <v>15.902566184752098</v>
      </c>
      <c r="G238" s="9">
        <f t="shared" si="24"/>
        <v>-0.1093995588091534</v>
      </c>
      <c r="H238" s="9">
        <f t="shared" si="25"/>
        <v>8.8291070724769288E-5</v>
      </c>
      <c r="I238" s="9">
        <f t="shared" si="26"/>
        <v>-2.939687409629205E-3</v>
      </c>
      <c r="J238" s="9">
        <f t="shared" si="27"/>
        <v>15.79031522960404</v>
      </c>
    </row>
    <row r="239" spans="2:10" x14ac:dyDescent="0.25">
      <c r="B239" s="1">
        <v>43936</v>
      </c>
      <c r="C239" s="13">
        <v>71.108000000000004</v>
      </c>
      <c r="D239" s="6">
        <f t="shared" si="21"/>
        <v>-9.1272661399328658E-3</v>
      </c>
      <c r="E239" s="14">
        <f t="shared" si="22"/>
        <v>1.0593254036672375E-3</v>
      </c>
      <c r="F239" s="9">
        <f t="shared" si="23"/>
        <v>15.902706202513277</v>
      </c>
      <c r="G239" s="9">
        <f t="shared" si="24"/>
        <v>-1.8898438698935843E-2</v>
      </c>
      <c r="H239" s="9">
        <f t="shared" si="25"/>
        <v>2.878366144618832E-4</v>
      </c>
      <c r="I239" s="9">
        <f t="shared" si="26"/>
        <v>-1.055258774171314E-3</v>
      </c>
      <c r="J239" s="9">
        <f t="shared" si="27"/>
        <v>15.883040341654633</v>
      </c>
    </row>
    <row r="240" spans="2:10" x14ac:dyDescent="0.25">
      <c r="B240" s="1">
        <v>43935</v>
      </c>
      <c r="C240" s="13">
        <v>71.763000000000005</v>
      </c>
      <c r="D240" s="6">
        <f t="shared" si="21"/>
        <v>5.0502832550173515E-2</v>
      </c>
      <c r="E240" s="14">
        <f t="shared" si="22"/>
        <v>1.06024497277893E-3</v>
      </c>
      <c r="F240" s="9">
        <f t="shared" si="23"/>
        <v>15.901838508588503</v>
      </c>
      <c r="G240" s="9">
        <f t="shared" si="24"/>
        <v>-5.470622932857247E-2</v>
      </c>
      <c r="H240" s="9">
        <f t="shared" si="25"/>
        <v>-1.2904798557472304E-3</v>
      </c>
      <c r="I240" s="9">
        <f t="shared" si="26"/>
        <v>-9.8611399443174277E-7</v>
      </c>
      <c r="J240" s="9">
        <f t="shared" si="27"/>
        <v>15.84584081329019</v>
      </c>
    </row>
    <row r="241" spans="2:10" x14ac:dyDescent="0.25">
      <c r="B241" s="1">
        <v>43934</v>
      </c>
      <c r="C241" s="13">
        <v>68.313000000000002</v>
      </c>
      <c r="D241" s="6">
        <f t="shared" si="21"/>
        <v>1.9627451565718435E-2</v>
      </c>
      <c r="E241" s="14">
        <f t="shared" si="22"/>
        <v>1.0406636845675054E-3</v>
      </c>
      <c r="F241" s="9">
        <f t="shared" si="23"/>
        <v>15.920479828551839</v>
      </c>
      <c r="G241" s="9">
        <f t="shared" si="24"/>
        <v>-1.1511316910080314</v>
      </c>
      <c r="H241" s="9">
        <f t="shared" si="25"/>
        <v>-6.5219543230677704E-2</v>
      </c>
      <c r="I241" s="9">
        <f t="shared" si="26"/>
        <v>-0.37313886745702596</v>
      </c>
      <c r="J241" s="9">
        <f t="shared" si="27"/>
        <v>14.330989726856105</v>
      </c>
    </row>
    <row r="242" spans="2:10" x14ac:dyDescent="0.25">
      <c r="B242" s="1">
        <v>43930</v>
      </c>
      <c r="C242" s="13">
        <v>66.998000000000005</v>
      </c>
      <c r="D242" s="6">
        <f t="shared" si="21"/>
        <v>7.2160918849033528E-3</v>
      </c>
      <c r="E242" s="14">
        <f t="shared" si="22"/>
        <v>1.0380221519709972E-3</v>
      </c>
      <c r="F242" s="9">
        <f t="shared" si="23"/>
        <v>15.923021370878223</v>
      </c>
      <c r="G242" s="9">
        <f t="shared" si="24"/>
        <v>-0.15652965184879883</v>
      </c>
      <c r="H242" s="9">
        <f t="shared" si="25"/>
        <v>-2.359989549508786E-3</v>
      </c>
      <c r="I242" s="9">
        <f t="shared" si="26"/>
        <v>-1.1266352311882678E-2</v>
      </c>
      <c r="J242" s="9">
        <f t="shared" si="27"/>
        <v>15.752865377168034</v>
      </c>
    </row>
    <row r="243" spans="2:10" x14ac:dyDescent="0.25">
      <c r="B243" s="1">
        <v>43929</v>
      </c>
      <c r="C243" s="13">
        <v>66.518000000000001</v>
      </c>
      <c r="D243" s="6">
        <f t="shared" si="21"/>
        <v>2.5594375404730307E-2</v>
      </c>
      <c r="E243" s="14">
        <f t="shared" si="22"/>
        <v>1.0380192648578165E-3</v>
      </c>
      <c r="F243" s="9">
        <f t="shared" si="23"/>
        <v>15.923024152241984</v>
      </c>
      <c r="G243" s="9">
        <f t="shared" si="24"/>
        <v>-1.5089545133065851E-2</v>
      </c>
      <c r="H243" s="9">
        <f t="shared" si="25"/>
        <v>3.1773049154265099E-4</v>
      </c>
      <c r="I243" s="9">
        <f t="shared" si="26"/>
        <v>-7.521712112479557E-4</v>
      </c>
      <c r="J243" s="9">
        <f t="shared" si="27"/>
        <v>15.907500166389212</v>
      </c>
    </row>
    <row r="244" spans="2:10" x14ac:dyDescent="0.25">
      <c r="B244" s="1">
        <v>43928</v>
      </c>
      <c r="C244" s="13">
        <v>64.858000000000004</v>
      </c>
      <c r="D244" s="6">
        <f t="shared" si="21"/>
        <v>-1.1582187814319078E-2</v>
      </c>
      <c r="E244" s="14">
        <f t="shared" si="22"/>
        <v>1.0332654443641683E-3</v>
      </c>
      <c r="F244" s="9">
        <f t="shared" si="23"/>
        <v>15.927614374744428</v>
      </c>
      <c r="G244" s="9">
        <f t="shared" si="24"/>
        <v>-0.27878517942983289</v>
      </c>
      <c r="H244" s="9">
        <f t="shared" si="25"/>
        <v>-6.7796230927833897E-3</v>
      </c>
      <c r="I244" s="9">
        <f t="shared" si="26"/>
        <v>-2.8666339756385165E-2</v>
      </c>
      <c r="J244" s="9">
        <f t="shared" si="27"/>
        <v>15.613383232465425</v>
      </c>
    </row>
    <row r="245" spans="2:10" x14ac:dyDescent="0.25">
      <c r="B245" s="1">
        <v>43927</v>
      </c>
      <c r="C245" s="13">
        <v>65.617999999999995</v>
      </c>
      <c r="D245" s="6">
        <f t="shared" si="21"/>
        <v>8.7236757079184102E-2</v>
      </c>
      <c r="E245" s="14">
        <f t="shared" si="22"/>
        <v>1.0319377969675335E-3</v>
      </c>
      <c r="F245" s="9">
        <f t="shared" si="23"/>
        <v>15.928900105420187</v>
      </c>
      <c r="G245" s="9">
        <f t="shared" si="24"/>
        <v>-8.479591266152528E-2</v>
      </c>
      <c r="H245" s="9">
        <f t="shared" si="25"/>
        <v>4.9849583991223834E-4</v>
      </c>
      <c r="I245" s="9">
        <f t="shared" si="26"/>
        <v>-4.4679261499511232E-3</v>
      </c>
      <c r="J245" s="9">
        <f t="shared" si="27"/>
        <v>15.840134762448622</v>
      </c>
    </row>
    <row r="246" spans="2:10" x14ac:dyDescent="0.25">
      <c r="B246" s="1">
        <v>43924</v>
      </c>
      <c r="C246" s="13">
        <v>60.353000000000002</v>
      </c>
      <c r="D246" s="6">
        <f t="shared" si="21"/>
        <v>-1.4371335717668465E-2</v>
      </c>
      <c r="E246" s="14">
        <f t="shared" si="22"/>
        <v>9.7556086200407206E-4</v>
      </c>
      <c r="F246" s="9">
        <f t="shared" si="23"/>
        <v>15.985081226698794</v>
      </c>
      <c r="G246" s="9">
        <f t="shared" si="24"/>
        <v>-3.7674013917911768</v>
      </c>
      <c r="H246" s="9">
        <f t="shared" si="25"/>
        <v>-0.36061890649138278</v>
      </c>
      <c r="I246" s="9">
        <f t="shared" si="26"/>
        <v>-3.0972088142613265</v>
      </c>
      <c r="J246" s="9">
        <f t="shared" si="27"/>
        <v>8.7598521141549082</v>
      </c>
    </row>
    <row r="247" spans="2:10" x14ac:dyDescent="0.25">
      <c r="B247" s="1">
        <v>43923</v>
      </c>
      <c r="C247" s="13">
        <v>61.232999999999997</v>
      </c>
      <c r="D247" s="6">
        <f t="shared" si="21"/>
        <v>1.6686590954373415E-2</v>
      </c>
      <c r="E247" s="14">
        <f t="shared" si="22"/>
        <v>9.748900013357958E-4</v>
      </c>
      <c r="F247" s="9">
        <f t="shared" si="23"/>
        <v>15.985769129898348</v>
      </c>
      <c r="G247" s="9">
        <f t="shared" si="24"/>
        <v>-0.13166374545680673</v>
      </c>
      <c r="H247" s="9">
        <f t="shared" si="25"/>
        <v>-1.5789879048005114E-4</v>
      </c>
      <c r="I247" s="9">
        <f t="shared" si="26"/>
        <v>-2.0836409734364112E-3</v>
      </c>
      <c r="J247" s="9">
        <f t="shared" si="27"/>
        <v>15.851863844677624</v>
      </c>
    </row>
    <row r="248" spans="2:10" x14ac:dyDescent="0.25">
      <c r="B248" s="1">
        <v>43922</v>
      </c>
      <c r="C248" s="13">
        <v>60.228000000000002</v>
      </c>
      <c r="D248" s="6">
        <f t="shared" si="21"/>
        <v>-5.261667689113303E-2</v>
      </c>
      <c r="E248" s="14">
        <f t="shared" si="22"/>
        <v>9.7380641324975995E-4</v>
      </c>
      <c r="F248" s="9">
        <f t="shared" si="23"/>
        <v>15.986881245864291</v>
      </c>
      <c r="G248" s="9">
        <f t="shared" si="24"/>
        <v>-0.1167849489176413</v>
      </c>
      <c r="H248" s="9">
        <f t="shared" si="25"/>
        <v>-3.2314925145767603E-4</v>
      </c>
      <c r="I248" s="9">
        <f t="shared" si="26"/>
        <v>-3.4023000492204507E-3</v>
      </c>
      <c r="J248" s="9">
        <f t="shared" si="27"/>
        <v>15.866370847645973</v>
      </c>
    </row>
    <row r="249" spans="2:10" x14ac:dyDescent="0.25">
      <c r="B249" s="1">
        <v>43921</v>
      </c>
      <c r="C249" s="13">
        <v>63.573</v>
      </c>
      <c r="D249" s="6">
        <f t="shared" si="21"/>
        <v>-2.0407202172582073E-3</v>
      </c>
      <c r="E249" s="14">
        <f t="shared" si="22"/>
        <v>9.5103251899600035E-4</v>
      </c>
      <c r="F249" s="9">
        <f t="shared" si="23"/>
        <v>16.010545518900223</v>
      </c>
      <c r="G249" s="9">
        <f t="shared" si="24"/>
        <v>-1.5515355504986061</v>
      </c>
      <c r="H249" s="9">
        <f t="shared" si="25"/>
        <v>9.2669877497174272E-2</v>
      </c>
      <c r="I249" s="9">
        <f t="shared" si="26"/>
        <v>-0.53856510437403415</v>
      </c>
      <c r="J249" s="9">
        <f t="shared" si="27"/>
        <v>14.013114741524756</v>
      </c>
    </row>
    <row r="250" spans="2:10" x14ac:dyDescent="0.25">
      <c r="B250" s="1">
        <v>43920</v>
      </c>
      <c r="C250" s="13">
        <v>63.703000000000003</v>
      </c>
      <c r="D250" s="6">
        <f t="shared" si="21"/>
        <v>2.8546056349398663E-2</v>
      </c>
      <c r="E250" s="14">
        <f t="shared" si="22"/>
        <v>9.5094487693457249E-4</v>
      </c>
      <c r="F250" s="9">
        <f t="shared" si="23"/>
        <v>16.010637677788839</v>
      </c>
      <c r="G250" s="9">
        <f t="shared" si="24"/>
        <v>-7.0953353729238415E-3</v>
      </c>
      <c r="H250" s="9">
        <f t="shared" si="25"/>
        <v>-2.034578591944513E-4</v>
      </c>
      <c r="I250" s="9">
        <f t="shared" si="26"/>
        <v>-7.1852096751674733E-4</v>
      </c>
      <c r="J250" s="9">
        <f t="shared" si="27"/>
        <v>16.002620363589205</v>
      </c>
    </row>
    <row r="251" spans="2:10" x14ac:dyDescent="0.25">
      <c r="B251" s="1">
        <v>43917</v>
      </c>
      <c r="C251" s="13">
        <v>61.935000000000002</v>
      </c>
      <c r="D251" s="6">
        <f t="shared" si="21"/>
        <v>-4.1402259712118861E-2</v>
      </c>
      <c r="E251" s="14">
        <f t="shared" si="22"/>
        <v>9.5071870158441288E-4</v>
      </c>
      <c r="F251" s="9">
        <f t="shared" si="23"/>
        <v>16.010875548833731</v>
      </c>
      <c r="G251" s="9">
        <f t="shared" si="24"/>
        <v>-0.382216686680522</v>
      </c>
      <c r="H251" s="9">
        <f t="shared" si="25"/>
        <v>1.2034278025997555E-3</v>
      </c>
      <c r="I251" s="9">
        <f t="shared" si="26"/>
        <v>-9.6815182592531002E-4</v>
      </c>
      <c r="J251" s="9">
        <f t="shared" si="27"/>
        <v>15.628894138129883</v>
      </c>
    </row>
    <row r="252" spans="2:10" x14ac:dyDescent="0.25">
      <c r="B252" s="1">
        <v>43916</v>
      </c>
      <c r="C252" s="13">
        <v>64.61</v>
      </c>
      <c r="D252" s="6">
        <f t="shared" si="21"/>
        <v>5.2623004235907489E-2</v>
      </c>
      <c r="E252" s="14">
        <f t="shared" si="22"/>
        <v>9.356786471270477E-4</v>
      </c>
      <c r="F252" s="9">
        <f t="shared" si="23"/>
        <v>16.026821683580003</v>
      </c>
      <c r="G252" s="9">
        <f t="shared" si="24"/>
        <v>-0.99234193246874158</v>
      </c>
      <c r="H252" s="9">
        <f t="shared" si="25"/>
        <v>4.841910692699837E-2</v>
      </c>
      <c r="I252" s="9">
        <f t="shared" si="26"/>
        <v>-0.24607408148022417</v>
      </c>
      <c r="J252" s="9">
        <f t="shared" si="27"/>
        <v>14.836824776558036</v>
      </c>
    </row>
    <row r="253" spans="2:10" x14ac:dyDescent="0.25">
      <c r="B253" s="1">
        <v>43915</v>
      </c>
      <c r="C253" s="13">
        <v>61.38</v>
      </c>
      <c r="D253" s="6">
        <f t="shared" si="21"/>
        <v>-5.50874918988975E-3</v>
      </c>
      <c r="E253" s="14">
        <f t="shared" si="22"/>
        <v>9.198065105527006E-4</v>
      </c>
      <c r="F253" s="9">
        <f t="shared" si="23"/>
        <v>16.043930442081624</v>
      </c>
      <c r="G253" s="9">
        <f t="shared" si="24"/>
        <v>-1.4178266945030278</v>
      </c>
      <c r="H253" s="9">
        <f t="shared" si="25"/>
        <v>-6.1784228073494783E-2</v>
      </c>
      <c r="I253" s="9">
        <f t="shared" si="26"/>
        <v>-0.27652660514343913</v>
      </c>
      <c r="J253" s="9">
        <f t="shared" si="27"/>
        <v>14.287792914361662</v>
      </c>
    </row>
    <row r="254" spans="2:10" x14ac:dyDescent="0.25">
      <c r="B254" s="1">
        <v>43914</v>
      </c>
      <c r="C254" s="13">
        <v>61.72</v>
      </c>
      <c r="D254" s="6">
        <f t="shared" si="21"/>
        <v>0.10031554739450543</v>
      </c>
      <c r="E254" s="14">
        <f t="shared" si="22"/>
        <v>9.1944783269889984E-4</v>
      </c>
      <c r="F254" s="9">
        <f t="shared" si="23"/>
        <v>16.044320467376021</v>
      </c>
      <c r="G254" s="9">
        <f t="shared" si="24"/>
        <v>-2.777459848901824E-2</v>
      </c>
      <c r="H254" s="9">
        <f t="shared" si="25"/>
        <v>-2.5383488003376161E-4</v>
      </c>
      <c r="I254" s="9">
        <f t="shared" si="26"/>
        <v>-1.1696318724056147E-3</v>
      </c>
      <c r="J254" s="9">
        <f t="shared" si="27"/>
        <v>16.015122402134566</v>
      </c>
    </row>
    <row r="255" spans="2:10" x14ac:dyDescent="0.25">
      <c r="B255" s="1">
        <v>43913</v>
      </c>
      <c r="C255" s="13">
        <v>56.093000000000004</v>
      </c>
      <c r="D255" s="6">
        <f t="shared" si="21"/>
        <v>-2.1235386494503516E-2</v>
      </c>
      <c r="E255" s="14">
        <f t="shared" si="22"/>
        <v>8.4141867612305763E-4</v>
      </c>
      <c r="F255" s="9">
        <f t="shared" si="23"/>
        <v>16.133004407993091</v>
      </c>
      <c r="G255" s="9">
        <f t="shared" si="24"/>
        <v>-5.8045902501341127</v>
      </c>
      <c r="H255" s="9">
        <f t="shared" si="25"/>
        <v>-0.66976630644293422</v>
      </c>
      <c r="I255" s="9">
        <f t="shared" si="26"/>
        <v>-6.7864328479898566</v>
      </c>
      <c r="J255" s="9">
        <f t="shared" si="27"/>
        <v>2.8722150034261889</v>
      </c>
    </row>
    <row r="256" spans="2:10" x14ac:dyDescent="0.25">
      <c r="B256" s="1">
        <v>43910</v>
      </c>
      <c r="C256" s="13">
        <v>57.31</v>
      </c>
      <c r="D256" s="6">
        <f t="shared" si="21"/>
        <v>-6.3485578887163996E-2</v>
      </c>
      <c r="E256" s="14">
        <f t="shared" si="22"/>
        <v>8.376687975466307E-4</v>
      </c>
      <c r="F256" s="9">
        <f t="shared" si="23"/>
        <v>16.137470982688562</v>
      </c>
      <c r="G256" s="9">
        <f t="shared" si="24"/>
        <v>-0.31292287376033734</v>
      </c>
      <c r="H256" s="9">
        <f t="shared" si="25"/>
        <v>5.9512684124846758E-3</v>
      </c>
      <c r="I256" s="9">
        <f t="shared" si="26"/>
        <v>-2.0723184922499509E-2</v>
      </c>
      <c r="J256" s="9">
        <f t="shared" si="27"/>
        <v>15.809776192418211</v>
      </c>
    </row>
    <row r="257" spans="2:10" x14ac:dyDescent="0.25">
      <c r="B257" s="1">
        <v>43909</v>
      </c>
      <c r="C257" s="13">
        <v>61.195</v>
      </c>
      <c r="D257" s="6">
        <f t="shared" si="21"/>
        <v>-7.6701044301744625E-3</v>
      </c>
      <c r="E257" s="14">
        <f t="shared" si="22"/>
        <v>8.0332591573727445E-4</v>
      </c>
      <c r="F257" s="9">
        <f t="shared" si="23"/>
        <v>16.179333271136965</v>
      </c>
      <c r="G257" s="9">
        <f t="shared" si="24"/>
        <v>-2.6466465127798804</v>
      </c>
      <c r="H257" s="9">
        <f t="shared" si="25"/>
        <v>0.20102845689755733</v>
      </c>
      <c r="I257" s="9">
        <f t="shared" si="26"/>
        <v>-1.3983682214780306</v>
      </c>
      <c r="J257" s="9">
        <f t="shared" si="27"/>
        <v>12.335346993776611</v>
      </c>
    </row>
    <row r="258" spans="2:10" x14ac:dyDescent="0.25">
      <c r="B258" s="1">
        <v>43908</v>
      </c>
      <c r="C258" s="13">
        <v>61.667999999999999</v>
      </c>
      <c r="D258" s="6">
        <f t="shared" si="21"/>
        <v>-2.4472039863956407E-2</v>
      </c>
      <c r="E258" s="14">
        <f t="shared" si="22"/>
        <v>8.0429565723989349E-4</v>
      </c>
      <c r="F258" s="9">
        <f t="shared" si="23"/>
        <v>16.178126840921621</v>
      </c>
      <c r="G258" s="9">
        <f t="shared" si="24"/>
        <v>-5.3897119324000556E-2</v>
      </c>
      <c r="H258" s="9">
        <f t="shared" si="25"/>
        <v>-1.5135404162901316E-3</v>
      </c>
      <c r="I258" s="9">
        <f t="shared" si="26"/>
        <v>-2.2237257462997439E-4</v>
      </c>
      <c r="J258" s="9">
        <f t="shared" si="27"/>
        <v>16.122493808606698</v>
      </c>
    </row>
    <row r="259" spans="2:10" x14ac:dyDescent="0.25">
      <c r="B259" s="1">
        <v>43907</v>
      </c>
      <c r="C259" s="13">
        <v>63.215000000000003</v>
      </c>
      <c r="D259" s="6">
        <f t="shared" si="21"/>
        <v>4.3961488282991956E-2</v>
      </c>
      <c r="E259" s="14">
        <f t="shared" si="22"/>
        <v>7.9899425310464155E-4</v>
      </c>
      <c r="F259" s="9">
        <f t="shared" si="23"/>
        <v>16.184740022258413</v>
      </c>
      <c r="G259" s="9">
        <f t="shared" si="24"/>
        <v>-0.42753363413603068</v>
      </c>
      <c r="H259" s="9">
        <f t="shared" si="25"/>
        <v>1.0870116232442911E-2</v>
      </c>
      <c r="I259" s="9">
        <f t="shared" si="26"/>
        <v>-3.9195858231681882E-2</v>
      </c>
      <c r="J259" s="9">
        <f t="shared" si="27"/>
        <v>15.728880646123143</v>
      </c>
    </row>
    <row r="260" spans="2:10" x14ac:dyDescent="0.25">
      <c r="B260" s="1">
        <v>43906</v>
      </c>
      <c r="C260" s="13">
        <v>60.552999999999997</v>
      </c>
      <c r="D260" s="6">
        <f t="shared" si="21"/>
        <v>-0.12864605068136359</v>
      </c>
      <c r="E260" s="14">
        <f t="shared" si="22"/>
        <v>7.8400525460771647E-4</v>
      </c>
      <c r="F260" s="9">
        <f t="shared" si="23"/>
        <v>16.203678052755151</v>
      </c>
      <c r="G260" s="9">
        <f t="shared" si="24"/>
        <v>-1.1463461357875049</v>
      </c>
      <c r="H260" s="9">
        <f t="shared" si="25"/>
        <v>-5.6648425821235797E-2</v>
      </c>
      <c r="I260" s="9">
        <f t="shared" si="26"/>
        <v>-0.28255101178382114</v>
      </c>
      <c r="J260" s="9">
        <f t="shared" si="27"/>
        <v>14.718132479362589</v>
      </c>
    </row>
    <row r="261" spans="2:10" x14ac:dyDescent="0.25">
      <c r="B261" s="1">
        <v>43903</v>
      </c>
      <c r="C261" s="13">
        <v>69.492999999999995</v>
      </c>
      <c r="D261" s="6">
        <f t="shared" si="21"/>
        <v>0.11980727706339223</v>
      </c>
      <c r="E261" s="14">
        <f t="shared" si="22"/>
        <v>6.4455061914844207E-4</v>
      </c>
      <c r="F261" s="9">
        <f t="shared" si="23"/>
        <v>16.399540415909964</v>
      </c>
      <c r="G261" s="9">
        <f t="shared" si="24"/>
        <v>-13.204067466116049</v>
      </c>
      <c r="H261" s="9">
        <f t="shared" si="25"/>
        <v>2.0721657505017452</v>
      </c>
      <c r="I261" s="9">
        <f t="shared" si="26"/>
        <v>-27.979807126741555</v>
      </c>
      <c r="J261" s="9">
        <f t="shared" si="27"/>
        <v>-22.712168426445896</v>
      </c>
    </row>
    <row r="262" spans="2:10" x14ac:dyDescent="0.25">
      <c r="B262" s="1">
        <v>43902</v>
      </c>
      <c r="C262" s="13">
        <v>62.058</v>
      </c>
      <c r="D262" s="6">
        <f t="shared" si="21"/>
        <v>-9.8753957419617233E-2</v>
      </c>
      <c r="E262" s="14">
        <f t="shared" si="22"/>
        <v>5.2908723852803914E-4</v>
      </c>
      <c r="F262" s="9">
        <f t="shared" si="23"/>
        <v>16.596940444975772</v>
      </c>
      <c r="G262" s="9">
        <f t="shared" si="24"/>
        <v>-13.237727278939543</v>
      </c>
      <c r="H262" s="9">
        <f t="shared" si="25"/>
        <v>-1.8937904143104829</v>
      </c>
      <c r="I262" s="9">
        <f t="shared" si="26"/>
        <v>-23.307994241678585</v>
      </c>
      <c r="J262" s="9">
        <f t="shared" si="27"/>
        <v>-21.842571489952839</v>
      </c>
    </row>
    <row r="263" spans="2:10" x14ac:dyDescent="0.25">
      <c r="B263" s="1">
        <v>43901</v>
      </c>
      <c r="C263" s="13">
        <v>68.858000000000004</v>
      </c>
      <c r="D263" s="6">
        <f t="shared" si="21"/>
        <v>-3.4723487768977268E-2</v>
      </c>
      <c r="E263" s="14">
        <f t="shared" si="22"/>
        <v>4.4565663870764065E-4</v>
      </c>
      <c r="F263" s="9">
        <f t="shared" si="23"/>
        <v>16.768544988238155</v>
      </c>
      <c r="G263" s="9">
        <f t="shared" si="24"/>
        <v>-11.338577614175307</v>
      </c>
      <c r="H263" s="9">
        <f t="shared" si="25"/>
        <v>1.3762035039188156</v>
      </c>
      <c r="I263" s="9">
        <f t="shared" si="26"/>
        <v>-14.40693917229296</v>
      </c>
      <c r="J263" s="9">
        <f t="shared" si="27"/>
        <v>-7.6007682943112966</v>
      </c>
    </row>
    <row r="264" spans="2:10" x14ac:dyDescent="0.25">
      <c r="B264" s="1">
        <v>43900</v>
      </c>
      <c r="C264" s="13">
        <v>71.334999999999994</v>
      </c>
      <c r="D264" s="6">
        <f t="shared" si="21"/>
        <v>7.2013585200546792E-2</v>
      </c>
      <c r="E264" s="14">
        <f t="shared" si="22"/>
        <v>4.3430505013471572E-4</v>
      </c>
      <c r="F264" s="9">
        <f t="shared" si="23"/>
        <v>16.794346607698525</v>
      </c>
      <c r="G264" s="9">
        <f t="shared" si="24"/>
        <v>-1.5257634709709667</v>
      </c>
      <c r="H264" s="9">
        <f t="shared" si="25"/>
        <v>6.5296715308134939E-2</v>
      </c>
      <c r="I264" s="9">
        <f t="shared" si="26"/>
        <v>-0.270130194506156</v>
      </c>
      <c r="J264" s="9">
        <f t="shared" si="27"/>
        <v>15.063749657529538</v>
      </c>
    </row>
    <row r="265" spans="2:10" x14ac:dyDescent="0.25">
      <c r="B265" s="1">
        <v>43899</v>
      </c>
      <c r="C265" s="13">
        <v>66.543000000000006</v>
      </c>
      <c r="D265" s="6">
        <f t="shared" si="21"/>
        <v>-7.9078843572249036E-2</v>
      </c>
      <c r="E265" s="14">
        <f t="shared" si="22"/>
        <v>3.9364898511439422E-4</v>
      </c>
      <c r="F265" s="9">
        <f t="shared" si="23"/>
        <v>16.892634163903729</v>
      </c>
      <c r="G265" s="9">
        <f t="shared" si="24"/>
        <v>-6.31131161517379</v>
      </c>
      <c r="H265" s="9">
        <f t="shared" si="25"/>
        <v>-0.52693466067518679</v>
      </c>
      <c r="I265" s="9">
        <f t="shared" si="26"/>
        <v>-3.8505421354554916</v>
      </c>
      <c r="J265" s="9">
        <f t="shared" si="27"/>
        <v>6.2038457525992623</v>
      </c>
    </row>
    <row r="266" spans="2:10" x14ac:dyDescent="0.25">
      <c r="B266" s="1">
        <v>43896</v>
      </c>
      <c r="C266" s="13">
        <v>72.257000000000005</v>
      </c>
      <c r="D266" s="6">
        <f t="shared" si="21"/>
        <v>-1.3286904274204536E-2</v>
      </c>
      <c r="E266" s="14">
        <f t="shared" si="22"/>
        <v>3.4262568107397558E-4</v>
      </c>
      <c r="F266" s="9">
        <f t="shared" si="23"/>
        <v>17.031455232956212</v>
      </c>
      <c r="G266" s="9">
        <f t="shared" si="24"/>
        <v>-9.5333837889752679</v>
      </c>
      <c r="H266" s="9">
        <f t="shared" si="25"/>
        <v>0.87473837703357682</v>
      </c>
      <c r="I266" s="9">
        <f t="shared" si="26"/>
        <v>-6.9551577165757319</v>
      </c>
      <c r="J266" s="9">
        <f t="shared" si="27"/>
        <v>1.4176521044387886</v>
      </c>
    </row>
    <row r="267" spans="2:10" x14ac:dyDescent="0.25">
      <c r="B267" s="1">
        <v>43895</v>
      </c>
      <c r="C267" s="13">
        <v>73.23</v>
      </c>
      <c r="D267" s="6">
        <f t="shared" si="21"/>
        <v>-3.2437074717579395E-2</v>
      </c>
      <c r="E267" s="14">
        <f t="shared" si="22"/>
        <v>3.4076477059000957E-4</v>
      </c>
      <c r="F267" s="9">
        <f t="shared" si="23"/>
        <v>17.03690135845892</v>
      </c>
      <c r="G267" s="9">
        <f t="shared" si="24"/>
        <v>-0.32734190036423061</v>
      </c>
      <c r="H267" s="9">
        <f t="shared" si="25"/>
        <v>3.4301804286352433E-3</v>
      </c>
      <c r="I267" s="9">
        <f t="shared" si="26"/>
        <v>-7.1475293923018712E-3</v>
      </c>
      <c r="J267" s="9">
        <f t="shared" si="27"/>
        <v>16.705842109131019</v>
      </c>
    </row>
    <row r="268" spans="2:10" x14ac:dyDescent="0.25">
      <c r="B268" s="1">
        <v>43894</v>
      </c>
      <c r="C268" s="13">
        <v>75.685000000000002</v>
      </c>
      <c r="D268" s="6">
        <f t="shared" si="21"/>
        <v>4.6384626019632336E-2</v>
      </c>
      <c r="E268" s="14">
        <f t="shared" si="22"/>
        <v>3.375692129893297E-4</v>
      </c>
      <c r="F268" s="9">
        <f t="shared" si="23"/>
        <v>17.046323210577448</v>
      </c>
      <c r="G268" s="9">
        <f t="shared" si="24"/>
        <v>-1.7238224342197457</v>
      </c>
      <c r="H268" s="9">
        <f t="shared" si="25"/>
        <v>1.7867378578507589E-2</v>
      </c>
      <c r="I268" s="9">
        <f t="shared" si="26"/>
        <v>-2.3865693439895173E-2</v>
      </c>
      <c r="J268" s="9">
        <f t="shared" si="27"/>
        <v>15.316502461496317</v>
      </c>
    </row>
    <row r="269" spans="2:10" x14ac:dyDescent="0.25">
      <c r="B269" s="1">
        <v>43893</v>
      </c>
      <c r="C269" s="13">
        <v>72.33</v>
      </c>
      <c r="D269" s="6">
        <f t="shared" si="21"/>
        <v>-3.1765792538452353E-2</v>
      </c>
      <c r="E269" s="14">
        <f t="shared" si="22"/>
        <v>3.2240927074283035E-4</v>
      </c>
      <c r="F269" s="9">
        <f t="shared" si="23"/>
        <v>17.092272009764017</v>
      </c>
      <c r="G269" s="9">
        <f t="shared" si="24"/>
        <v>-3.1158250750120278</v>
      </c>
      <c r="H269" s="9">
        <f t="shared" si="25"/>
        <v>-0.14739187021406955</v>
      </c>
      <c r="I269" s="9">
        <f t="shared" si="26"/>
        <v>-0.63548518819429078</v>
      </c>
      <c r="J269" s="9">
        <f t="shared" si="27"/>
        <v>13.193569876343627</v>
      </c>
    </row>
    <row r="270" spans="2:10" x14ac:dyDescent="0.25">
      <c r="B270" s="1">
        <v>43892</v>
      </c>
      <c r="C270" s="13">
        <v>74.703000000000003</v>
      </c>
      <c r="D270" s="6">
        <f t="shared" si="21"/>
        <v>9.3107989464442431E-2</v>
      </c>
      <c r="E270" s="14">
        <f t="shared" si="22"/>
        <v>3.1247273628592188E-4</v>
      </c>
      <c r="F270" s="9">
        <f t="shared" si="23"/>
        <v>17.123576553903426</v>
      </c>
      <c r="G270" s="9">
        <f t="shared" si="24"/>
        <v>-1.7895988547279522</v>
      </c>
      <c r="H270" s="9">
        <f t="shared" si="25"/>
        <v>7.2189548042172244E-2</v>
      </c>
      <c r="I270" s="9">
        <f t="shared" si="26"/>
        <v>-0.27545802447862328</v>
      </c>
      <c r="J270" s="9">
        <f t="shared" si="27"/>
        <v>15.130709222739021</v>
      </c>
    </row>
    <row r="271" spans="2:10" x14ac:dyDescent="0.25">
      <c r="B271" s="1">
        <v>43889</v>
      </c>
      <c r="C271" s="13">
        <v>68.34</v>
      </c>
      <c r="D271" s="6">
        <f t="shared" si="21"/>
        <v>-5.8496636443394756E-4</v>
      </c>
      <c r="E271" s="14">
        <f t="shared" si="22"/>
        <v>2.4420789133240548E-4</v>
      </c>
      <c r="F271" s="9">
        <f t="shared" si="23"/>
        <v>17.370073899195859</v>
      </c>
      <c r="G271" s="9">
        <f t="shared" si="24"/>
        <v>-17.18509642692576</v>
      </c>
      <c r="H271" s="9">
        <f t="shared" si="25"/>
        <v>-1.8686809539496152</v>
      </c>
      <c r="I271" s="9">
        <f t="shared" si="26"/>
        <v>-17.424220790097191</v>
      </c>
      <c r="J271" s="9">
        <f t="shared" si="27"/>
        <v>-19.107924271776707</v>
      </c>
    </row>
    <row r="272" spans="2:10" x14ac:dyDescent="0.25">
      <c r="B272" s="1">
        <v>43888</v>
      </c>
      <c r="C272" s="13">
        <v>68.38</v>
      </c>
      <c r="D272" s="6">
        <f t="shared" ref="D272:D335" si="28">C272/C273-1</f>
        <v>-6.5374574580047362E-2</v>
      </c>
      <c r="E272" s="14">
        <f t="shared" ref="E272:E335" si="29">_xlfn.VAR.S(D272:D392)</f>
        <v>2.4662974966380851E-4</v>
      </c>
      <c r="F272" s="9">
        <f t="shared" si="23"/>
        <v>17.36020555258456</v>
      </c>
      <c r="G272" s="9">
        <f t="shared" si="24"/>
        <v>-9.9518037974505383E-3</v>
      </c>
      <c r="H272" s="9">
        <f t="shared" si="25"/>
        <v>-2.137642519896977E-3</v>
      </c>
      <c r="I272" s="9">
        <f t="shared" si="26"/>
        <v>-2.9677710077353803E-2</v>
      </c>
      <c r="J272" s="9">
        <f t="shared" si="27"/>
        <v>17.318438396189858</v>
      </c>
    </row>
    <row r="273" spans="2:10" x14ac:dyDescent="0.25">
      <c r="B273" s="1">
        <v>43887</v>
      </c>
      <c r="C273" s="13">
        <v>73.162999999999997</v>
      </c>
      <c r="D273" s="6">
        <f t="shared" si="28"/>
        <v>1.5870591502360476E-2</v>
      </c>
      <c r="E273" s="14">
        <f t="shared" si="29"/>
        <v>2.0973481338546518E-4</v>
      </c>
      <c r="F273" s="9">
        <f t="shared" ref="F273:F336" si="30">LN(2*PI())-LN($C$6)-LN(E273)-0.5*LN(1-POWER($C$7,2))</f>
        <v>17.522249836069399</v>
      </c>
      <c r="G273" s="9">
        <f t="shared" ref="G273:G336" si="31">-POWER(D272-1-$C$3,2)/(2*E273*(1-POWER($C$7,2)))</f>
        <v>-10.733893650579498</v>
      </c>
      <c r="H273" s="9">
        <f t="shared" ref="H273:H336" si="32">$C$7*(D272-1-$C$3)*(E272-E273-$C$5*$C$4)/(E273*$C$6*(1-POWER($C$7,2)))</f>
        <v>0.852600627814176</v>
      </c>
      <c r="I273" s="9">
        <f t="shared" ref="I273:I336" si="33">-POWER(E272-E273-$C$5*$C$4+$C$4*E273,2)/(2*POWER($C$6,2)*E273*(1-POWER($C$7,2)))</f>
        <v>-5.8491571799811979</v>
      </c>
      <c r="J273" s="9">
        <f t="shared" ref="J273:J336" si="34">SUM(F273:I273)</f>
        <v>1.7917996333228796</v>
      </c>
    </row>
    <row r="274" spans="2:10" x14ac:dyDescent="0.25">
      <c r="B274" s="1">
        <v>43886</v>
      </c>
      <c r="C274" s="13">
        <v>72.02</v>
      </c>
      <c r="D274" s="6">
        <f t="shared" si="28"/>
        <v>-3.387215775705954E-2</v>
      </c>
      <c r="E274" s="14">
        <f t="shared" si="29"/>
        <v>2.1087261196096614E-4</v>
      </c>
      <c r="F274" s="9">
        <f t="shared" si="30"/>
        <v>17.516839559016177</v>
      </c>
      <c r="G274" s="9">
        <f t="shared" si="31"/>
        <v>-0.48244837021991666</v>
      </c>
      <c r="H274" s="9">
        <f t="shared" si="32"/>
        <v>9.6830528684466004E-3</v>
      </c>
      <c r="I274" s="9">
        <f t="shared" si="33"/>
        <v>-1.1073838735568895E-2</v>
      </c>
      <c r="J274" s="9">
        <f t="shared" si="34"/>
        <v>17.033000402929137</v>
      </c>
    </row>
    <row r="275" spans="2:10" x14ac:dyDescent="0.25">
      <c r="B275" s="1">
        <v>43885</v>
      </c>
      <c r="C275" s="13">
        <v>74.545000000000002</v>
      </c>
      <c r="D275" s="6">
        <f t="shared" si="28"/>
        <v>-4.7506484545698502E-2</v>
      </c>
      <c r="E275" s="14">
        <f t="shared" si="29"/>
        <v>1.9974847294271906E-4</v>
      </c>
      <c r="F275" s="9">
        <f t="shared" si="30"/>
        <v>17.571034835614157</v>
      </c>
      <c r="G275" s="9">
        <f t="shared" si="31"/>
        <v>-3.1638394522323749</v>
      </c>
      <c r="H275" s="9">
        <f t="shared" si="32"/>
        <v>0.135658107897667</v>
      </c>
      <c r="I275" s="9">
        <f t="shared" si="33"/>
        <v>-0.52492457371258461</v>
      </c>
      <c r="J275" s="9">
        <f t="shared" si="34"/>
        <v>14.017928917566863</v>
      </c>
    </row>
    <row r="276" spans="2:10" x14ac:dyDescent="0.25">
      <c r="B276" s="1">
        <v>43882</v>
      </c>
      <c r="C276" s="13">
        <v>78.263000000000005</v>
      </c>
      <c r="D276" s="6">
        <f t="shared" si="28"/>
        <v>-2.262878551358094E-2</v>
      </c>
      <c r="E276" s="14">
        <f t="shared" si="29"/>
        <v>1.7977936397110347E-4</v>
      </c>
      <c r="F276" s="9">
        <f t="shared" si="30"/>
        <v>17.676363432067735</v>
      </c>
      <c r="G276" s="9">
        <f t="shared" si="31"/>
        <v>-6.7340250800918353</v>
      </c>
      <c r="H276" s="9">
        <f t="shared" si="32"/>
        <v>0.38736011569699524</v>
      </c>
      <c r="I276" s="9">
        <f t="shared" si="33"/>
        <v>-1.9470571196317121</v>
      </c>
      <c r="J276" s="9">
        <f t="shared" si="34"/>
        <v>9.382641348041183</v>
      </c>
    </row>
    <row r="277" spans="2:10" x14ac:dyDescent="0.25">
      <c r="B277" s="1">
        <v>43881</v>
      </c>
      <c r="C277" s="13">
        <v>80.075000000000003</v>
      </c>
      <c r="D277" s="6">
        <f t="shared" si="28"/>
        <v>-1.0258945677028564E-2</v>
      </c>
      <c r="E277" s="14">
        <f t="shared" si="29"/>
        <v>1.7408166073283284E-4</v>
      </c>
      <c r="F277" s="9">
        <f t="shared" si="30"/>
        <v>17.708569271711454</v>
      </c>
      <c r="G277" s="9">
        <f t="shared" si="31"/>
        <v>-1.6948974597110922</v>
      </c>
      <c r="H277" s="9">
        <f t="shared" si="32"/>
        <v>5.0450819155681552E-2</v>
      </c>
      <c r="I277" s="9">
        <f t="shared" si="33"/>
        <v>-0.14265439354358381</v>
      </c>
      <c r="J277" s="9">
        <f t="shared" si="34"/>
        <v>15.921468237612459</v>
      </c>
    </row>
    <row r="278" spans="2:10" x14ac:dyDescent="0.25">
      <c r="B278" s="1">
        <v>43880</v>
      </c>
      <c r="C278" s="13">
        <v>80.905000000000001</v>
      </c>
      <c r="D278" s="6">
        <f t="shared" si="28"/>
        <v>1.4482758620689706E-2</v>
      </c>
      <c r="E278" s="14">
        <f t="shared" si="29"/>
        <v>1.7433315884473073E-4</v>
      </c>
      <c r="F278" s="9">
        <f t="shared" si="30"/>
        <v>17.707125600883195</v>
      </c>
      <c r="G278" s="9">
        <f t="shared" si="31"/>
        <v>-0.40641173930752877</v>
      </c>
      <c r="H278" s="9">
        <f t="shared" si="32"/>
        <v>-5.30610373510014E-3</v>
      </c>
      <c r="I278" s="9">
        <f t="shared" si="33"/>
        <v>-3.0934411948943508E-3</v>
      </c>
      <c r="J278" s="9">
        <f t="shared" si="34"/>
        <v>17.292314316645669</v>
      </c>
    </row>
    <row r="279" spans="2:10" x14ac:dyDescent="0.25">
      <c r="B279" s="1">
        <v>43879</v>
      </c>
      <c r="C279" s="13">
        <v>79.75</v>
      </c>
      <c r="D279" s="6">
        <f t="shared" si="28"/>
        <v>-1.8316551367586587E-2</v>
      </c>
      <c r="E279" s="14">
        <f t="shared" si="29"/>
        <v>1.753078721017811E-4</v>
      </c>
      <c r="F279" s="9">
        <f t="shared" si="30"/>
        <v>17.701550078013682</v>
      </c>
      <c r="G279" s="9">
        <f t="shared" si="31"/>
        <v>-0.47274147486790846</v>
      </c>
      <c r="H279" s="9">
        <f t="shared" si="32"/>
        <v>9.6282627350268157E-3</v>
      </c>
      <c r="I279" s="9">
        <f t="shared" si="33"/>
        <v>-1.1630922922896973E-2</v>
      </c>
      <c r="J279" s="9">
        <f t="shared" si="34"/>
        <v>17.226805942957903</v>
      </c>
    </row>
    <row r="280" spans="2:10" x14ac:dyDescent="0.25">
      <c r="B280" s="1">
        <v>43875</v>
      </c>
      <c r="C280" s="13">
        <v>81.238</v>
      </c>
      <c r="D280" s="6">
        <f t="shared" si="28"/>
        <v>2.4625083109652834E-4</v>
      </c>
      <c r="E280" s="14">
        <f t="shared" si="29"/>
        <v>1.9204892961588685E-4</v>
      </c>
      <c r="F280" s="9">
        <f t="shared" si="30"/>
        <v>17.610343594078312</v>
      </c>
      <c r="G280" s="9">
        <f t="shared" si="31"/>
        <v>-1.0386316787204146</v>
      </c>
      <c r="H280" s="9">
        <f t="shared" si="32"/>
        <v>-0.13470161512707726</v>
      </c>
      <c r="I280" s="9">
        <f t="shared" si="33"/>
        <v>-1.427102189456843</v>
      </c>
      <c r="J280" s="9">
        <f t="shared" si="34"/>
        <v>15.009908110773978</v>
      </c>
    </row>
    <row r="281" spans="2:10" x14ac:dyDescent="0.25">
      <c r="B281" s="1">
        <v>43874</v>
      </c>
      <c r="C281" s="13">
        <v>81.218000000000004</v>
      </c>
      <c r="D281" s="6">
        <f t="shared" si="28"/>
        <v>-7.1149144254277763E-3</v>
      </c>
      <c r="E281" s="14">
        <f t="shared" si="29"/>
        <v>1.9212012278390603E-4</v>
      </c>
      <c r="F281" s="9">
        <f t="shared" si="30"/>
        <v>17.609972959492367</v>
      </c>
      <c r="G281" s="9">
        <f t="shared" si="31"/>
        <v>-4.9788540324833602E-3</v>
      </c>
      <c r="H281" s="9">
        <f t="shared" si="32"/>
        <v>-4.6360796239790019E-4</v>
      </c>
      <c r="I281" s="9">
        <f t="shared" si="33"/>
        <v>-1.4774690063093941E-3</v>
      </c>
      <c r="J281" s="9">
        <f t="shared" si="34"/>
        <v>17.603053028491175</v>
      </c>
    </row>
    <row r="282" spans="2:10" x14ac:dyDescent="0.25">
      <c r="B282" s="1">
        <v>43873</v>
      </c>
      <c r="C282" s="13">
        <v>81.8</v>
      </c>
      <c r="D282" s="6">
        <f t="shared" si="28"/>
        <v>2.3741286309650445E-2</v>
      </c>
      <c r="E282" s="14">
        <f t="shared" si="29"/>
        <v>1.9157650826175785E-4</v>
      </c>
      <c r="F282" s="9">
        <f t="shared" si="30"/>
        <v>17.612806525606278</v>
      </c>
      <c r="G282" s="9">
        <f t="shared" si="31"/>
        <v>-0.20005931476609615</v>
      </c>
      <c r="H282" s="9">
        <f t="shared" si="32"/>
        <v>-8.6842713927411152E-4</v>
      </c>
      <c r="I282" s="9">
        <f t="shared" si="33"/>
        <v>-1.7127490126087198E-5</v>
      </c>
      <c r="J282" s="9">
        <f t="shared" si="34"/>
        <v>17.411861656210782</v>
      </c>
    </row>
    <row r="283" spans="2:10" x14ac:dyDescent="0.25">
      <c r="B283" s="1">
        <v>43872</v>
      </c>
      <c r="C283" s="13">
        <v>79.903000000000006</v>
      </c>
      <c r="D283" s="6">
        <f t="shared" si="28"/>
        <v>-6.0332387918594632E-3</v>
      </c>
      <c r="E283" s="14">
        <f t="shared" si="29"/>
        <v>1.8832329567804973E-4</v>
      </c>
      <c r="F283" s="9">
        <f t="shared" si="30"/>
        <v>17.629933631615572</v>
      </c>
      <c r="G283" s="9">
        <f t="shared" si="31"/>
        <v>-1.3022110676976835</v>
      </c>
      <c r="H283" s="9">
        <f t="shared" si="32"/>
        <v>-2.1292047177632018E-2</v>
      </c>
      <c r="I283" s="9">
        <f t="shared" si="33"/>
        <v>-3.7471177166102217E-2</v>
      </c>
      <c r="J283" s="9">
        <f t="shared" si="34"/>
        <v>16.268959339574156</v>
      </c>
    </row>
    <row r="284" spans="2:10" x14ac:dyDescent="0.25">
      <c r="B284" s="1">
        <v>43871</v>
      </c>
      <c r="C284" s="13">
        <v>80.388000000000005</v>
      </c>
      <c r="D284" s="6">
        <f t="shared" si="28"/>
        <v>4.7620833177097754E-3</v>
      </c>
      <c r="E284" s="14">
        <f t="shared" si="29"/>
        <v>1.8941420705221215E-4</v>
      </c>
      <c r="F284" s="9">
        <f t="shared" si="30"/>
        <v>17.624157586614722</v>
      </c>
      <c r="G284" s="9">
        <f t="shared" si="31"/>
        <v>-0.15536918517129214</v>
      </c>
      <c r="H284" s="9">
        <f t="shared" si="32"/>
        <v>-5.6577160485177013E-3</v>
      </c>
      <c r="I284" s="9">
        <f t="shared" si="33"/>
        <v>-1.2152460222391767E-2</v>
      </c>
      <c r="J284" s="9">
        <f t="shared" si="34"/>
        <v>17.45097822517252</v>
      </c>
    </row>
    <row r="285" spans="2:10" x14ac:dyDescent="0.25">
      <c r="B285" s="1">
        <v>43868</v>
      </c>
      <c r="C285" s="13">
        <v>80.007000000000005</v>
      </c>
      <c r="D285" s="6">
        <f t="shared" si="28"/>
        <v>-1.5940371204014481E-2</v>
      </c>
      <c r="E285" s="14">
        <f t="shared" si="29"/>
        <v>1.9265960425838703E-4</v>
      </c>
      <c r="F285" s="9">
        <f t="shared" si="30"/>
        <v>17.607168852154782</v>
      </c>
      <c r="G285" s="9">
        <f t="shared" si="31"/>
        <v>-2.5577856036207401E-2</v>
      </c>
      <c r="H285" s="9">
        <f t="shared" si="32"/>
        <v>4.8682332315973268E-3</v>
      </c>
      <c r="I285" s="9">
        <f t="shared" si="33"/>
        <v>-6.6628085357407579E-2</v>
      </c>
      <c r="J285" s="9">
        <f t="shared" si="34"/>
        <v>17.519831143992764</v>
      </c>
    </row>
    <row r="286" spans="2:10" x14ac:dyDescent="0.25">
      <c r="B286" s="1">
        <v>43867</v>
      </c>
      <c r="C286" s="13">
        <v>81.302999999999997</v>
      </c>
      <c r="D286" s="6">
        <f t="shared" si="28"/>
        <v>1.1696925201896358E-2</v>
      </c>
      <c r="E286" s="14">
        <f t="shared" si="29"/>
        <v>1.9002679216873411E-4</v>
      </c>
      <c r="F286" s="9">
        <f t="shared" si="30"/>
        <v>17.620928701755162</v>
      </c>
      <c r="G286" s="9">
        <f t="shared" si="31"/>
        <v>-0.81445901996284686</v>
      </c>
      <c r="H286" s="9">
        <f t="shared" si="32"/>
        <v>1.2522173204381539E-2</v>
      </c>
      <c r="I286" s="9">
        <f t="shared" si="33"/>
        <v>-2.2393507873731518E-2</v>
      </c>
      <c r="J286" s="9">
        <f t="shared" si="34"/>
        <v>16.796598347122966</v>
      </c>
    </row>
    <row r="287" spans="2:10" x14ac:dyDescent="0.25">
      <c r="B287" s="1">
        <v>43866</v>
      </c>
      <c r="C287" s="13">
        <v>80.363</v>
      </c>
      <c r="D287" s="6">
        <f t="shared" si="28"/>
        <v>8.1542533840153197E-3</v>
      </c>
      <c r="E287" s="14">
        <f t="shared" si="29"/>
        <v>1.9892004606908746E-4</v>
      </c>
      <c r="F287" s="9">
        <f t="shared" si="30"/>
        <v>17.575190809946292</v>
      </c>
      <c r="G287" s="9">
        <f t="shared" si="31"/>
        <v>-0.25562134949897991</v>
      </c>
      <c r="H287" s="9">
        <f t="shared" si="32"/>
        <v>3.6286141869634359E-2</v>
      </c>
      <c r="I287" s="9">
        <f t="shared" si="33"/>
        <v>-0.40731686943749912</v>
      </c>
      <c r="J287" s="9">
        <f t="shared" si="34"/>
        <v>16.948538732879449</v>
      </c>
    </row>
    <row r="288" spans="2:10" x14ac:dyDescent="0.25">
      <c r="B288" s="1">
        <v>43865</v>
      </c>
      <c r="C288" s="13">
        <v>79.712999999999994</v>
      </c>
      <c r="D288" s="6">
        <f t="shared" si="28"/>
        <v>3.3020151623144978E-2</v>
      </c>
      <c r="E288" s="14">
        <f t="shared" si="29"/>
        <v>2.1114834923116122E-4</v>
      </c>
      <c r="F288" s="9">
        <f t="shared" si="30"/>
        <v>17.515532812030656</v>
      </c>
      <c r="G288" s="9">
        <f t="shared" si="31"/>
        <v>-0.10117660640786273</v>
      </c>
      <c r="H288" s="9">
        <f t="shared" si="32"/>
        <v>2.9780686039310986E-2</v>
      </c>
      <c r="I288" s="9">
        <f t="shared" si="33"/>
        <v>-0.70344597421358734</v>
      </c>
      <c r="J288" s="9">
        <f t="shared" si="34"/>
        <v>16.740690917448518</v>
      </c>
    </row>
    <row r="289" spans="2:10" x14ac:dyDescent="0.25">
      <c r="B289" s="1">
        <v>43864</v>
      </c>
      <c r="C289" s="13">
        <v>77.165000000000006</v>
      </c>
      <c r="D289" s="6">
        <f t="shared" si="28"/>
        <v>-2.7527204114864423E-3</v>
      </c>
      <c r="E289" s="14">
        <f t="shared" si="29"/>
        <v>2.0436898440350052E-4</v>
      </c>
      <c r="F289" s="9">
        <f t="shared" si="30"/>
        <v>17.548166668281848</v>
      </c>
      <c r="G289" s="9">
        <f t="shared" si="31"/>
        <v>-2.4182348172556312</v>
      </c>
      <c r="H289" s="9">
        <f t="shared" si="32"/>
        <v>-6.7903652453096319E-2</v>
      </c>
      <c r="I289" s="9">
        <f t="shared" si="33"/>
        <v>-0.1803532331751253</v>
      </c>
      <c r="J289" s="9">
        <f t="shared" si="34"/>
        <v>14.881674965397995</v>
      </c>
    </row>
    <row r="290" spans="2:10" x14ac:dyDescent="0.25">
      <c r="B290" s="1">
        <v>43861</v>
      </c>
      <c r="C290" s="13">
        <v>77.378</v>
      </c>
      <c r="D290" s="6">
        <f t="shared" si="28"/>
        <v>-4.4338504100385423E-2</v>
      </c>
      <c r="E290" s="14">
        <f t="shared" si="29"/>
        <v>2.0606145781542362E-4</v>
      </c>
      <c r="F290" s="9">
        <f t="shared" si="30"/>
        <v>17.53991931218366</v>
      </c>
      <c r="G290" s="9">
        <f t="shared" si="31"/>
        <v>-4.6689417062114727E-2</v>
      </c>
      <c r="H290" s="9">
        <f t="shared" si="32"/>
        <v>-3.9190486181871738E-3</v>
      </c>
      <c r="I290" s="9">
        <f t="shared" si="33"/>
        <v>-2.0772263812524082E-2</v>
      </c>
      <c r="J290" s="9">
        <f t="shared" si="34"/>
        <v>17.468538582690833</v>
      </c>
    </row>
    <row r="291" spans="2:10" x14ac:dyDescent="0.25">
      <c r="B291" s="1">
        <v>43860</v>
      </c>
      <c r="C291" s="13">
        <v>80.968000000000004</v>
      </c>
      <c r="D291" s="6">
        <f t="shared" si="28"/>
        <v>-1.4429302583707226E-3</v>
      </c>
      <c r="E291" s="14">
        <f t="shared" si="29"/>
        <v>1.8947429123651865E-4</v>
      </c>
      <c r="F291" s="9">
        <f t="shared" si="30"/>
        <v>17.623840426367941</v>
      </c>
      <c r="G291" s="9">
        <f t="shared" si="31"/>
        <v>-5.5920832336835602</v>
      </c>
      <c r="H291" s="9">
        <f t="shared" si="32"/>
        <v>0.28317611108845403</v>
      </c>
      <c r="I291" s="9">
        <f t="shared" si="33"/>
        <v>-1.2637694753304007</v>
      </c>
      <c r="J291" s="9">
        <f t="shared" si="34"/>
        <v>11.051163828442434</v>
      </c>
    </row>
    <row r="292" spans="2:10" x14ac:dyDescent="0.25">
      <c r="B292" s="1">
        <v>43859</v>
      </c>
      <c r="C292" s="13">
        <v>81.084999999999994</v>
      </c>
      <c r="D292" s="6">
        <f t="shared" si="28"/>
        <v>2.0925928257557569E-2</v>
      </c>
      <c r="E292" s="14">
        <f t="shared" si="29"/>
        <v>1.8952973054473077E-4</v>
      </c>
      <c r="F292" s="9">
        <f t="shared" si="30"/>
        <v>17.623547873754134</v>
      </c>
      <c r="G292" s="9">
        <f t="shared" si="31"/>
        <v>-2.4942020377160555E-2</v>
      </c>
      <c r="H292" s="9">
        <f t="shared" si="32"/>
        <v>-1.0258492036982105E-3</v>
      </c>
      <c r="I292" s="9">
        <f t="shared" si="33"/>
        <v>-1.4363337585162833E-3</v>
      </c>
      <c r="J292" s="9">
        <f t="shared" si="34"/>
        <v>17.596143670414758</v>
      </c>
    </row>
    <row r="293" spans="2:10" x14ac:dyDescent="0.25">
      <c r="B293" s="1">
        <v>43858</v>
      </c>
      <c r="C293" s="13">
        <v>79.423000000000002</v>
      </c>
      <c r="D293" s="6">
        <f t="shared" si="28"/>
        <v>2.8289184080374952E-2</v>
      </c>
      <c r="E293" s="14">
        <f t="shared" si="29"/>
        <v>1.8900711737802902E-4</v>
      </c>
      <c r="F293" s="9">
        <f t="shared" si="30"/>
        <v>17.626309102953456</v>
      </c>
      <c r="G293" s="9">
        <f t="shared" si="31"/>
        <v>-0.98815665078104054</v>
      </c>
      <c r="H293" s="9">
        <f t="shared" si="32"/>
        <v>2.1016752692401388E-3</v>
      </c>
      <c r="I293" s="9">
        <f t="shared" si="33"/>
        <v>-5.7653632146610318E-6</v>
      </c>
      <c r="J293" s="9">
        <f t="shared" si="34"/>
        <v>16.640248362078442</v>
      </c>
    </row>
    <row r="294" spans="2:10" x14ac:dyDescent="0.25">
      <c r="B294" s="1">
        <v>43857</v>
      </c>
      <c r="C294" s="13">
        <v>77.238</v>
      </c>
      <c r="D294" s="6">
        <f t="shared" si="28"/>
        <v>-2.940511196561868E-2</v>
      </c>
      <c r="E294" s="14">
        <f t="shared" si="29"/>
        <v>2.1037945013506479E-4</v>
      </c>
      <c r="F294" s="9">
        <f t="shared" si="30"/>
        <v>17.519180969756093</v>
      </c>
      <c r="G294" s="9">
        <f t="shared" si="31"/>
        <v>-1.6944549943854577</v>
      </c>
      <c r="H294" s="9">
        <f t="shared" si="32"/>
        <v>0.20778388086040567</v>
      </c>
      <c r="I294" s="9">
        <f t="shared" si="33"/>
        <v>-2.0916975853987689</v>
      </c>
      <c r="J294" s="9">
        <f t="shared" si="34"/>
        <v>13.940812270832271</v>
      </c>
    </row>
    <row r="295" spans="2:10" x14ac:dyDescent="0.25">
      <c r="B295" s="1">
        <v>43854</v>
      </c>
      <c r="C295" s="13">
        <v>79.578000000000003</v>
      </c>
      <c r="D295" s="6">
        <f t="shared" si="28"/>
        <v>-2.8819165998397178E-3</v>
      </c>
      <c r="E295" s="14">
        <f t="shared" si="29"/>
        <v>2.0641712814954019E-4</v>
      </c>
      <c r="F295" s="9">
        <f t="shared" si="30"/>
        <v>17.538194760003897</v>
      </c>
      <c r="G295" s="9">
        <f t="shared" si="31"/>
        <v>-2.3395911551545345</v>
      </c>
      <c r="H295" s="9">
        <f t="shared" si="32"/>
        <v>3.5142759192749166E-2</v>
      </c>
      <c r="I295" s="9">
        <f t="shared" si="33"/>
        <v>-5.4914073750247198E-2</v>
      </c>
      <c r="J295" s="9">
        <f t="shared" si="34"/>
        <v>15.178832290291865</v>
      </c>
    </row>
    <row r="296" spans="2:10" x14ac:dyDescent="0.25">
      <c r="B296" s="1">
        <v>43853</v>
      </c>
      <c r="C296" s="13">
        <v>79.808000000000007</v>
      </c>
      <c r="D296" s="6">
        <f t="shared" si="28"/>
        <v>4.8221592697514915E-3</v>
      </c>
      <c r="E296" s="14">
        <f t="shared" si="29"/>
        <v>2.1134984954406685E-4</v>
      </c>
      <c r="F296" s="9">
        <f t="shared" si="30"/>
        <v>17.514578960256763</v>
      </c>
      <c r="G296" s="9">
        <f t="shared" si="31"/>
        <v>-4.8246179105139834E-2</v>
      </c>
      <c r="H296" s="9">
        <f t="shared" si="32"/>
        <v>-9.0455234737026029E-3</v>
      </c>
      <c r="I296" s="9">
        <f t="shared" si="33"/>
        <v>-0.12670567626005588</v>
      </c>
      <c r="J296" s="9">
        <f t="shared" si="34"/>
        <v>17.330581581417867</v>
      </c>
    </row>
    <row r="297" spans="2:10" x14ac:dyDescent="0.25">
      <c r="B297" s="1">
        <v>43852</v>
      </c>
      <c r="C297" s="13">
        <v>79.424999999999997</v>
      </c>
      <c r="D297" s="6">
        <f t="shared" si="28"/>
        <v>3.5631704635912254E-3</v>
      </c>
      <c r="E297" s="14">
        <f t="shared" si="29"/>
        <v>2.1371198494933363E-4</v>
      </c>
      <c r="F297" s="9">
        <f t="shared" si="30"/>
        <v>17.503464531579109</v>
      </c>
      <c r="G297" s="9">
        <f t="shared" si="31"/>
        <v>-2.3950500327240925E-2</v>
      </c>
      <c r="H297" s="9">
        <f t="shared" si="32"/>
        <v>3.4964417028122076E-3</v>
      </c>
      <c r="I297" s="9">
        <f t="shared" si="33"/>
        <v>-3.4121047595999543E-2</v>
      </c>
      <c r="J297" s="9">
        <f t="shared" si="34"/>
        <v>17.448889425358679</v>
      </c>
    </row>
    <row r="298" spans="2:10" x14ac:dyDescent="0.25">
      <c r="B298" s="1">
        <v>43851</v>
      </c>
      <c r="C298" s="13">
        <v>79.143000000000001</v>
      </c>
      <c r="D298" s="6">
        <f t="shared" si="28"/>
        <v>-6.7768532811265381E-3</v>
      </c>
      <c r="E298" s="14">
        <f t="shared" si="29"/>
        <v>2.1422443369946553E-4</v>
      </c>
      <c r="F298" s="9">
        <f t="shared" si="30"/>
        <v>17.501069554321987</v>
      </c>
      <c r="G298" s="9">
        <f t="shared" si="31"/>
        <v>-8.7723299264761394E-3</v>
      </c>
      <c r="H298" s="9">
        <f t="shared" si="32"/>
        <v>8.7760420636734133E-4</v>
      </c>
      <c r="I298" s="9">
        <f t="shared" si="33"/>
        <v>-3.9659525668205072E-3</v>
      </c>
      <c r="J298" s="9">
        <f t="shared" si="34"/>
        <v>17.489208876035057</v>
      </c>
    </row>
    <row r="299" spans="2:10" x14ac:dyDescent="0.25">
      <c r="B299" s="1">
        <v>43847</v>
      </c>
      <c r="C299" s="13">
        <v>79.683000000000007</v>
      </c>
      <c r="D299" s="6">
        <f t="shared" si="28"/>
        <v>1.1077274457556241E-2</v>
      </c>
      <c r="E299" s="14">
        <f t="shared" si="29"/>
        <v>2.1360591758327768E-4</v>
      </c>
      <c r="F299" s="9">
        <f t="shared" si="30"/>
        <v>17.50396096464501</v>
      </c>
      <c r="G299" s="9">
        <f t="shared" si="31"/>
        <v>-0.16581849386636111</v>
      </c>
      <c r="H299" s="9">
        <f t="shared" si="32"/>
        <v>-5.3084101068806512E-4</v>
      </c>
      <c r="I299" s="9">
        <f t="shared" si="33"/>
        <v>-1.2638430267927059E-4</v>
      </c>
      <c r="J299" s="9">
        <f t="shared" si="34"/>
        <v>17.337485245465285</v>
      </c>
    </row>
    <row r="300" spans="2:10" x14ac:dyDescent="0.25">
      <c r="B300" s="1">
        <v>43846</v>
      </c>
      <c r="C300" s="13">
        <v>78.81</v>
      </c>
      <c r="D300" s="6">
        <f t="shared" si="28"/>
        <v>1.2526498361919547E-2</v>
      </c>
      <c r="E300" s="14">
        <f t="shared" si="29"/>
        <v>2.1314251957625142E-4</v>
      </c>
      <c r="F300" s="9">
        <f t="shared" si="30"/>
        <v>17.506132727439258</v>
      </c>
      <c r="G300" s="9">
        <f t="shared" si="31"/>
        <v>-0.21010672828163501</v>
      </c>
      <c r="H300" s="9">
        <f t="shared" si="32"/>
        <v>1.1067190212011035E-3</v>
      </c>
      <c r="I300" s="9">
        <f t="shared" si="33"/>
        <v>-9.8329181690872165E-7</v>
      </c>
      <c r="J300" s="9">
        <f t="shared" si="34"/>
        <v>17.29713173488701</v>
      </c>
    </row>
    <row r="301" spans="2:10" x14ac:dyDescent="0.25">
      <c r="B301" s="1">
        <v>43845</v>
      </c>
      <c r="C301" s="13">
        <v>77.834999999999994</v>
      </c>
      <c r="D301" s="6">
        <f t="shared" si="28"/>
        <v>-4.2855315338365951E-3</v>
      </c>
      <c r="E301" s="14">
        <f t="shared" si="29"/>
        <v>2.1355074322749112E-4</v>
      </c>
      <c r="F301" s="9">
        <f t="shared" si="30"/>
        <v>17.504219297763299</v>
      </c>
      <c r="G301" s="9">
        <f t="shared" si="31"/>
        <v>-0.27895709304842242</v>
      </c>
      <c r="H301" s="9">
        <f t="shared" si="32"/>
        <v>4.5633831006562601E-3</v>
      </c>
      <c r="I301" s="9">
        <f t="shared" si="33"/>
        <v>-3.1689330677565079E-3</v>
      </c>
      <c r="J301" s="9">
        <f t="shared" si="34"/>
        <v>17.226656654747778</v>
      </c>
    </row>
    <row r="302" spans="2:10" x14ac:dyDescent="0.25">
      <c r="B302" s="1">
        <v>43844</v>
      </c>
      <c r="C302" s="13">
        <v>78.17</v>
      </c>
      <c r="D302" s="6">
        <f t="shared" si="28"/>
        <v>-1.3503281171125647E-2</v>
      </c>
      <c r="E302" s="14">
        <f t="shared" si="29"/>
        <v>2.1320391669928153E-4</v>
      </c>
      <c r="F302" s="9">
        <f t="shared" si="30"/>
        <v>17.505844712256152</v>
      </c>
      <c r="G302" s="9">
        <f t="shared" si="31"/>
        <v>-8.2234919936645251E-2</v>
      </c>
      <c r="H302" s="9">
        <f t="shared" si="32"/>
        <v>-9.3133298423782535E-4</v>
      </c>
      <c r="I302" s="9">
        <f t="shared" si="33"/>
        <v>-4.4558652840996719E-5</v>
      </c>
      <c r="J302" s="9">
        <f t="shared" si="34"/>
        <v>17.422633900682428</v>
      </c>
    </row>
    <row r="303" spans="2:10" x14ac:dyDescent="0.25">
      <c r="B303" s="1">
        <v>43843</v>
      </c>
      <c r="C303" s="13">
        <v>79.239999999999995</v>
      </c>
      <c r="D303" s="6">
        <f t="shared" si="28"/>
        <v>2.1357771676784765E-2</v>
      </c>
      <c r="E303" s="14">
        <f t="shared" si="29"/>
        <v>2.1093743442652079E-4</v>
      </c>
      <c r="F303" s="9">
        <f t="shared" si="30"/>
        <v>17.516532205188923</v>
      </c>
      <c r="G303" s="9">
        <f t="shared" si="31"/>
        <v>-0.54426904401313736</v>
      </c>
      <c r="H303" s="9">
        <f t="shared" si="32"/>
        <v>7.7729000152133116E-3</v>
      </c>
      <c r="I303" s="9">
        <f t="shared" si="33"/>
        <v>-1.4419276038647327E-2</v>
      </c>
      <c r="J303" s="9">
        <f t="shared" si="34"/>
        <v>16.965616785152349</v>
      </c>
    </row>
    <row r="304" spans="2:10" x14ac:dyDescent="0.25">
      <c r="B304" s="1">
        <v>43840</v>
      </c>
      <c r="C304" s="13">
        <v>77.582999999999998</v>
      </c>
      <c r="D304" s="6">
        <f t="shared" si="28"/>
        <v>2.2607482430756498E-3</v>
      </c>
      <c r="E304" s="14">
        <f t="shared" si="29"/>
        <v>2.1139495738727989E-4</v>
      </c>
      <c r="F304" s="9">
        <f t="shared" si="30"/>
        <v>17.514365555655957</v>
      </c>
      <c r="G304" s="9">
        <f t="shared" si="31"/>
        <v>-0.92348838034781788</v>
      </c>
      <c r="H304" s="9">
        <f t="shared" si="32"/>
        <v>8.6854416768676682E-3</v>
      </c>
      <c r="I304" s="9">
        <f t="shared" si="33"/>
        <v>-3.6089315389272077E-3</v>
      </c>
      <c r="J304" s="9">
        <f t="shared" si="34"/>
        <v>16.59595368544608</v>
      </c>
    </row>
    <row r="305" spans="2:10" x14ac:dyDescent="0.25">
      <c r="B305" s="1">
        <v>43839</v>
      </c>
      <c r="C305" s="13">
        <v>77.408000000000001</v>
      </c>
      <c r="D305" s="6">
        <f t="shared" si="28"/>
        <v>2.1240665980632789E-2</v>
      </c>
      <c r="E305" s="14">
        <f t="shared" si="29"/>
        <v>2.1422751474852545E-4</v>
      </c>
      <c r="F305" s="9">
        <f t="shared" si="30"/>
        <v>17.501055172083461</v>
      </c>
      <c r="G305" s="9">
        <f t="shared" si="31"/>
        <v>-9.3914655055717295E-4</v>
      </c>
      <c r="H305" s="9">
        <f t="shared" si="32"/>
        <v>7.9437764413198405E-4</v>
      </c>
      <c r="I305" s="9">
        <f t="shared" si="33"/>
        <v>-4.6367932585115852E-2</v>
      </c>
      <c r="J305" s="9">
        <f t="shared" si="34"/>
        <v>17.454542470591921</v>
      </c>
    </row>
    <row r="306" spans="2:10" x14ac:dyDescent="0.25">
      <c r="B306" s="1">
        <v>43838</v>
      </c>
      <c r="C306" s="13">
        <v>75.798000000000002</v>
      </c>
      <c r="D306" s="6">
        <f t="shared" si="28"/>
        <v>1.6086222150727858E-2</v>
      </c>
      <c r="E306" s="14">
        <f t="shared" si="29"/>
        <v>2.1211048889129396E-4</v>
      </c>
      <c r="F306" s="9">
        <f t="shared" si="30"/>
        <v>17.510986462465318</v>
      </c>
      <c r="G306" s="9">
        <f t="shared" si="31"/>
        <v>-0.90948016151902222</v>
      </c>
      <c r="H306" s="9">
        <f t="shared" si="32"/>
        <v>-8.998145741673319E-3</v>
      </c>
      <c r="I306" s="9">
        <f t="shared" si="33"/>
        <v>-1.2102748909108356E-2</v>
      </c>
      <c r="J306" s="9">
        <f t="shared" si="34"/>
        <v>16.580405406295515</v>
      </c>
    </row>
    <row r="307" spans="2:10" x14ac:dyDescent="0.25">
      <c r="B307" s="1">
        <v>43837</v>
      </c>
      <c r="C307" s="13">
        <v>74.597999999999999</v>
      </c>
      <c r="D307" s="6">
        <f t="shared" si="28"/>
        <v>-4.6964643095397385E-3</v>
      </c>
      <c r="E307" s="14">
        <f t="shared" si="29"/>
        <v>2.1141831108700983E-4</v>
      </c>
      <c r="F307" s="9">
        <f t="shared" si="30"/>
        <v>17.514255087506086</v>
      </c>
      <c r="G307" s="9">
        <f t="shared" si="31"/>
        <v>-0.49588341098806704</v>
      </c>
      <c r="H307" s="9">
        <f t="shared" si="32"/>
        <v>5.5022529202791921E-4</v>
      </c>
      <c r="I307" s="9">
        <f t="shared" si="33"/>
        <v>-2.5376773505257736E-4</v>
      </c>
      <c r="J307" s="9">
        <f t="shared" si="34"/>
        <v>17.018668134074993</v>
      </c>
    </row>
    <row r="308" spans="2:10" x14ac:dyDescent="0.25">
      <c r="B308" s="1">
        <v>43836</v>
      </c>
      <c r="C308" s="13">
        <v>74.95</v>
      </c>
      <c r="D308" s="6">
        <f t="shared" si="28"/>
        <v>7.9614836332337902E-3</v>
      </c>
      <c r="E308" s="14">
        <f t="shared" si="29"/>
        <v>2.1126861463683166E-4</v>
      </c>
      <c r="F308" s="9">
        <f t="shared" si="30"/>
        <v>17.514963396409563</v>
      </c>
      <c r="G308" s="9">
        <f t="shared" si="31"/>
        <v>-9.4924067985017138E-2</v>
      </c>
      <c r="H308" s="9">
        <f t="shared" si="32"/>
        <v>-1.4414891703362826E-3</v>
      </c>
      <c r="I308" s="9">
        <f t="shared" si="33"/>
        <v>-3.9812062949776486E-4</v>
      </c>
      <c r="J308" s="9">
        <f t="shared" si="34"/>
        <v>17.418199718624713</v>
      </c>
    </row>
    <row r="309" spans="2:10" x14ac:dyDescent="0.25">
      <c r="B309" s="1">
        <v>43833</v>
      </c>
      <c r="C309" s="13">
        <v>74.358000000000004</v>
      </c>
      <c r="D309" s="6">
        <f t="shared" si="28"/>
        <v>-9.7219262731726985E-3</v>
      </c>
      <c r="E309" s="14">
        <f t="shared" si="29"/>
        <v>2.11399340432903E-4</v>
      </c>
      <c r="F309" s="9">
        <f t="shared" si="30"/>
        <v>17.514344821953319</v>
      </c>
      <c r="G309" s="9">
        <f t="shared" si="31"/>
        <v>-9.5175299248165868E-2</v>
      </c>
      <c r="H309" s="9">
        <f t="shared" si="32"/>
        <v>2.064233738322283E-3</v>
      </c>
      <c r="I309" s="9">
        <f t="shared" si="33"/>
        <v>-1.479945419902405E-3</v>
      </c>
      <c r="J309" s="9">
        <f t="shared" si="34"/>
        <v>17.419753811023575</v>
      </c>
    </row>
    <row r="310" spans="2:10" x14ac:dyDescent="0.25">
      <c r="B310" s="1">
        <v>43832</v>
      </c>
      <c r="C310" s="13">
        <v>75.087999999999994</v>
      </c>
      <c r="D310" s="6">
        <f t="shared" si="28"/>
        <v>2.281612248511844E-2</v>
      </c>
      <c r="E310" s="14">
        <f t="shared" si="29"/>
        <v>2.10137861483441E-4</v>
      </c>
      <c r="F310" s="9">
        <f t="shared" si="30"/>
        <v>17.52032997680778</v>
      </c>
      <c r="G310" s="9">
        <f t="shared" si="31"/>
        <v>-0.30738679643000566</v>
      </c>
      <c r="H310" s="9">
        <f t="shared" si="32"/>
        <v>1.8390054094911436E-3</v>
      </c>
      <c r="I310" s="9">
        <f t="shared" si="33"/>
        <v>-2.8713567191920395E-3</v>
      </c>
      <c r="J310" s="9">
        <f t="shared" si="34"/>
        <v>17.211910829068071</v>
      </c>
    </row>
    <row r="311" spans="2:10" x14ac:dyDescent="0.25">
      <c r="B311" s="1">
        <v>43830</v>
      </c>
      <c r="C311" s="13">
        <v>73.412999999999997</v>
      </c>
      <c r="D311" s="6">
        <f t="shared" si="28"/>
        <v>7.3133918770582618E-3</v>
      </c>
      <c r="E311" s="14">
        <f t="shared" si="29"/>
        <v>2.0788413170078467E-4</v>
      </c>
      <c r="F311" s="9">
        <f t="shared" si="30"/>
        <v>17.531112910033471</v>
      </c>
      <c r="G311" s="9">
        <f t="shared" si="31"/>
        <v>-1.0830377056708471</v>
      </c>
      <c r="H311" s="9">
        <f t="shared" si="32"/>
        <v>-1.0948850469055338E-2</v>
      </c>
      <c r="I311" s="9">
        <f t="shared" si="33"/>
        <v>-1.4345342081076067E-2</v>
      </c>
      <c r="J311" s="9">
        <f t="shared" si="34"/>
        <v>16.422781011812493</v>
      </c>
    </row>
    <row r="312" spans="2:10" x14ac:dyDescent="0.25">
      <c r="B312" s="1">
        <v>43829</v>
      </c>
      <c r="C312" s="13">
        <v>72.88</v>
      </c>
      <c r="D312" s="6">
        <f t="shared" si="28"/>
        <v>5.9351276742580783E-3</v>
      </c>
      <c r="E312" s="14">
        <f t="shared" si="29"/>
        <v>2.0811876416504193E-4</v>
      </c>
      <c r="F312" s="9">
        <f t="shared" si="30"/>
        <v>17.529984877072792</v>
      </c>
      <c r="G312" s="9">
        <f t="shared" si="31"/>
        <v>-7.790446041770685E-2</v>
      </c>
      <c r="H312" s="9">
        <f t="shared" si="32"/>
        <v>2.0921478897615951E-3</v>
      </c>
      <c r="I312" s="9">
        <f t="shared" si="33"/>
        <v>-2.121198363308539E-3</v>
      </c>
      <c r="J312" s="9">
        <f t="shared" si="34"/>
        <v>17.452051366181539</v>
      </c>
    </row>
    <row r="313" spans="2:10" x14ac:dyDescent="0.25">
      <c r="B313" s="1">
        <v>43826</v>
      </c>
      <c r="C313" s="13">
        <v>72.45</v>
      </c>
      <c r="D313" s="6">
        <f t="shared" si="28"/>
        <v>-3.8632412594152843E-4</v>
      </c>
      <c r="E313" s="14">
        <f t="shared" si="29"/>
        <v>2.0812655404394976E-4</v>
      </c>
      <c r="F313" s="9">
        <f t="shared" si="30"/>
        <v>17.529947447804194</v>
      </c>
      <c r="G313" s="9">
        <f t="shared" si="31"/>
        <v>-4.4712873541669029E-2</v>
      </c>
      <c r="H313" s="9">
        <f t="shared" si="32"/>
        <v>1.2377917099130999E-3</v>
      </c>
      <c r="I313" s="9">
        <f t="shared" si="33"/>
        <v>-9.5738700685702913E-4</v>
      </c>
      <c r="J313" s="9">
        <f t="shared" si="34"/>
        <v>17.485514978965579</v>
      </c>
    </row>
    <row r="314" spans="2:10" x14ac:dyDescent="0.25">
      <c r="B314" s="1">
        <v>43825</v>
      </c>
      <c r="C314" s="13">
        <v>72.477999999999994</v>
      </c>
      <c r="D314" s="6">
        <f t="shared" si="28"/>
        <v>1.9840153092812507E-2</v>
      </c>
      <c r="E314" s="14">
        <f t="shared" si="29"/>
        <v>2.1271160455917085E-4</v>
      </c>
      <c r="F314" s="9">
        <f t="shared" si="30"/>
        <v>17.508156496329732</v>
      </c>
      <c r="G314" s="9">
        <f t="shared" si="31"/>
        <v>-9.5596051241060437E-3</v>
      </c>
      <c r="H314" s="9">
        <f t="shared" si="32"/>
        <v>-3.7701736808152552E-3</v>
      </c>
      <c r="I314" s="9">
        <f t="shared" si="33"/>
        <v>-0.11006178149007381</v>
      </c>
      <c r="J314" s="9">
        <f t="shared" si="34"/>
        <v>17.384764936034735</v>
      </c>
    </row>
    <row r="315" spans="2:10" x14ac:dyDescent="0.25">
      <c r="B315" s="1">
        <v>43823</v>
      </c>
      <c r="C315" s="13">
        <v>71.067999999999998</v>
      </c>
      <c r="D315" s="6">
        <f t="shared" si="28"/>
        <v>9.5774647887325592E-4</v>
      </c>
      <c r="E315" s="14">
        <f t="shared" si="29"/>
        <v>2.1044609412800255E-4</v>
      </c>
      <c r="F315" s="9">
        <f t="shared" si="30"/>
        <v>17.518864239964365</v>
      </c>
      <c r="G315" s="9">
        <f t="shared" si="31"/>
        <v>-0.79043478452080118</v>
      </c>
      <c r="H315" s="9">
        <f t="shared" si="32"/>
        <v>-9.371898669825041E-3</v>
      </c>
      <c r="I315" s="9">
        <f t="shared" si="33"/>
        <v>-1.4424523163586493E-2</v>
      </c>
      <c r="J315" s="9">
        <f t="shared" si="34"/>
        <v>16.704633033610151</v>
      </c>
    </row>
    <row r="316" spans="2:10" x14ac:dyDescent="0.25">
      <c r="B316" s="1">
        <v>43822</v>
      </c>
      <c r="C316" s="13">
        <v>71</v>
      </c>
      <c r="D316" s="6">
        <f t="shared" si="28"/>
        <v>1.6318350987689634E-2</v>
      </c>
      <c r="E316" s="14">
        <f t="shared" si="29"/>
        <v>2.1066082942928271E-4</v>
      </c>
      <c r="F316" s="9">
        <f t="shared" si="30"/>
        <v>17.517844378699301</v>
      </c>
      <c r="G316" s="9">
        <f t="shared" si="31"/>
        <v>-1.0673414905598452E-3</v>
      </c>
      <c r="H316" s="9">
        <f t="shared" si="32"/>
        <v>-2.3872692239081396E-4</v>
      </c>
      <c r="I316" s="9">
        <f t="shared" si="33"/>
        <v>-1.9520135171857281E-3</v>
      </c>
      <c r="J316" s="9">
        <f t="shared" si="34"/>
        <v>17.514586296769163</v>
      </c>
    </row>
    <row r="317" spans="2:10" x14ac:dyDescent="0.25">
      <c r="B317" s="1">
        <v>43819</v>
      </c>
      <c r="C317" s="13">
        <v>69.86</v>
      </c>
      <c r="D317" s="6">
        <f t="shared" si="28"/>
        <v>-2.071280622812588E-3</v>
      </c>
      <c r="E317" s="14">
        <f t="shared" si="29"/>
        <v>2.0922465969696371E-4</v>
      </c>
      <c r="F317" s="9">
        <f t="shared" si="30"/>
        <v>17.524685173964428</v>
      </c>
      <c r="G317" s="9">
        <f t="shared" si="31"/>
        <v>-0.51730091720193794</v>
      </c>
      <c r="H317" s="9">
        <f t="shared" si="32"/>
        <v>-3.2978708796773848E-3</v>
      </c>
      <c r="I317" s="9">
        <f t="shared" si="33"/>
        <v>-4.2522672433481391E-3</v>
      </c>
      <c r="J317" s="9">
        <f t="shared" si="34"/>
        <v>16.999834118639466</v>
      </c>
    </row>
    <row r="318" spans="2:10" x14ac:dyDescent="0.25">
      <c r="B318" s="1">
        <v>43818</v>
      </c>
      <c r="C318" s="13">
        <v>70.004999999999995</v>
      </c>
      <c r="D318" s="6">
        <f t="shared" si="28"/>
        <v>1.0009294344748287E-3</v>
      </c>
      <c r="E318" s="14">
        <f t="shared" si="29"/>
        <v>2.1101066462116298E-4</v>
      </c>
      <c r="F318" s="9">
        <f t="shared" si="30"/>
        <v>17.516185099961803</v>
      </c>
      <c r="G318" s="9">
        <f t="shared" si="31"/>
        <v>-3.2511013522280564E-2</v>
      </c>
      <c r="H318" s="9">
        <f t="shared" si="32"/>
        <v>-3.3529376271130471E-3</v>
      </c>
      <c r="I318" s="9">
        <f t="shared" si="33"/>
        <v>-2.1925459241529444E-2</v>
      </c>
      <c r="J318" s="9">
        <f t="shared" si="34"/>
        <v>17.458395689570878</v>
      </c>
    </row>
    <row r="319" spans="2:10" x14ac:dyDescent="0.25">
      <c r="B319" s="1">
        <v>43817</v>
      </c>
      <c r="C319" s="13">
        <v>69.935000000000002</v>
      </c>
      <c r="D319" s="6">
        <f t="shared" si="28"/>
        <v>-2.3964737600387087E-3</v>
      </c>
      <c r="E319" s="14">
        <f t="shared" si="29"/>
        <v>2.1218890050704435E-4</v>
      </c>
      <c r="F319" s="9">
        <f t="shared" si="30"/>
        <v>17.510616857329879</v>
      </c>
      <c r="G319" s="9">
        <f t="shared" si="31"/>
        <v>-9.2738692737459041E-4</v>
      </c>
      <c r="H319" s="9">
        <f t="shared" si="32"/>
        <v>-4.3204706657180473E-4</v>
      </c>
      <c r="I319" s="9">
        <f t="shared" si="33"/>
        <v>-1.154117711511966E-2</v>
      </c>
      <c r="J319" s="9">
        <f t="shared" si="34"/>
        <v>17.497716246220811</v>
      </c>
    </row>
    <row r="320" spans="2:10" x14ac:dyDescent="0.25">
      <c r="B320" s="1">
        <v>43816</v>
      </c>
      <c r="C320" s="13">
        <v>70.102999999999994</v>
      </c>
      <c r="D320" s="6">
        <f t="shared" si="28"/>
        <v>1.9724147788178215E-3</v>
      </c>
      <c r="E320" s="14">
        <f t="shared" si="29"/>
        <v>2.1204040821600964E-4</v>
      </c>
      <c r="F320" s="9">
        <f t="shared" si="30"/>
        <v>17.511316914087136</v>
      </c>
      <c r="G320" s="9">
        <f t="shared" si="31"/>
        <v>-3.829237333283908E-2</v>
      </c>
      <c r="H320" s="9">
        <f t="shared" si="32"/>
        <v>-9.1556620325640914E-4</v>
      </c>
      <c r="I320" s="9">
        <f t="shared" si="33"/>
        <v>-3.9648018157978837E-4</v>
      </c>
      <c r="J320" s="9">
        <f t="shared" si="34"/>
        <v>17.471712494369459</v>
      </c>
    </row>
    <row r="321" spans="2:10" x14ac:dyDescent="0.25">
      <c r="B321" s="1">
        <v>43815</v>
      </c>
      <c r="C321" s="13">
        <v>69.965000000000003</v>
      </c>
      <c r="D321" s="6">
        <f t="shared" si="28"/>
        <v>1.7110542536489026E-2</v>
      </c>
      <c r="E321" s="14">
        <f t="shared" si="29"/>
        <v>2.1492306113186674E-4</v>
      </c>
      <c r="F321" s="9">
        <f t="shared" si="30"/>
        <v>17.49781366650727</v>
      </c>
      <c r="G321" s="9">
        <f t="shared" si="31"/>
        <v>-2.7782704735107431E-4</v>
      </c>
      <c r="H321" s="9">
        <f t="shared" si="32"/>
        <v>4.3731101401242638E-4</v>
      </c>
      <c r="I321" s="9">
        <f t="shared" si="33"/>
        <v>-4.7607893583539403E-2</v>
      </c>
      <c r="J321" s="9">
        <f t="shared" si="34"/>
        <v>17.45036525689039</v>
      </c>
    </row>
    <row r="322" spans="2:10" x14ac:dyDescent="0.25">
      <c r="B322" s="1">
        <v>43812</v>
      </c>
      <c r="C322" s="13">
        <v>68.787999999999997</v>
      </c>
      <c r="D322" s="6">
        <f t="shared" si="28"/>
        <v>1.3600530464893623E-2</v>
      </c>
      <c r="E322" s="14">
        <f t="shared" si="29"/>
        <v>2.1597587203051879E-4</v>
      </c>
      <c r="F322" s="9">
        <f t="shared" si="30"/>
        <v>17.492927077506415</v>
      </c>
      <c r="G322" s="9">
        <f t="shared" si="31"/>
        <v>-0.55663323289218514</v>
      </c>
      <c r="H322" s="9">
        <f t="shared" si="32"/>
        <v>9.8267859004193218E-3</v>
      </c>
      <c r="I322" s="9">
        <f t="shared" si="33"/>
        <v>-9.5787439419616136E-3</v>
      </c>
      <c r="J322" s="9">
        <f t="shared" si="34"/>
        <v>16.936541886572687</v>
      </c>
    </row>
    <row r="323" spans="2:10" x14ac:dyDescent="0.25">
      <c r="B323" s="1">
        <v>43811</v>
      </c>
      <c r="C323" s="13">
        <v>67.864999999999995</v>
      </c>
      <c r="D323" s="6">
        <f t="shared" si="28"/>
        <v>2.540883104604541E-3</v>
      </c>
      <c r="E323" s="14">
        <f t="shared" si="29"/>
        <v>2.151113694897642E-4</v>
      </c>
      <c r="F323" s="9">
        <f t="shared" si="30"/>
        <v>17.496937883748849</v>
      </c>
      <c r="G323" s="9">
        <f t="shared" si="31"/>
        <v>-0.33420200449566617</v>
      </c>
      <c r="H323" s="9">
        <f t="shared" si="32"/>
        <v>-2.6142080417396342E-4</v>
      </c>
      <c r="I323" s="9">
        <f t="shared" si="33"/>
        <v>-7.5548789755670821E-4</v>
      </c>
      <c r="J323" s="9">
        <f t="shared" si="34"/>
        <v>17.161718970551451</v>
      </c>
    </row>
    <row r="324" spans="2:10" x14ac:dyDescent="0.25">
      <c r="B324" s="1">
        <v>43810</v>
      </c>
      <c r="C324" s="13">
        <v>67.692999999999998</v>
      </c>
      <c r="D324" s="6">
        <f t="shared" si="28"/>
        <v>8.5369487485100759E-3</v>
      </c>
      <c r="E324" s="14">
        <f t="shared" si="29"/>
        <v>2.1541832300103566E-4</v>
      </c>
      <c r="F324" s="9">
        <f t="shared" si="30"/>
        <v>17.495511949284229</v>
      </c>
      <c r="G324" s="9">
        <f t="shared" si="31"/>
        <v>-1.9427653360483397E-3</v>
      </c>
      <c r="H324" s="9">
        <f t="shared" si="32"/>
        <v>3.47417752641399E-4</v>
      </c>
      <c r="I324" s="9">
        <f t="shared" si="33"/>
        <v>-2.4220735956639191E-3</v>
      </c>
      <c r="J324" s="9">
        <f t="shared" si="34"/>
        <v>17.491494528105161</v>
      </c>
    </row>
    <row r="325" spans="2:10" x14ac:dyDescent="0.25">
      <c r="B325" s="1">
        <v>43809</v>
      </c>
      <c r="C325" s="13">
        <v>67.12</v>
      </c>
      <c r="D325" s="6">
        <f t="shared" si="28"/>
        <v>5.8444477746140144E-3</v>
      </c>
      <c r="E325" s="14">
        <f t="shared" si="29"/>
        <v>2.1537017896322702E-4</v>
      </c>
      <c r="F325" s="9">
        <f t="shared" si="30"/>
        <v>17.495735465175621</v>
      </c>
      <c r="G325" s="9">
        <f t="shared" si="31"/>
        <v>-0.11116639164225682</v>
      </c>
      <c r="H325" s="9">
        <f t="shared" si="32"/>
        <v>1.7859304821489649E-3</v>
      </c>
      <c r="I325" s="9">
        <f t="shared" si="33"/>
        <v>-6.7437050566823752E-4</v>
      </c>
      <c r="J325" s="9">
        <f t="shared" si="34"/>
        <v>17.385680633509846</v>
      </c>
    </row>
    <row r="326" spans="2:10" x14ac:dyDescent="0.25">
      <c r="B326" s="1">
        <v>43808</v>
      </c>
      <c r="C326" s="13">
        <v>66.73</v>
      </c>
      <c r="D326" s="6">
        <f t="shared" si="28"/>
        <v>-1.4007506131977765E-2</v>
      </c>
      <c r="E326" s="14">
        <f t="shared" si="29"/>
        <v>2.1553604709821593E-4</v>
      </c>
      <c r="F326" s="9">
        <f t="shared" si="30"/>
        <v>17.494965607915972</v>
      </c>
      <c r="G326" s="9">
        <f t="shared" si="31"/>
        <v>-4.1377185368665477E-2</v>
      </c>
      <c r="H326" s="9">
        <f t="shared" si="32"/>
        <v>1.3987769671082973E-3</v>
      </c>
      <c r="I326" s="9">
        <f t="shared" si="33"/>
        <v>-1.5961408046320841E-3</v>
      </c>
      <c r="J326" s="9">
        <f t="shared" si="34"/>
        <v>17.45339105870978</v>
      </c>
    </row>
    <row r="327" spans="2:10" x14ac:dyDescent="0.25">
      <c r="B327" s="1">
        <v>43805</v>
      </c>
      <c r="C327" s="13">
        <v>67.677999999999997</v>
      </c>
      <c r="D327" s="6">
        <f t="shared" si="28"/>
        <v>1.9323744257850661E-2</v>
      </c>
      <c r="E327" s="14">
        <f t="shared" si="29"/>
        <v>2.1681220577747344E-4</v>
      </c>
      <c r="F327" s="9">
        <f t="shared" si="30"/>
        <v>17.489062207696549</v>
      </c>
      <c r="G327" s="9">
        <f t="shared" si="31"/>
        <v>-0.56540189104919036</v>
      </c>
      <c r="H327" s="9">
        <f t="shared" si="32"/>
        <v>-1.107569412781776E-2</v>
      </c>
      <c r="I327" s="9">
        <f t="shared" si="33"/>
        <v>-1.2582316496669473E-2</v>
      </c>
      <c r="J327" s="9">
        <f t="shared" si="34"/>
        <v>16.90000230602287</v>
      </c>
    </row>
    <row r="328" spans="2:10" x14ac:dyDescent="0.25">
      <c r="B328" s="1">
        <v>43804</v>
      </c>
      <c r="C328" s="13">
        <v>66.394999999999996</v>
      </c>
      <c r="D328" s="6">
        <f t="shared" si="28"/>
        <v>1.4671047604492893E-2</v>
      </c>
      <c r="E328" s="14">
        <f t="shared" si="29"/>
        <v>2.1462432968753865E-4</v>
      </c>
      <c r="F328" s="9">
        <f t="shared" si="30"/>
        <v>17.499204579355883</v>
      </c>
      <c r="G328" s="9">
        <f t="shared" si="31"/>
        <v>-0.73171835558433107</v>
      </c>
      <c r="H328" s="9">
        <f t="shared" si="32"/>
        <v>-8.455571197870106E-3</v>
      </c>
      <c r="I328" s="9">
        <f t="shared" si="33"/>
        <v>-1.3061631114706759E-2</v>
      </c>
      <c r="J328" s="9">
        <f t="shared" si="34"/>
        <v>16.745969021458976</v>
      </c>
    </row>
    <row r="329" spans="2:10" x14ac:dyDescent="0.25">
      <c r="B329" s="1">
        <v>43803</v>
      </c>
      <c r="C329" s="13">
        <v>65.435000000000002</v>
      </c>
      <c r="D329" s="6">
        <f t="shared" si="28"/>
        <v>8.8185868677057577E-3</v>
      </c>
      <c r="E329" s="14">
        <f t="shared" si="29"/>
        <v>2.1424755820029394E-4</v>
      </c>
      <c r="F329" s="9">
        <f t="shared" si="30"/>
        <v>17.500961614940707</v>
      </c>
      <c r="G329" s="9">
        <f t="shared" si="31"/>
        <v>-0.39823453043357188</v>
      </c>
      <c r="H329" s="9">
        <f t="shared" si="32"/>
        <v>1.9096904425521129E-3</v>
      </c>
      <c r="I329" s="9">
        <f t="shared" si="33"/>
        <v>-2.0969318537366723E-5</v>
      </c>
      <c r="J329" s="9">
        <f t="shared" si="34"/>
        <v>17.104615805631148</v>
      </c>
    </row>
    <row r="330" spans="2:10" x14ac:dyDescent="0.25">
      <c r="B330" s="1">
        <v>43802</v>
      </c>
      <c r="C330" s="13">
        <v>64.863</v>
      </c>
      <c r="D330" s="6">
        <f t="shared" si="28"/>
        <v>-1.7822531798909802E-2</v>
      </c>
      <c r="E330" s="14">
        <f t="shared" si="29"/>
        <v>2.1398204516906796E-4</v>
      </c>
      <c r="F330" s="9">
        <f t="shared" si="30"/>
        <v>17.502201664966023</v>
      </c>
      <c r="G330" s="9">
        <f t="shared" si="31"/>
        <v>-0.12119460013892354</v>
      </c>
      <c r="H330" s="9">
        <f t="shared" si="32"/>
        <v>1.3306285856906921E-3</v>
      </c>
      <c r="I330" s="9">
        <f t="shared" si="33"/>
        <v>-1.4211624975892003E-4</v>
      </c>
      <c r="J330" s="9">
        <f t="shared" si="34"/>
        <v>17.382195577163031</v>
      </c>
    </row>
    <row r="331" spans="2:10" x14ac:dyDescent="0.25">
      <c r="B331" s="1">
        <v>43801</v>
      </c>
      <c r="C331" s="13">
        <v>66.040000000000006</v>
      </c>
      <c r="D331" s="6">
        <f t="shared" si="28"/>
        <v>-1.1569604717644677E-2</v>
      </c>
      <c r="E331" s="14">
        <f t="shared" si="29"/>
        <v>2.1079375541904093E-4</v>
      </c>
      <c r="F331" s="9">
        <f t="shared" si="30"/>
        <v>17.517213582409763</v>
      </c>
      <c r="G331" s="9">
        <f t="shared" si="31"/>
        <v>-0.89997285509230374</v>
      </c>
      <c r="H331" s="9">
        <f t="shared" si="32"/>
        <v>1.6287771921525855E-2</v>
      </c>
      <c r="I331" s="9">
        <f t="shared" si="33"/>
        <v>-3.2808025120027159E-2</v>
      </c>
      <c r="J331" s="9">
        <f t="shared" si="34"/>
        <v>16.600720474118958</v>
      </c>
    </row>
    <row r="332" spans="2:10" x14ac:dyDescent="0.25">
      <c r="B332" s="1">
        <v>43798</v>
      </c>
      <c r="C332" s="13">
        <v>66.813000000000002</v>
      </c>
      <c r="D332" s="6">
        <f t="shared" si="28"/>
        <v>-2.1953405017919314E-3</v>
      </c>
      <c r="E332" s="14">
        <f t="shared" si="29"/>
        <v>2.0974761983380257E-4</v>
      </c>
      <c r="F332" s="9">
        <f t="shared" si="30"/>
        <v>17.522188777739768</v>
      </c>
      <c r="G332" s="9">
        <f t="shared" si="31"/>
        <v>-0.41639317780379193</v>
      </c>
      <c r="H332" s="9">
        <f t="shared" si="32"/>
        <v>1.1405269384178129E-3</v>
      </c>
      <c r="I332" s="9">
        <f t="shared" si="33"/>
        <v>-1.5445378174902924E-3</v>
      </c>
      <c r="J332" s="9">
        <f t="shared" si="34"/>
        <v>17.105391589056904</v>
      </c>
    </row>
    <row r="333" spans="2:10" x14ac:dyDescent="0.25">
      <c r="B333" s="1">
        <v>43796</v>
      </c>
      <c r="C333" s="13">
        <v>66.959999999999994</v>
      </c>
      <c r="D333" s="6">
        <f t="shared" si="28"/>
        <v>1.3424545578375469E-2</v>
      </c>
      <c r="E333" s="14">
        <f t="shared" si="29"/>
        <v>2.1034835872238631E-4</v>
      </c>
      <c r="F333" s="9">
        <f t="shared" si="30"/>
        <v>17.519328767986117</v>
      </c>
      <c r="G333" s="9">
        <f t="shared" si="31"/>
        <v>-3.483791444239568E-2</v>
      </c>
      <c r="H333" s="9">
        <f t="shared" si="32"/>
        <v>-1.8835907554100985E-3</v>
      </c>
      <c r="I333" s="9">
        <f t="shared" si="33"/>
        <v>-4.8761514910641941E-3</v>
      </c>
      <c r="J333" s="9">
        <f t="shared" si="34"/>
        <v>17.477731111297249</v>
      </c>
    </row>
    <row r="334" spans="2:10" x14ac:dyDescent="0.25">
      <c r="B334" s="1">
        <v>43795</v>
      </c>
      <c r="C334" s="13">
        <v>66.072999999999993</v>
      </c>
      <c r="D334" s="6">
        <f t="shared" si="28"/>
        <v>-7.8086285345307926E-3</v>
      </c>
      <c r="E334" s="14">
        <f t="shared" si="29"/>
        <v>2.1409627786530197E-4</v>
      </c>
      <c r="F334" s="9">
        <f t="shared" si="30"/>
        <v>17.501667964973294</v>
      </c>
      <c r="G334" s="9">
        <f t="shared" si="31"/>
        <v>-0.32598814133554976</v>
      </c>
      <c r="H334" s="9">
        <f t="shared" si="32"/>
        <v>1.8534073232699094E-2</v>
      </c>
      <c r="I334" s="9">
        <f t="shared" si="33"/>
        <v>-7.5922778704254831E-2</v>
      </c>
      <c r="J334" s="9">
        <f t="shared" si="34"/>
        <v>17.118291118166191</v>
      </c>
    </row>
    <row r="335" spans="2:10" x14ac:dyDescent="0.25">
      <c r="B335" s="1">
        <v>43794</v>
      </c>
      <c r="C335" s="13">
        <v>66.593000000000004</v>
      </c>
      <c r="D335" s="6">
        <f t="shared" si="28"/>
        <v>1.7541447016578893E-2</v>
      </c>
      <c r="E335" s="14">
        <f t="shared" si="29"/>
        <v>2.1420673667507203E-4</v>
      </c>
      <c r="F335" s="9">
        <f t="shared" si="30"/>
        <v>17.501152167472604</v>
      </c>
      <c r="G335" s="9">
        <f t="shared" si="31"/>
        <v>-0.20844617289976866</v>
      </c>
      <c r="H335" s="9">
        <f t="shared" si="32"/>
        <v>-2.9687780062028603E-3</v>
      </c>
      <c r="I335" s="9">
        <f t="shared" si="33"/>
        <v>-1.3381796536419358E-3</v>
      </c>
      <c r="J335" s="9">
        <f t="shared" si="34"/>
        <v>17.288399036912988</v>
      </c>
    </row>
    <row r="336" spans="2:10" x14ac:dyDescent="0.25">
      <c r="B336" s="1">
        <v>43791</v>
      </c>
      <c r="C336" s="13">
        <v>65.444999999999993</v>
      </c>
      <c r="D336" s="6">
        <f t="shared" ref="D336:D399" si="35">C336/C337-1</f>
        <v>-8.8545562798658661E-4</v>
      </c>
      <c r="E336" s="14">
        <f t="shared" ref="E336:E399" si="36">_xlfn.VAR.S(D336:D456)</f>
        <v>2.1388953319583653E-4</v>
      </c>
      <c r="F336" s="9">
        <f t="shared" si="30"/>
        <v>17.502634093663563</v>
      </c>
      <c r="G336" s="9">
        <f t="shared" si="31"/>
        <v>-0.59378306517898238</v>
      </c>
      <c r="H336" s="9">
        <f t="shared" si="32"/>
        <v>2.661555208683383E-3</v>
      </c>
      <c r="I336" s="9">
        <f t="shared" si="33"/>
        <v>-7.2876865944444336E-5</v>
      </c>
      <c r="J336" s="9">
        <f t="shared" si="34"/>
        <v>16.91143970682732</v>
      </c>
    </row>
    <row r="337" spans="2:10" x14ac:dyDescent="0.25">
      <c r="B337" s="1">
        <v>43790</v>
      </c>
      <c r="C337" s="13">
        <v>65.503</v>
      </c>
      <c r="D337" s="6">
        <f t="shared" si="35"/>
        <v>-4.4834189489042497E-3</v>
      </c>
      <c r="E337" s="14">
        <f t="shared" si="36"/>
        <v>2.2292664299986743E-4</v>
      </c>
      <c r="F337" s="9">
        <f t="shared" ref="F337:F400" si="37">LN(2*PI())-LN($C$6)-LN(E337)-0.5*LN(1-POWER($C$7,2))</f>
        <v>17.461251013203906</v>
      </c>
      <c r="G337" s="9">
        <f t="shared" ref="G337:G400" si="38">-POWER(D336-1-$C$3,2)/(2*E337*(1-POWER($C$7,2)))</f>
        <v>-1.4203934984593833E-2</v>
      </c>
      <c r="H337" s="9">
        <f t="shared" ref="H337:H400" si="39">$C$7*(D336-1-$C$3)*(E336-E337-$C$5*$C$4)/(E337*$C$6*(1-POWER($C$7,2)))</f>
        <v>-8.1997789294895665E-3</v>
      </c>
      <c r="I337" s="9">
        <f t="shared" ref="I337:I400" si="40">-POWER(E336-E337-$C$5*$C$4+$C$4*E337,2)/(2*POWER($C$6,2)*E337*(1-POWER($C$7,2)))</f>
        <v>-0.37158146603728215</v>
      </c>
      <c r="J337" s="9">
        <f t="shared" ref="J337:J400" si="41">SUM(F337:I337)</f>
        <v>17.067265833252542</v>
      </c>
    </row>
    <row r="338" spans="2:10" x14ac:dyDescent="0.25">
      <c r="B338" s="1">
        <v>43789</v>
      </c>
      <c r="C338" s="13">
        <v>65.798000000000002</v>
      </c>
      <c r="D338" s="6">
        <f t="shared" si="35"/>
        <v>-1.1641356105327905E-2</v>
      </c>
      <c r="E338" s="14">
        <f t="shared" si="36"/>
        <v>2.2394264280011078E-4</v>
      </c>
      <c r="F338" s="9">
        <f t="shared" si="37"/>
        <v>17.456703815250584</v>
      </c>
      <c r="G338" s="9">
        <f t="shared" si="38"/>
        <v>-8.3619589217095974E-2</v>
      </c>
      <c r="H338" s="9">
        <f t="shared" si="39"/>
        <v>-3.666101923735066E-3</v>
      </c>
      <c r="I338" s="9">
        <f t="shared" si="40"/>
        <v>-8.6310623980067561E-3</v>
      </c>
      <c r="J338" s="9">
        <f t="shared" si="41"/>
        <v>17.360787061711747</v>
      </c>
    </row>
    <row r="339" spans="2:10" x14ac:dyDescent="0.25">
      <c r="B339" s="1">
        <v>43788</v>
      </c>
      <c r="C339" s="13">
        <v>66.572999999999993</v>
      </c>
      <c r="D339" s="6">
        <f t="shared" si="35"/>
        <v>-3.025084238113207E-3</v>
      </c>
      <c r="E339" s="14">
        <f t="shared" si="36"/>
        <v>2.2591734062851084E-4</v>
      </c>
      <c r="F339" s="9">
        <f t="shared" si="37"/>
        <v>17.44792459245058</v>
      </c>
      <c r="G339" s="9">
        <f t="shared" si="38"/>
        <v>-0.39080559845129192</v>
      </c>
      <c r="H339" s="9">
        <f t="shared" si="39"/>
        <v>-1.2054331725228658E-2</v>
      </c>
      <c r="I339" s="9">
        <f t="shared" si="40"/>
        <v>-2.3590848191973435E-2</v>
      </c>
      <c r="J339" s="9">
        <f t="shared" si="41"/>
        <v>17.021473814082089</v>
      </c>
    </row>
    <row r="340" spans="2:10" x14ac:dyDescent="0.25">
      <c r="B340" s="1">
        <v>43787</v>
      </c>
      <c r="C340" s="13">
        <v>66.775000000000006</v>
      </c>
      <c r="D340" s="6">
        <f t="shared" si="35"/>
        <v>5.0421432871765592E-3</v>
      </c>
      <c r="E340" s="14">
        <f t="shared" si="36"/>
        <v>2.2559077979348793E-4</v>
      </c>
      <c r="F340" s="9">
        <f t="shared" si="37"/>
        <v>17.449371126309863</v>
      </c>
      <c r="G340" s="9">
        <f t="shared" si="38"/>
        <v>-4.8116296251889047E-2</v>
      </c>
      <c r="H340" s="9">
        <f t="shared" si="39"/>
        <v>-7.234679154845728E-4</v>
      </c>
      <c r="I340" s="9">
        <f t="shared" si="40"/>
        <v>-4.1922353935541292E-5</v>
      </c>
      <c r="J340" s="9">
        <f t="shared" si="41"/>
        <v>17.400489439788554</v>
      </c>
    </row>
    <row r="341" spans="2:10" x14ac:dyDescent="0.25">
      <c r="B341" s="1">
        <v>43784</v>
      </c>
      <c r="C341" s="13">
        <v>66.44</v>
      </c>
      <c r="D341" s="6">
        <f t="shared" si="35"/>
        <v>1.1879378617118519E-2</v>
      </c>
      <c r="E341" s="14">
        <f t="shared" si="36"/>
        <v>2.26135800896359E-4</v>
      </c>
      <c r="F341" s="9">
        <f t="shared" si="37"/>
        <v>17.446958067656091</v>
      </c>
      <c r="G341" s="9">
        <f t="shared" si="38"/>
        <v>-2.5859081218283713E-2</v>
      </c>
      <c r="H341" s="9">
        <f t="shared" si="39"/>
        <v>1.5029220862741899E-3</v>
      </c>
      <c r="I341" s="9">
        <f t="shared" si="40"/>
        <v>-3.8585286640951083E-3</v>
      </c>
      <c r="J341" s="9">
        <f t="shared" si="41"/>
        <v>17.418743379859986</v>
      </c>
    </row>
    <row r="342" spans="2:10" x14ac:dyDescent="0.25">
      <c r="B342" s="1">
        <v>43783</v>
      </c>
      <c r="C342" s="13">
        <v>65.66</v>
      </c>
      <c r="D342" s="6">
        <f t="shared" si="35"/>
        <v>-6.9270092864273103E-3</v>
      </c>
      <c r="E342" s="14">
        <f t="shared" si="36"/>
        <v>2.2599730111415211E-4</v>
      </c>
      <c r="F342" s="9">
        <f t="shared" si="37"/>
        <v>17.447570718160659</v>
      </c>
      <c r="G342" s="9">
        <f t="shared" si="38"/>
        <v>-0.23322212067944018</v>
      </c>
      <c r="H342" s="9">
        <f t="shared" si="39"/>
        <v>2.2221670710031007E-3</v>
      </c>
      <c r="I342" s="9">
        <f t="shared" si="40"/>
        <v>-3.4038963516836031E-4</v>
      </c>
      <c r="J342" s="9">
        <f t="shared" si="41"/>
        <v>17.216230374917053</v>
      </c>
    </row>
    <row r="343" spans="2:10" x14ac:dyDescent="0.25">
      <c r="B343" s="1">
        <v>43782</v>
      </c>
      <c r="C343" s="13">
        <v>66.117999999999995</v>
      </c>
      <c r="D343" s="6">
        <f t="shared" si="35"/>
        <v>9.5892502672163538E-3</v>
      </c>
      <c r="E343" s="14">
        <f t="shared" si="36"/>
        <v>2.2554927775187444E-4</v>
      </c>
      <c r="F343" s="9">
        <f t="shared" si="37"/>
        <v>17.449555113703738</v>
      </c>
      <c r="G343" s="9">
        <f t="shared" si="38"/>
        <v>-0.16269967444800382</v>
      </c>
      <c r="H343" s="9">
        <f t="shared" si="39"/>
        <v>-9.8984435726080008E-4</v>
      </c>
      <c r="I343" s="9">
        <f t="shared" si="40"/>
        <v>-1.6736850900584447E-6</v>
      </c>
      <c r="J343" s="9">
        <f t="shared" si="41"/>
        <v>17.285863921213384</v>
      </c>
    </row>
    <row r="344" spans="2:10" x14ac:dyDescent="0.25">
      <c r="B344" s="1">
        <v>43781</v>
      </c>
      <c r="C344" s="13">
        <v>65.489999999999995</v>
      </c>
      <c r="D344" s="6">
        <f t="shared" si="35"/>
        <v>-9.1533180778036183E-4</v>
      </c>
      <c r="E344" s="14">
        <f t="shared" si="36"/>
        <v>2.2863411843231305E-4</v>
      </c>
      <c r="F344" s="9">
        <f t="shared" si="37"/>
        <v>17.435970785679565</v>
      </c>
      <c r="G344" s="9">
        <f t="shared" si="38"/>
        <v>-0.13904194339285622</v>
      </c>
      <c r="H344" s="9">
        <f t="shared" si="39"/>
        <v>1.0005837427205816E-2</v>
      </c>
      <c r="I344" s="9">
        <f t="shared" si="40"/>
        <v>-4.9710683168649107E-2</v>
      </c>
      <c r="J344" s="9">
        <f t="shared" si="41"/>
        <v>17.257223996545264</v>
      </c>
    </row>
    <row r="345" spans="2:10" x14ac:dyDescent="0.25">
      <c r="B345" s="1">
        <v>43780</v>
      </c>
      <c r="C345" s="13">
        <v>65.55</v>
      </c>
      <c r="D345" s="6">
        <f t="shared" si="35"/>
        <v>7.9188129468747981E-3</v>
      </c>
      <c r="E345" s="14">
        <f t="shared" si="36"/>
        <v>2.3310114982240515E-4</v>
      </c>
      <c r="F345" s="9">
        <f t="shared" si="37"/>
        <v>17.416621296616263</v>
      </c>
      <c r="G345" s="9">
        <f t="shared" si="38"/>
        <v>-1.3908890252309489E-2</v>
      </c>
      <c r="H345" s="9">
        <f t="shared" si="39"/>
        <v>-4.2490212974444046E-3</v>
      </c>
      <c r="I345" s="9">
        <f t="shared" si="40"/>
        <v>-9.4470612956839367E-2</v>
      </c>
      <c r="J345" s="9">
        <f t="shared" si="41"/>
        <v>17.30399277210967</v>
      </c>
    </row>
    <row r="346" spans="2:10" x14ac:dyDescent="0.25">
      <c r="B346" s="1">
        <v>43777</v>
      </c>
      <c r="C346" s="13">
        <v>65.034999999999997</v>
      </c>
      <c r="D346" s="6">
        <f t="shared" si="35"/>
        <v>2.7290388232752427E-3</v>
      </c>
      <c r="E346" s="14">
        <f t="shared" si="36"/>
        <v>2.3507992260643064E-4</v>
      </c>
      <c r="F346" s="9">
        <f t="shared" si="37"/>
        <v>17.408168222866728</v>
      </c>
      <c r="G346" s="9">
        <f t="shared" si="38"/>
        <v>-8.4438631146023457E-2</v>
      </c>
      <c r="H346" s="9">
        <f t="shared" si="39"/>
        <v>5.5009471582771093E-3</v>
      </c>
      <c r="I346" s="9">
        <f t="shared" si="40"/>
        <v>-2.2462587771976735E-2</v>
      </c>
      <c r="J346" s="9">
        <f t="shared" si="41"/>
        <v>17.306767951107005</v>
      </c>
    </row>
    <row r="347" spans="2:10" x14ac:dyDescent="0.25">
      <c r="B347" s="1">
        <v>43776</v>
      </c>
      <c r="C347" s="13">
        <v>64.858000000000004</v>
      </c>
      <c r="D347" s="6">
        <f t="shared" si="35"/>
        <v>8.5212253148809758E-3</v>
      </c>
      <c r="E347" s="14">
        <f t="shared" si="36"/>
        <v>2.447940358803891E-4</v>
      </c>
      <c r="F347" s="9">
        <f t="shared" si="37"/>
        <v>17.367676588281185</v>
      </c>
      <c r="G347" s="9">
        <f t="shared" si="38"/>
        <v>-2.4864015475380007E-3</v>
      </c>
      <c r="H347" s="9">
        <f t="shared" si="39"/>
        <v>3.4991805076647108E-3</v>
      </c>
      <c r="I347" s="9">
        <f t="shared" si="40"/>
        <v>-0.38573815624159402</v>
      </c>
      <c r="J347" s="9">
        <f t="shared" si="41"/>
        <v>16.982951210999715</v>
      </c>
    </row>
    <row r="348" spans="2:10" x14ac:dyDescent="0.25">
      <c r="B348" s="1">
        <v>43775</v>
      </c>
      <c r="C348" s="13">
        <v>64.31</v>
      </c>
      <c r="D348" s="6">
        <f t="shared" si="35"/>
        <v>4.2001773408206766E-4</v>
      </c>
      <c r="E348" s="14">
        <f t="shared" si="36"/>
        <v>2.4509336581030484E-4</v>
      </c>
      <c r="F348" s="9">
        <f t="shared" si="37"/>
        <v>17.366454552498539</v>
      </c>
      <c r="G348" s="9">
        <f t="shared" si="38"/>
        <v>-9.7240843019755371E-2</v>
      </c>
      <c r="H348" s="9">
        <f t="shared" si="39"/>
        <v>2.2884586981460411E-3</v>
      </c>
      <c r="I348" s="9">
        <f t="shared" si="40"/>
        <v>-1.8195981550850355E-3</v>
      </c>
      <c r="J348" s="9">
        <f t="shared" si="41"/>
        <v>17.269682570021846</v>
      </c>
    </row>
    <row r="349" spans="2:10" x14ac:dyDescent="0.25">
      <c r="B349" s="1">
        <v>43774</v>
      </c>
      <c r="C349" s="13">
        <v>64.283000000000001</v>
      </c>
      <c r="D349" s="6">
        <f t="shared" si="35"/>
        <v>-1.4291262135922578E-3</v>
      </c>
      <c r="E349" s="14">
        <f t="shared" si="36"/>
        <v>2.4546251698798313E-4</v>
      </c>
      <c r="F349" s="9">
        <f t="shared" si="37"/>
        <v>17.364949520104457</v>
      </c>
      <c r="G349" s="9">
        <f t="shared" si="38"/>
        <v>-2.9779736118675229E-3</v>
      </c>
      <c r="H349" s="9">
        <f t="shared" si="39"/>
        <v>-4.2557073069293829E-4</v>
      </c>
      <c r="I349" s="9">
        <f t="shared" si="40"/>
        <v>-2.1968508679063897E-3</v>
      </c>
      <c r="J349" s="9">
        <f t="shared" si="41"/>
        <v>17.359349124893988</v>
      </c>
    </row>
    <row r="350" spans="2:10" x14ac:dyDescent="0.25">
      <c r="B350" s="1">
        <v>43773</v>
      </c>
      <c r="C350" s="13">
        <v>64.375</v>
      </c>
      <c r="D350" s="6">
        <f t="shared" si="35"/>
        <v>6.5671175044954566E-3</v>
      </c>
      <c r="E350" s="14">
        <f t="shared" si="36"/>
        <v>2.4605113399006124E-4</v>
      </c>
      <c r="F350" s="9">
        <f t="shared" si="37"/>
        <v>17.362554399308543</v>
      </c>
      <c r="G350" s="9">
        <f t="shared" si="38"/>
        <v>-1.9040116563068525E-2</v>
      </c>
      <c r="H350" s="9">
        <f t="shared" si="39"/>
        <v>-1.2763803513327887E-3</v>
      </c>
      <c r="I350" s="9">
        <f t="shared" si="40"/>
        <v>-3.6243351973287269E-3</v>
      </c>
      <c r="J350" s="9">
        <f t="shared" si="41"/>
        <v>17.338613567196813</v>
      </c>
    </row>
    <row r="351" spans="2:10" x14ac:dyDescent="0.25">
      <c r="B351" s="1">
        <v>43770</v>
      </c>
      <c r="C351" s="13">
        <v>63.954999999999998</v>
      </c>
      <c r="D351" s="6">
        <f t="shared" si="35"/>
        <v>2.8380768612317198E-2</v>
      </c>
      <c r="E351" s="14">
        <f t="shared" si="36"/>
        <v>2.4735784626799662E-4</v>
      </c>
      <c r="F351" s="9">
        <f t="shared" si="37"/>
        <v>17.3572577169003</v>
      </c>
      <c r="G351" s="9">
        <f t="shared" si="38"/>
        <v>-4.9469874526795271E-2</v>
      </c>
      <c r="H351" s="9">
        <f t="shared" si="39"/>
        <v>3.1123142908693448E-3</v>
      </c>
      <c r="I351" s="9">
        <f t="shared" si="40"/>
        <v>-1.0773530038957481E-2</v>
      </c>
      <c r="J351" s="9">
        <f t="shared" si="41"/>
        <v>17.300126626625417</v>
      </c>
    </row>
    <row r="352" spans="2:10" x14ac:dyDescent="0.25">
      <c r="B352" s="1">
        <v>43769</v>
      </c>
      <c r="C352" s="13">
        <v>62.19</v>
      </c>
      <c r="D352" s="6">
        <f t="shared" si="35"/>
        <v>2.2609553564087781E-2</v>
      </c>
      <c r="E352" s="14">
        <f t="shared" si="36"/>
        <v>2.7227708538306593E-4</v>
      </c>
      <c r="F352" s="9">
        <f t="shared" si="37"/>
        <v>17.261273531350518</v>
      </c>
      <c r="G352" s="9">
        <f t="shared" si="38"/>
        <v>-1.3182591303541404</v>
      </c>
      <c r="H352" s="9">
        <f t="shared" si="39"/>
        <v>0.18686906377684512</v>
      </c>
      <c r="I352" s="9">
        <f t="shared" si="40"/>
        <v>-2.1665786314041662</v>
      </c>
      <c r="J352" s="9">
        <f t="shared" si="41"/>
        <v>13.963304833369056</v>
      </c>
    </row>
    <row r="353" spans="2:10" x14ac:dyDescent="0.25">
      <c r="B353" s="1">
        <v>43768</v>
      </c>
      <c r="C353" s="13">
        <v>60.814999999999998</v>
      </c>
      <c r="D353" s="6">
        <f t="shared" si="35"/>
        <v>-1.3152919125991591E-4</v>
      </c>
      <c r="E353" s="14">
        <f t="shared" si="36"/>
        <v>2.7187821005676736E-4</v>
      </c>
      <c r="F353" s="9">
        <f t="shared" si="37"/>
        <v>17.262739566510263</v>
      </c>
      <c r="G353" s="9">
        <f t="shared" si="38"/>
        <v>-0.81204689818242592</v>
      </c>
      <c r="H353" s="9">
        <f t="shared" si="39"/>
        <v>2.294641204590549E-3</v>
      </c>
      <c r="I353" s="9">
        <f t="shared" si="40"/>
        <v>-7.7372386216836128E-6</v>
      </c>
      <c r="J353" s="9">
        <f t="shared" si="41"/>
        <v>16.452979572293803</v>
      </c>
    </row>
    <row r="354" spans="2:10" x14ac:dyDescent="0.25">
      <c r="B354" s="1">
        <v>43767</v>
      </c>
      <c r="C354" s="13">
        <v>60.823</v>
      </c>
      <c r="D354" s="6">
        <f t="shared" si="35"/>
        <v>-2.3127700239307436E-2</v>
      </c>
      <c r="E354" s="14">
        <f t="shared" si="36"/>
        <v>2.7313750649145182E-4</v>
      </c>
      <c r="F354" s="9">
        <f t="shared" si="37"/>
        <v>17.258118420229636</v>
      </c>
      <c r="G354" s="9">
        <f t="shared" si="38"/>
        <v>-5.6799349823170846E-3</v>
      </c>
      <c r="H354" s="9">
        <f t="shared" si="39"/>
        <v>-9.8101401164632398E-4</v>
      </c>
      <c r="I354" s="9">
        <f t="shared" si="40"/>
        <v>-8.7493241591162976E-3</v>
      </c>
      <c r="J354" s="9">
        <f t="shared" si="41"/>
        <v>17.242708147076556</v>
      </c>
    </row>
    <row r="355" spans="2:10" x14ac:dyDescent="0.25">
      <c r="B355" s="1">
        <v>43766</v>
      </c>
      <c r="C355" s="13">
        <v>62.262999999999998</v>
      </c>
      <c r="D355" s="6">
        <f t="shared" si="35"/>
        <v>1.0025143969502714E-2</v>
      </c>
      <c r="E355" s="14">
        <f t="shared" si="36"/>
        <v>2.680062282370909E-4</v>
      </c>
      <c r="F355" s="9">
        <f t="shared" si="37"/>
        <v>17.277083555457402</v>
      </c>
      <c r="G355" s="9">
        <f t="shared" si="38"/>
        <v>-1.1466634448947675</v>
      </c>
      <c r="H355" s="9">
        <f t="shared" si="39"/>
        <v>2.9575409192566394E-2</v>
      </c>
      <c r="I355" s="9">
        <f t="shared" si="40"/>
        <v>-7.855110312772802E-2</v>
      </c>
      <c r="J355" s="9">
        <f t="shared" si="41"/>
        <v>16.081444416627473</v>
      </c>
    </row>
    <row r="356" spans="2:10" x14ac:dyDescent="0.25">
      <c r="B356" s="1">
        <v>43763</v>
      </c>
      <c r="C356" s="13">
        <v>61.645000000000003</v>
      </c>
      <c r="D356" s="6">
        <f t="shared" si="35"/>
        <v>1.2316282124969158E-2</v>
      </c>
      <c r="E356" s="14">
        <f t="shared" si="36"/>
        <v>2.7425852035409297E-4</v>
      </c>
      <c r="F356" s="9">
        <f t="shared" si="37"/>
        <v>17.254022608879861</v>
      </c>
      <c r="G356" s="9">
        <f t="shared" si="38"/>
        <v>-0.12895069820284416</v>
      </c>
      <c r="H356" s="9">
        <f t="shared" si="39"/>
        <v>1.5969470179042454E-2</v>
      </c>
      <c r="I356" s="9">
        <f t="shared" si="40"/>
        <v>-0.14670586208147707</v>
      </c>
      <c r="J356" s="9">
        <f t="shared" si="41"/>
        <v>16.994335518774584</v>
      </c>
    </row>
    <row r="357" spans="2:10" x14ac:dyDescent="0.25">
      <c r="B357" s="1">
        <v>43762</v>
      </c>
      <c r="C357" s="13">
        <v>60.895000000000003</v>
      </c>
      <c r="D357" s="6">
        <f t="shared" si="35"/>
        <v>1.6448721111934628E-3</v>
      </c>
      <c r="E357" s="14">
        <f t="shared" si="36"/>
        <v>2.7563680844163238E-4</v>
      </c>
      <c r="F357" s="9">
        <f t="shared" si="37"/>
        <v>17.24900968768684</v>
      </c>
      <c r="G357" s="9">
        <f t="shared" si="38"/>
        <v>-0.20786663952352627</v>
      </c>
      <c r="H357" s="9">
        <f t="shared" si="39"/>
        <v>6.2488932533441626E-3</v>
      </c>
      <c r="I357" s="9">
        <f t="shared" si="40"/>
        <v>-9.9524833013161056E-3</v>
      </c>
      <c r="J357" s="9">
        <f t="shared" si="41"/>
        <v>17.03743945811534</v>
      </c>
    </row>
    <row r="358" spans="2:10" x14ac:dyDescent="0.25">
      <c r="B358" s="1">
        <v>43761</v>
      </c>
      <c r="C358" s="13">
        <v>60.795000000000002</v>
      </c>
      <c r="D358" s="6">
        <f t="shared" si="35"/>
        <v>1.3418903150525185E-2</v>
      </c>
      <c r="E358" s="14">
        <f t="shared" si="36"/>
        <v>2.7666113580357096E-4</v>
      </c>
      <c r="F358" s="9">
        <f t="shared" si="37"/>
        <v>17.245300354537584</v>
      </c>
      <c r="G358" s="9">
        <f t="shared" si="38"/>
        <v>-5.5659221755238516E-7</v>
      </c>
      <c r="H358" s="9">
        <f t="shared" si="39"/>
        <v>8.5486848765447588E-6</v>
      </c>
      <c r="I358" s="9">
        <f t="shared" si="40"/>
        <v>-6.2450439908649227E-3</v>
      </c>
      <c r="J358" s="9">
        <f t="shared" si="41"/>
        <v>17.23906330263938</v>
      </c>
    </row>
    <row r="359" spans="2:10" x14ac:dyDescent="0.25">
      <c r="B359" s="1">
        <v>43760</v>
      </c>
      <c r="C359" s="13">
        <v>59.99</v>
      </c>
      <c r="D359" s="6">
        <f t="shared" si="35"/>
        <v>-2.295103778605645E-3</v>
      </c>
      <c r="E359" s="14">
        <f t="shared" si="36"/>
        <v>2.7594477742893289E-4</v>
      </c>
      <c r="F359" s="9">
        <f t="shared" si="37"/>
        <v>17.247893011469969</v>
      </c>
      <c r="G359" s="9">
        <f t="shared" si="38"/>
        <v>-0.25268136071626185</v>
      </c>
      <c r="H359" s="9">
        <f t="shared" si="39"/>
        <v>2.6739052331564592E-4</v>
      </c>
      <c r="I359" s="9">
        <f t="shared" si="40"/>
        <v>-4.631100070400384E-4</v>
      </c>
      <c r="J359" s="9">
        <f t="shared" si="41"/>
        <v>16.995015931269982</v>
      </c>
    </row>
    <row r="360" spans="2:10" x14ac:dyDescent="0.25">
      <c r="B360" s="1">
        <v>43759</v>
      </c>
      <c r="C360" s="13">
        <v>60.128</v>
      </c>
      <c r="D360" s="6">
        <f t="shared" si="35"/>
        <v>1.7342605282303802E-2</v>
      </c>
      <c r="E360" s="14">
        <f t="shared" si="36"/>
        <v>2.9474430271234152E-4</v>
      </c>
      <c r="F360" s="9">
        <f t="shared" si="37"/>
        <v>17.181985565378408</v>
      </c>
      <c r="G360" s="9">
        <f t="shared" si="38"/>
        <v>-2.6177204038483691E-2</v>
      </c>
      <c r="H360" s="9">
        <f t="shared" si="39"/>
        <v>-1.9287418626955152E-2</v>
      </c>
      <c r="I360" s="9">
        <f t="shared" si="40"/>
        <v>-1.1449581411642482</v>
      </c>
      <c r="J360" s="9">
        <f t="shared" si="41"/>
        <v>15.991562801548721</v>
      </c>
    </row>
    <row r="361" spans="2:10" x14ac:dyDescent="0.25">
      <c r="B361" s="1">
        <v>43756</v>
      </c>
      <c r="C361" s="13">
        <v>59.103000000000002</v>
      </c>
      <c r="D361" s="6">
        <f t="shared" si="35"/>
        <v>4.8112886773206132E-3</v>
      </c>
      <c r="E361" s="14">
        <f t="shared" si="36"/>
        <v>2.9623875705913244E-4</v>
      </c>
      <c r="F361" s="9">
        <f t="shared" si="37"/>
        <v>17.176928034514923</v>
      </c>
      <c r="G361" s="9">
        <f t="shared" si="38"/>
        <v>-0.41807513786221517</v>
      </c>
      <c r="H361" s="9">
        <f t="shared" si="39"/>
        <v>9.0040878101838757E-3</v>
      </c>
      <c r="I361" s="9">
        <f t="shared" si="40"/>
        <v>-1.0163515291888746E-2</v>
      </c>
      <c r="J361" s="9">
        <f t="shared" si="41"/>
        <v>16.757693469171002</v>
      </c>
    </row>
    <row r="362" spans="2:10" x14ac:dyDescent="0.25">
      <c r="B362" s="1">
        <v>43755</v>
      </c>
      <c r="C362" s="13">
        <v>58.82</v>
      </c>
      <c r="D362" s="6">
        <f t="shared" si="35"/>
        <v>3.8741829228747804E-3</v>
      </c>
      <c r="E362" s="14">
        <f t="shared" si="36"/>
        <v>2.9613800638032898E-4</v>
      </c>
      <c r="F362" s="9">
        <f t="shared" si="37"/>
        <v>17.177268191948478</v>
      </c>
      <c r="G362" s="9">
        <f t="shared" si="38"/>
        <v>-1.7166779885174309E-2</v>
      </c>
      <c r="H362" s="9">
        <f t="shared" si="39"/>
        <v>5.5668310435732333E-4</v>
      </c>
      <c r="I362" s="9">
        <f t="shared" si="40"/>
        <v>-1.3792253172946952E-4</v>
      </c>
      <c r="J362" s="9">
        <f t="shared" si="41"/>
        <v>17.160520172635934</v>
      </c>
    </row>
    <row r="363" spans="2:10" x14ac:dyDescent="0.25">
      <c r="B363" s="1">
        <v>43754</v>
      </c>
      <c r="C363" s="13">
        <v>58.593000000000004</v>
      </c>
      <c r="D363" s="6">
        <f t="shared" si="35"/>
        <v>-4.0285568587454801E-3</v>
      </c>
      <c r="E363" s="14">
        <f t="shared" si="36"/>
        <v>2.9638723539732637E-4</v>
      </c>
      <c r="F363" s="9">
        <f t="shared" si="37"/>
        <v>17.176426948355385</v>
      </c>
      <c r="G363" s="9">
        <f t="shared" si="38"/>
        <v>-8.5415324588556107E-3</v>
      </c>
      <c r="H363" s="9">
        <f t="shared" si="39"/>
        <v>5.8868563392934232E-4</v>
      </c>
      <c r="I363" s="9">
        <f t="shared" si="40"/>
        <v>-9.7688815163856258E-4</v>
      </c>
      <c r="J363" s="9">
        <f t="shared" si="41"/>
        <v>17.16749721337882</v>
      </c>
    </row>
    <row r="364" spans="2:10" x14ac:dyDescent="0.25">
      <c r="B364" s="1">
        <v>43753</v>
      </c>
      <c r="C364" s="13">
        <v>58.83</v>
      </c>
      <c r="D364" s="6">
        <f t="shared" si="35"/>
        <v>-2.34025234025248E-3</v>
      </c>
      <c r="E364" s="14">
        <f t="shared" si="36"/>
        <v>2.9704114080699552E-4</v>
      </c>
      <c r="F364" s="9">
        <f t="shared" si="37"/>
        <v>17.174223124943666</v>
      </c>
      <c r="G364" s="9">
        <f t="shared" si="38"/>
        <v>-5.4005871975724887E-2</v>
      </c>
      <c r="H364" s="9">
        <f t="shared" si="39"/>
        <v>-2.0483777281951041E-3</v>
      </c>
      <c r="I364" s="9">
        <f t="shared" si="40"/>
        <v>-2.886738696367846E-3</v>
      </c>
      <c r="J364" s="9">
        <f t="shared" si="41"/>
        <v>17.115282136543378</v>
      </c>
    </row>
    <row r="365" spans="2:10" x14ac:dyDescent="0.25">
      <c r="B365" s="1">
        <v>43752</v>
      </c>
      <c r="C365" s="13">
        <v>58.968000000000004</v>
      </c>
      <c r="D365" s="6">
        <f t="shared" si="35"/>
        <v>-1.4393849592737595E-3</v>
      </c>
      <c r="E365" s="14">
        <f t="shared" si="36"/>
        <v>2.9699929745869954E-4</v>
      </c>
      <c r="F365" s="9">
        <f t="shared" si="37"/>
        <v>17.174364002047881</v>
      </c>
      <c r="G365" s="9">
        <f t="shared" si="38"/>
        <v>-2.6579931932331526E-2</v>
      </c>
      <c r="H365" s="9">
        <f t="shared" si="39"/>
        <v>-7.4987587964196745E-4</v>
      </c>
      <c r="I365" s="9">
        <f t="shared" si="40"/>
        <v>-2.2299123093475715E-4</v>
      </c>
      <c r="J365" s="9">
        <f t="shared" si="41"/>
        <v>17.146811203004972</v>
      </c>
    </row>
    <row r="366" spans="2:10" x14ac:dyDescent="0.25">
      <c r="B366" s="1">
        <v>43749</v>
      </c>
      <c r="C366" s="13">
        <v>59.052999999999997</v>
      </c>
      <c r="D366" s="6">
        <f t="shared" si="35"/>
        <v>2.6598056429602002E-2</v>
      </c>
      <c r="E366" s="14">
        <f t="shared" si="36"/>
        <v>2.9837666903155302E-4</v>
      </c>
      <c r="F366" s="9">
        <f t="shared" si="37"/>
        <v>17.169737097007587</v>
      </c>
      <c r="G366" s="9">
        <f t="shared" si="38"/>
        <v>-1.5806676343389191E-2</v>
      </c>
      <c r="H366" s="9">
        <f t="shared" si="39"/>
        <v>-1.6555201805559727E-3</v>
      </c>
      <c r="I366" s="9">
        <f t="shared" si="40"/>
        <v>-8.7873363665253845E-3</v>
      </c>
      <c r="J366" s="9">
        <f t="shared" si="41"/>
        <v>17.14348756411712</v>
      </c>
    </row>
    <row r="367" spans="2:10" x14ac:dyDescent="0.25">
      <c r="B367" s="1">
        <v>43748</v>
      </c>
      <c r="C367" s="13">
        <v>57.523000000000003</v>
      </c>
      <c r="D367" s="6">
        <f t="shared" si="35"/>
        <v>1.3478276190140637E-2</v>
      </c>
      <c r="E367" s="14">
        <f t="shared" si="36"/>
        <v>2.9305452482245286E-4</v>
      </c>
      <c r="F367" s="9">
        <f t="shared" si="37"/>
        <v>17.187735092140471</v>
      </c>
      <c r="G367" s="9">
        <f t="shared" si="38"/>
        <v>-1.0670052100402487</v>
      </c>
      <c r="H367" s="9">
        <f t="shared" si="39"/>
        <v>-2.8485691367855059E-2</v>
      </c>
      <c r="I367" s="9">
        <f t="shared" si="40"/>
        <v>-7.899899934021265E-2</v>
      </c>
      <c r="J367" s="9">
        <f t="shared" si="41"/>
        <v>16.013245191392155</v>
      </c>
    </row>
    <row r="368" spans="2:10" x14ac:dyDescent="0.25">
      <c r="B368" s="1">
        <v>43747</v>
      </c>
      <c r="C368" s="13">
        <v>56.758000000000003</v>
      </c>
      <c r="D368" s="6">
        <f t="shared" si="35"/>
        <v>1.1729055258467014E-2</v>
      </c>
      <c r="E368" s="14">
        <f t="shared" si="36"/>
        <v>2.9183007004337835E-4</v>
      </c>
      <c r="F368" s="9">
        <f t="shared" si="37"/>
        <v>17.191922094426552</v>
      </c>
      <c r="G368" s="9">
        <f t="shared" si="38"/>
        <v>-0.24133922110960629</v>
      </c>
      <c r="H368" s="9">
        <f t="shared" si="39"/>
        <v>-1.2715693590333362E-3</v>
      </c>
      <c r="I368" s="9">
        <f t="shared" si="40"/>
        <v>-2.600198571601963E-3</v>
      </c>
      <c r="J368" s="9">
        <f t="shared" si="41"/>
        <v>16.94671110538631</v>
      </c>
    </row>
    <row r="369" spans="2:10" x14ac:dyDescent="0.25">
      <c r="B369" s="1">
        <v>43746</v>
      </c>
      <c r="C369" s="13">
        <v>56.1</v>
      </c>
      <c r="D369" s="6">
        <f t="shared" si="35"/>
        <v>-1.1714965207434092E-2</v>
      </c>
      <c r="E369" s="14">
        <f t="shared" si="36"/>
        <v>2.937019840287091E-4</v>
      </c>
      <c r="F369" s="9">
        <f t="shared" si="37"/>
        <v>17.185528181916979</v>
      </c>
      <c r="G369" s="9">
        <f t="shared" si="38"/>
        <v>-0.17423519270288393</v>
      </c>
      <c r="H369" s="9">
        <f t="shared" si="39"/>
        <v>6.7977429202051446E-3</v>
      </c>
      <c r="I369" s="9">
        <f t="shared" si="40"/>
        <v>-1.5043887179966166E-2</v>
      </c>
      <c r="J369" s="9">
        <f t="shared" si="41"/>
        <v>17.003046844954333</v>
      </c>
    </row>
    <row r="370" spans="2:10" x14ac:dyDescent="0.25">
      <c r="B370" s="1">
        <v>43745</v>
      </c>
      <c r="C370" s="13">
        <v>56.765000000000001</v>
      </c>
      <c r="D370" s="6">
        <f t="shared" si="35"/>
        <v>2.1144256691285612E-4</v>
      </c>
      <c r="E370" s="14">
        <f t="shared" si="36"/>
        <v>2.9232644803350361E-4</v>
      </c>
      <c r="F370" s="9">
        <f t="shared" si="37"/>
        <v>17.190222624869222</v>
      </c>
      <c r="G370" s="9">
        <f t="shared" si="38"/>
        <v>-0.3053848427783189</v>
      </c>
      <c r="H370" s="9">
        <f t="shared" si="39"/>
        <v>1.9390398507963091E-3</v>
      </c>
      <c r="I370" s="9">
        <f t="shared" si="40"/>
        <v>-3.5388391584189921E-3</v>
      </c>
      <c r="J370" s="9">
        <f t="shared" si="41"/>
        <v>16.883237982783278</v>
      </c>
    </row>
    <row r="371" spans="2:10" x14ac:dyDescent="0.25">
      <c r="B371" s="1">
        <v>43742</v>
      </c>
      <c r="C371" s="13">
        <v>56.753</v>
      </c>
      <c r="D371" s="6">
        <f t="shared" si="35"/>
        <v>2.8040938320804232E-2</v>
      </c>
      <c r="E371" s="14">
        <f t="shared" si="36"/>
        <v>2.9232051985647026E-4</v>
      </c>
      <c r="F371" s="9">
        <f t="shared" si="37"/>
        <v>17.190242904379282</v>
      </c>
      <c r="G371" s="9">
        <f t="shared" si="38"/>
        <v>-3.4392437851871569E-3</v>
      </c>
      <c r="H371" s="9">
        <f t="shared" si="39"/>
        <v>-2.8475238022442788E-4</v>
      </c>
      <c r="I371" s="9">
        <f t="shared" si="40"/>
        <v>-3.0646416833622527E-4</v>
      </c>
      <c r="J371" s="9">
        <f t="shared" si="41"/>
        <v>17.186212444045534</v>
      </c>
    </row>
    <row r="372" spans="2:10" x14ac:dyDescent="0.25">
      <c r="B372" s="1">
        <v>43741</v>
      </c>
      <c r="C372" s="13">
        <v>55.204999999999998</v>
      </c>
      <c r="D372" s="6">
        <f t="shared" si="35"/>
        <v>8.494702228717399E-3</v>
      </c>
      <c r="E372" s="14">
        <f t="shared" si="36"/>
        <v>2.8630147927393828E-4</v>
      </c>
      <c r="F372" s="9">
        <f t="shared" si="37"/>
        <v>17.211048396431433</v>
      </c>
      <c r="G372" s="9">
        <f t="shared" si="38"/>
        <v>-1.2220374880866431</v>
      </c>
      <c r="H372" s="9">
        <f t="shared" si="39"/>
        <v>-3.5596481117708544E-2</v>
      </c>
      <c r="I372" s="9">
        <f t="shared" si="40"/>
        <v>-0.10453261094587186</v>
      </c>
      <c r="J372" s="9">
        <f t="shared" si="41"/>
        <v>15.848881816281208</v>
      </c>
    </row>
    <row r="373" spans="2:10" x14ac:dyDescent="0.25">
      <c r="B373" s="1">
        <v>43740</v>
      </c>
      <c r="C373" s="13">
        <v>54.74</v>
      </c>
      <c r="D373" s="6">
        <f t="shared" si="35"/>
        <v>-2.5076583315523315E-2</v>
      </c>
      <c r="E373" s="14">
        <f t="shared" si="36"/>
        <v>2.8653824636108645E-4</v>
      </c>
      <c r="F373" s="9">
        <f t="shared" si="37"/>
        <v>17.210221752991618</v>
      </c>
      <c r="G373" s="9">
        <f t="shared" si="38"/>
        <v>-8.2537150368227577E-2</v>
      </c>
      <c r="H373" s="9">
        <f t="shared" si="39"/>
        <v>1.839054181859845E-3</v>
      </c>
      <c r="I373" s="9">
        <f t="shared" si="40"/>
        <v>-1.024351545098066E-3</v>
      </c>
      <c r="J373" s="9">
        <f t="shared" si="41"/>
        <v>17.128499305260153</v>
      </c>
    </row>
    <row r="374" spans="2:10" x14ac:dyDescent="0.25">
      <c r="B374" s="1">
        <v>43739</v>
      </c>
      <c r="C374" s="13">
        <v>56.148000000000003</v>
      </c>
      <c r="D374" s="6">
        <f t="shared" si="35"/>
        <v>2.7682031682532138E-3</v>
      </c>
      <c r="E374" s="14">
        <f t="shared" si="36"/>
        <v>2.8105279845956534E-4</v>
      </c>
      <c r="F374" s="9">
        <f t="shared" si="37"/>
        <v>17.229551228831248</v>
      </c>
      <c r="G374" s="9">
        <f t="shared" si="38"/>
        <v>-1.2723769385819126</v>
      </c>
      <c r="H374" s="9">
        <f t="shared" si="39"/>
        <v>3.2911043171039989E-2</v>
      </c>
      <c r="I374" s="9">
        <f t="shared" si="40"/>
        <v>-8.7160842795062379E-2</v>
      </c>
      <c r="J374" s="9">
        <f t="shared" si="41"/>
        <v>15.902924490625313</v>
      </c>
    </row>
    <row r="375" spans="2:10" x14ac:dyDescent="0.25">
      <c r="B375" s="1">
        <v>43738</v>
      </c>
      <c r="C375" s="13">
        <v>55.993000000000002</v>
      </c>
      <c r="D375" s="6">
        <f t="shared" si="35"/>
        <v>2.3544465770953371E-2</v>
      </c>
      <c r="E375" s="14">
        <f t="shared" si="36"/>
        <v>2.8116917903049063E-4</v>
      </c>
      <c r="F375" s="9">
        <f t="shared" si="37"/>
        <v>17.229137226614164</v>
      </c>
      <c r="G375" s="9">
        <f t="shared" si="38"/>
        <v>-2.3213785836809927E-3</v>
      </c>
      <c r="H375" s="9">
        <f t="shared" si="39"/>
        <v>2.7523204286861023E-4</v>
      </c>
      <c r="I375" s="9">
        <f t="shared" si="40"/>
        <v>-6.7175459598503649E-4</v>
      </c>
      <c r="J375" s="9">
        <f t="shared" si="41"/>
        <v>17.226419325477366</v>
      </c>
    </row>
    <row r="376" spans="2:10" x14ac:dyDescent="0.25">
      <c r="B376" s="1">
        <v>43735</v>
      </c>
      <c r="C376" s="13">
        <v>54.704999999999998</v>
      </c>
      <c r="D376" s="6">
        <f t="shared" si="35"/>
        <v>-4.8751205137067544E-3</v>
      </c>
      <c r="E376" s="14">
        <f t="shared" si="36"/>
        <v>2.7874848794048125E-4</v>
      </c>
      <c r="F376" s="9">
        <f t="shared" si="37"/>
        <v>17.237783877058014</v>
      </c>
      <c r="G376" s="9">
        <f t="shared" si="38"/>
        <v>-0.86418674856460087</v>
      </c>
      <c r="H376" s="9">
        <f t="shared" si="39"/>
        <v>-9.4167667196639309E-3</v>
      </c>
      <c r="I376" s="9">
        <f t="shared" si="40"/>
        <v>-1.4350751148198931E-2</v>
      </c>
      <c r="J376" s="9">
        <f t="shared" si="41"/>
        <v>16.349829610625548</v>
      </c>
    </row>
    <row r="377" spans="2:10" x14ac:dyDescent="0.25">
      <c r="B377" s="1">
        <v>43734</v>
      </c>
      <c r="C377" s="13">
        <v>54.972999999999999</v>
      </c>
      <c r="D377" s="6">
        <f t="shared" si="35"/>
        <v>-5.1576242354048896E-3</v>
      </c>
      <c r="E377" s="14">
        <f t="shared" si="36"/>
        <v>2.787194521868835E-4</v>
      </c>
      <c r="F377" s="9">
        <f t="shared" si="37"/>
        <v>17.237888047187035</v>
      </c>
      <c r="G377" s="9">
        <f t="shared" si="38"/>
        <v>-7.6075114739764652E-2</v>
      </c>
      <c r="H377" s="9">
        <f t="shared" si="39"/>
        <v>-1.3316612626392593E-3</v>
      </c>
      <c r="I377" s="9">
        <f t="shared" si="40"/>
        <v>-3.2017275760832023E-4</v>
      </c>
      <c r="J377" s="9">
        <f t="shared" si="41"/>
        <v>17.160161098427022</v>
      </c>
    </row>
    <row r="378" spans="2:10" x14ac:dyDescent="0.25">
      <c r="B378" s="1">
        <v>43733</v>
      </c>
      <c r="C378" s="13">
        <v>55.258000000000003</v>
      </c>
      <c r="D378" s="6">
        <f t="shared" si="35"/>
        <v>1.5398750459389987E-2</v>
      </c>
      <c r="E378" s="14">
        <f t="shared" si="36"/>
        <v>2.7839294344008791E-4</v>
      </c>
      <c r="F378" s="9">
        <f t="shared" si="37"/>
        <v>17.239060194088598</v>
      </c>
      <c r="G378" s="9">
        <f t="shared" si="38"/>
        <v>-8.2926111693210958E-2</v>
      </c>
      <c r="H378" s="9">
        <f t="shared" si="39"/>
        <v>-8.5506291858681574E-4</v>
      </c>
      <c r="I378" s="9">
        <f t="shared" si="40"/>
        <v>-6.3830449605554418E-7</v>
      </c>
      <c r="J378" s="9">
        <f t="shared" si="41"/>
        <v>17.155278381172305</v>
      </c>
    </row>
    <row r="379" spans="2:10" x14ac:dyDescent="0.25">
      <c r="B379" s="1">
        <v>43732</v>
      </c>
      <c r="C379" s="13">
        <v>54.42</v>
      </c>
      <c r="D379" s="6">
        <f t="shared" si="35"/>
        <v>-4.7549378200438808E-3</v>
      </c>
      <c r="E379" s="14">
        <f t="shared" si="36"/>
        <v>2.7696965060828709E-4</v>
      </c>
      <c r="F379" s="9">
        <f t="shared" si="37"/>
        <v>17.244185839795183</v>
      </c>
      <c r="G379" s="9">
        <f t="shared" si="38"/>
        <v>-0.34338188389494334</v>
      </c>
      <c r="H379" s="9">
        <f t="shared" si="39"/>
        <v>-2.2879487113469906E-3</v>
      </c>
      <c r="I379" s="9">
        <f t="shared" si="40"/>
        <v>-3.8944825515055486E-3</v>
      </c>
      <c r="J379" s="9">
        <f t="shared" si="41"/>
        <v>16.894621524637387</v>
      </c>
    </row>
    <row r="380" spans="2:10" x14ac:dyDescent="0.25">
      <c r="B380" s="1">
        <v>43731</v>
      </c>
      <c r="C380" s="13">
        <v>54.68</v>
      </c>
      <c r="D380" s="6">
        <f t="shared" si="35"/>
        <v>4.5376885345287388E-3</v>
      </c>
      <c r="E380" s="14">
        <f t="shared" si="36"/>
        <v>2.7816630360547718E-4</v>
      </c>
      <c r="F380" s="9">
        <f t="shared" si="37"/>
        <v>17.239874626148946</v>
      </c>
      <c r="G380" s="9">
        <f t="shared" si="38"/>
        <v>-7.3434706154192758E-2</v>
      </c>
      <c r="H380" s="9">
        <f t="shared" si="39"/>
        <v>-3.3890880705233048E-3</v>
      </c>
      <c r="I380" s="9">
        <f t="shared" si="40"/>
        <v>-7.8497661208915027E-3</v>
      </c>
      <c r="J380" s="9">
        <f t="shared" si="41"/>
        <v>17.15520106580334</v>
      </c>
    </row>
    <row r="381" spans="2:10" x14ac:dyDescent="0.25">
      <c r="B381" s="1">
        <v>43728</v>
      </c>
      <c r="C381" s="13">
        <v>54.433</v>
      </c>
      <c r="D381" s="6">
        <f t="shared" si="35"/>
        <v>-1.4608979000724109E-2</v>
      </c>
      <c r="E381" s="14">
        <f t="shared" si="36"/>
        <v>2.783308285524888E-4</v>
      </c>
      <c r="F381" s="9">
        <f t="shared" si="37"/>
        <v>17.239283338459224</v>
      </c>
      <c r="G381" s="9">
        <f t="shared" si="38"/>
        <v>-1.526087148751365E-2</v>
      </c>
      <c r="H381" s="9">
        <f t="shared" si="39"/>
        <v>7.465058410482836E-4</v>
      </c>
      <c r="I381" s="9">
        <f t="shared" si="40"/>
        <v>-8.464772820292926E-4</v>
      </c>
      <c r="J381" s="9">
        <f t="shared" si="41"/>
        <v>17.223922495530729</v>
      </c>
    </row>
    <row r="382" spans="2:10" x14ac:dyDescent="0.25">
      <c r="B382" s="1">
        <v>43727</v>
      </c>
      <c r="C382" s="13">
        <v>55.24</v>
      </c>
      <c r="D382" s="6">
        <f t="shared" si="35"/>
        <v>-8.133876788824379E-3</v>
      </c>
      <c r="E382" s="14">
        <f t="shared" si="36"/>
        <v>2.7643020887989649E-4</v>
      </c>
      <c r="F382" s="9">
        <f t="shared" si="37"/>
        <v>17.246135395401311</v>
      </c>
      <c r="G382" s="9">
        <f t="shared" si="38"/>
        <v>-0.47823724111243798</v>
      </c>
      <c r="H382" s="9">
        <f t="shared" si="39"/>
        <v>4.7757934269683769E-3</v>
      </c>
      <c r="I382" s="9">
        <f t="shared" si="40"/>
        <v>-8.1016358830922897E-3</v>
      </c>
      <c r="J382" s="9">
        <f t="shared" si="41"/>
        <v>16.764572311832747</v>
      </c>
    </row>
    <row r="383" spans="2:10" x14ac:dyDescent="0.25">
      <c r="B383" s="1">
        <v>43726</v>
      </c>
      <c r="C383" s="13">
        <v>55.692999999999998</v>
      </c>
      <c r="D383" s="6">
        <f t="shared" si="35"/>
        <v>9.3883099229723488E-3</v>
      </c>
      <c r="E383" s="14">
        <f t="shared" si="36"/>
        <v>2.7566003838287181E-4</v>
      </c>
      <c r="F383" s="9">
        <f t="shared" si="37"/>
        <v>17.248925413882674</v>
      </c>
      <c r="G383" s="9">
        <f t="shared" si="38"/>
        <v>-0.17333575639498955</v>
      </c>
      <c r="H383" s="9">
        <f t="shared" si="39"/>
        <v>-8.0680431441922248E-5</v>
      </c>
      <c r="I383" s="9">
        <f t="shared" si="40"/>
        <v>-6.0609640753645096E-4</v>
      </c>
      <c r="J383" s="9">
        <f t="shared" si="41"/>
        <v>17.074902880648704</v>
      </c>
    </row>
    <row r="384" spans="2:10" x14ac:dyDescent="0.25">
      <c r="B384" s="1">
        <v>43725</v>
      </c>
      <c r="C384" s="13">
        <v>55.174999999999997</v>
      </c>
      <c r="D384" s="6">
        <f t="shared" si="35"/>
        <v>3.6380172805821065E-3</v>
      </c>
      <c r="E384" s="14">
        <f t="shared" si="36"/>
        <v>2.756096102693991E-4</v>
      </c>
      <c r="F384" s="9">
        <f t="shared" si="37"/>
        <v>17.249108366503904</v>
      </c>
      <c r="G384" s="9">
        <f t="shared" si="38"/>
        <v>-0.10959479541946036</v>
      </c>
      <c r="H384" s="9">
        <f t="shared" si="39"/>
        <v>1.5627832144462417E-3</v>
      </c>
      <c r="I384" s="9">
        <f t="shared" si="40"/>
        <v>-2.9081866577569578E-4</v>
      </c>
      <c r="J384" s="9">
        <f t="shared" si="41"/>
        <v>17.140785535633114</v>
      </c>
    </row>
    <row r="385" spans="2:10" x14ac:dyDescent="0.25">
      <c r="B385" s="1">
        <v>43724</v>
      </c>
      <c r="C385" s="13">
        <v>54.975000000000001</v>
      </c>
      <c r="D385" s="6">
        <f t="shared" si="35"/>
        <v>5.2479520187243001E-3</v>
      </c>
      <c r="E385" s="14">
        <f t="shared" si="36"/>
        <v>2.7672650908099002E-4</v>
      </c>
      <c r="F385" s="9">
        <f t="shared" si="37"/>
        <v>17.245064088772246</v>
      </c>
      <c r="G385" s="9">
        <f t="shared" si="38"/>
        <v>-7.3262788511073724E-3</v>
      </c>
      <c r="H385" s="9">
        <f t="shared" si="39"/>
        <v>1.0304009951515264E-3</v>
      </c>
      <c r="I385" s="9">
        <f t="shared" si="40"/>
        <v>-7.1163820195640553E-3</v>
      </c>
      <c r="J385" s="9">
        <f t="shared" si="41"/>
        <v>17.231651828896727</v>
      </c>
    </row>
    <row r="386" spans="2:10" x14ac:dyDescent="0.25">
      <c r="B386" s="1">
        <v>43721</v>
      </c>
      <c r="C386" s="13">
        <v>54.688000000000002</v>
      </c>
      <c r="D386" s="6">
        <f t="shared" si="35"/>
        <v>-1.941869430349108E-2</v>
      </c>
      <c r="E386" s="14">
        <f t="shared" si="36"/>
        <v>2.7810189928576413E-4</v>
      </c>
      <c r="F386" s="9">
        <f t="shared" si="37"/>
        <v>17.240106184665741</v>
      </c>
      <c r="G386" s="9">
        <f t="shared" si="38"/>
        <v>-2.3638024694389182E-2</v>
      </c>
      <c r="H386" s="9">
        <f t="shared" si="39"/>
        <v>2.0951013743769624E-3</v>
      </c>
      <c r="I386" s="9">
        <f t="shared" si="40"/>
        <v>-9.7845560606627975E-3</v>
      </c>
      <c r="J386" s="9">
        <f t="shared" si="41"/>
        <v>17.208778705285066</v>
      </c>
    </row>
    <row r="387" spans="2:10" x14ac:dyDescent="0.25">
      <c r="B387" s="1">
        <v>43720</v>
      </c>
      <c r="C387" s="13">
        <v>55.771000000000001</v>
      </c>
      <c r="D387" s="6">
        <f t="shared" si="35"/>
        <v>-2.271995420229711E-3</v>
      </c>
      <c r="E387" s="14">
        <f t="shared" si="36"/>
        <v>2.785600154679093E-4</v>
      </c>
      <c r="F387" s="9">
        <f t="shared" si="37"/>
        <v>17.238460243840876</v>
      </c>
      <c r="G387" s="9">
        <f t="shared" si="38"/>
        <v>-0.79739848390721724</v>
      </c>
      <c r="H387" s="9">
        <f t="shared" si="39"/>
        <v>-7.0340666810547606E-3</v>
      </c>
      <c r="I387" s="9">
        <f t="shared" si="40"/>
        <v>-2.1130416863820558E-3</v>
      </c>
      <c r="J387" s="9">
        <f t="shared" si="41"/>
        <v>16.431914651566224</v>
      </c>
    </row>
    <row r="388" spans="2:10" x14ac:dyDescent="0.25">
      <c r="B388" s="1">
        <v>43719</v>
      </c>
      <c r="C388" s="13">
        <v>55.898000000000003</v>
      </c>
      <c r="D388" s="6">
        <f t="shared" si="35"/>
        <v>3.1804337794185678E-2</v>
      </c>
      <c r="E388" s="14">
        <f t="shared" si="36"/>
        <v>2.8890891103936211E-4</v>
      </c>
      <c r="F388" s="9">
        <f t="shared" si="37"/>
        <v>17.201982323673214</v>
      </c>
      <c r="G388" s="9">
        <f t="shared" si="38"/>
        <v>-2.6392193461845827E-2</v>
      </c>
      <c r="H388" s="9">
        <f t="shared" si="39"/>
        <v>-1.1127440609276253E-2</v>
      </c>
      <c r="I388" s="9">
        <f t="shared" si="40"/>
        <v>-0.36417039509176086</v>
      </c>
      <c r="J388" s="9">
        <f t="shared" si="41"/>
        <v>16.800292294510331</v>
      </c>
    </row>
    <row r="389" spans="2:10" x14ac:dyDescent="0.25">
      <c r="B389" s="1">
        <v>43718</v>
      </c>
      <c r="C389" s="13">
        <v>54.174999999999997</v>
      </c>
      <c r="D389" s="6">
        <f t="shared" si="35"/>
        <v>1.1803597108865693E-2</v>
      </c>
      <c r="E389" s="14">
        <f t="shared" si="36"/>
        <v>2.8168183236318498E-4</v>
      </c>
      <c r="F389" s="9">
        <f t="shared" si="37"/>
        <v>17.22731559543973</v>
      </c>
      <c r="G389" s="9">
        <f t="shared" si="38"/>
        <v>-1.6212360183987373</v>
      </c>
      <c r="H389" s="9">
        <f t="shared" si="39"/>
        <v>-5.0904788909594739E-2</v>
      </c>
      <c r="I389" s="9">
        <f t="shared" si="40"/>
        <v>-0.15578791840669795</v>
      </c>
      <c r="J389" s="9">
        <f t="shared" si="41"/>
        <v>15.399386869724701</v>
      </c>
    </row>
    <row r="390" spans="2:10" x14ac:dyDescent="0.25">
      <c r="B390" s="1">
        <v>43717</v>
      </c>
      <c r="C390" s="13">
        <v>53.542999999999999</v>
      </c>
      <c r="D390" s="6">
        <f t="shared" si="35"/>
        <v>4.276470036575164E-3</v>
      </c>
      <c r="E390" s="14">
        <f t="shared" si="36"/>
        <v>2.8146946201010971E-4</v>
      </c>
      <c r="F390" s="9">
        <f t="shared" si="37"/>
        <v>17.228069816784028</v>
      </c>
      <c r="G390" s="9">
        <f t="shared" si="38"/>
        <v>-0.18450042874811126</v>
      </c>
      <c r="H390" s="9">
        <f t="shared" si="39"/>
        <v>1.5735527824229008E-3</v>
      </c>
      <c r="I390" s="9">
        <f t="shared" si="40"/>
        <v>-4.9588361865147771E-5</v>
      </c>
      <c r="J390" s="9">
        <f t="shared" si="41"/>
        <v>17.045093352456473</v>
      </c>
    </row>
    <row r="391" spans="2:10" x14ac:dyDescent="0.25">
      <c r="B391" s="1">
        <v>43714</v>
      </c>
      <c r="C391" s="13">
        <v>53.314999999999998</v>
      </c>
      <c r="D391" s="6">
        <f t="shared" si="35"/>
        <v>-9.3773443360922748E-5</v>
      </c>
      <c r="E391" s="14">
        <f t="shared" si="36"/>
        <v>2.8206275035166115E-4</v>
      </c>
      <c r="F391" s="9">
        <f t="shared" si="37"/>
        <v>17.225964210226902</v>
      </c>
      <c r="G391" s="9">
        <f t="shared" si="38"/>
        <v>-1.2477029501278354E-2</v>
      </c>
      <c r="H391" s="9">
        <f t="shared" si="39"/>
        <v>9.6827388855400562E-4</v>
      </c>
      <c r="I391" s="9">
        <f t="shared" si="40"/>
        <v>-2.8180892883158232E-3</v>
      </c>
      <c r="J391" s="9">
        <f t="shared" si="41"/>
        <v>17.211637365325863</v>
      </c>
    </row>
    <row r="392" spans="2:10" x14ac:dyDescent="0.25">
      <c r="B392" s="1">
        <v>43713</v>
      </c>
      <c r="C392" s="13">
        <v>53.32</v>
      </c>
      <c r="D392" s="6">
        <f t="shared" si="35"/>
        <v>1.9541856285135051E-2</v>
      </c>
      <c r="E392" s="14">
        <f t="shared" si="36"/>
        <v>2.8318236143503055E-4</v>
      </c>
      <c r="F392" s="9">
        <f t="shared" si="37"/>
        <v>17.222002698577363</v>
      </c>
      <c r="G392" s="9">
        <f t="shared" si="38"/>
        <v>-5.2457852942391853E-3</v>
      </c>
      <c r="H392" s="9">
        <f t="shared" si="39"/>
        <v>-8.6312924386070964E-4</v>
      </c>
      <c r="I392" s="9">
        <f t="shared" si="40"/>
        <v>-6.8784401491496071E-3</v>
      </c>
      <c r="J392" s="9">
        <f t="shared" si="41"/>
        <v>17.209015343890112</v>
      </c>
    </row>
    <row r="393" spans="2:10" x14ac:dyDescent="0.25">
      <c r="B393" s="1">
        <v>43712</v>
      </c>
      <c r="C393" s="13">
        <v>52.298000000000002</v>
      </c>
      <c r="D393" s="6">
        <f t="shared" si="35"/>
        <v>1.6976178901312755E-2</v>
      </c>
      <c r="E393" s="14">
        <f t="shared" si="36"/>
        <v>2.8121788740782398E-4</v>
      </c>
      <c r="F393" s="9">
        <f t="shared" si="37"/>
        <v>17.228964006494564</v>
      </c>
      <c r="G393" s="9">
        <f t="shared" si="38"/>
        <v>-0.57229516407413672</v>
      </c>
      <c r="H393" s="9">
        <f t="shared" si="39"/>
        <v>-5.4804851329662051E-3</v>
      </c>
      <c r="I393" s="9">
        <f t="shared" si="40"/>
        <v>-8.7148664077456219E-3</v>
      </c>
      <c r="J393" s="9">
        <f t="shared" si="41"/>
        <v>16.642473490879713</v>
      </c>
    </row>
    <row r="394" spans="2:10" x14ac:dyDescent="0.25">
      <c r="B394" s="1">
        <v>43711</v>
      </c>
      <c r="C394" s="13">
        <v>51.424999999999997</v>
      </c>
      <c r="D394" s="6">
        <f t="shared" si="35"/>
        <v>-1.4563571907636352E-2</v>
      </c>
      <c r="E394" s="14">
        <f t="shared" si="36"/>
        <v>2.792413758657399E-4</v>
      </c>
      <c r="F394" s="9">
        <f t="shared" si="37"/>
        <v>17.236017221118811</v>
      </c>
      <c r="G394" s="9">
        <f t="shared" si="38"/>
        <v>-0.42308152421409573</v>
      </c>
      <c r="H394" s="9">
        <f t="shared" si="39"/>
        <v>-4.7777423582324426E-3</v>
      </c>
      <c r="I394" s="9">
        <f t="shared" si="40"/>
        <v>-8.871290622776213E-3</v>
      </c>
      <c r="J394" s="9">
        <f t="shared" si="41"/>
        <v>16.799286663923709</v>
      </c>
    </row>
    <row r="395" spans="2:10" x14ac:dyDescent="0.25">
      <c r="B395" s="1">
        <v>43707</v>
      </c>
      <c r="C395" s="13">
        <v>52.185000000000002</v>
      </c>
      <c r="D395" s="6">
        <f t="shared" si="35"/>
        <v>-1.3013606874245909E-3</v>
      </c>
      <c r="E395" s="14">
        <f t="shared" si="36"/>
        <v>2.7796546466494576E-4</v>
      </c>
      <c r="F395" s="9">
        <f t="shared" si="37"/>
        <v>17.240596897239076</v>
      </c>
      <c r="G395" s="9">
        <f t="shared" si="38"/>
        <v>-0.47293942958607205</v>
      </c>
      <c r="H395" s="9">
        <f t="shared" si="39"/>
        <v>2.0455122014540897E-3</v>
      </c>
      <c r="I395" s="9">
        <f t="shared" si="40"/>
        <v>-2.9043895459787581E-3</v>
      </c>
      <c r="J395" s="9">
        <f t="shared" si="41"/>
        <v>16.766798590308479</v>
      </c>
    </row>
    <row r="396" spans="2:10" x14ac:dyDescent="0.25">
      <c r="B396" s="1">
        <v>43706</v>
      </c>
      <c r="C396" s="13">
        <v>52.253</v>
      </c>
      <c r="D396" s="6">
        <f t="shared" si="35"/>
        <v>1.6931670007590105E-2</v>
      </c>
      <c r="E396" s="14">
        <f t="shared" si="36"/>
        <v>2.8700935828044526E-4</v>
      </c>
      <c r="F396" s="9">
        <f t="shared" si="37"/>
        <v>17.208578952911907</v>
      </c>
      <c r="G396" s="9">
        <f t="shared" si="38"/>
        <v>-1.4986830817470728E-2</v>
      </c>
      <c r="H396" s="9">
        <f t="shared" si="39"/>
        <v>-7.4282246574049558E-3</v>
      </c>
      <c r="I396" s="9">
        <f t="shared" si="40"/>
        <v>-0.2825977555180012</v>
      </c>
      <c r="J396" s="9">
        <f t="shared" si="41"/>
        <v>16.903566141919029</v>
      </c>
    </row>
    <row r="397" spans="2:10" x14ac:dyDescent="0.25">
      <c r="B397" s="1">
        <v>43705</v>
      </c>
      <c r="C397" s="13">
        <v>51.383000000000003</v>
      </c>
      <c r="D397" s="6">
        <f t="shared" si="35"/>
        <v>6.7202194357367517E-3</v>
      </c>
      <c r="E397" s="14">
        <f t="shared" si="36"/>
        <v>2.8506807957012255E-4</v>
      </c>
      <c r="F397" s="9">
        <f t="shared" si="37"/>
        <v>17.215365747961826</v>
      </c>
      <c r="G397" s="9">
        <f t="shared" si="38"/>
        <v>-0.41203378329462004</v>
      </c>
      <c r="H397" s="9">
        <f t="shared" si="39"/>
        <v>-4.526650852736497E-3</v>
      </c>
      <c r="I397" s="9">
        <f t="shared" si="40"/>
        <v>-8.4204624908811639E-3</v>
      </c>
      <c r="J397" s="9">
        <f t="shared" si="41"/>
        <v>16.790384851323587</v>
      </c>
    </row>
    <row r="398" spans="2:10" x14ac:dyDescent="0.25">
      <c r="B398" s="1">
        <v>43704</v>
      </c>
      <c r="C398" s="13">
        <v>51.04</v>
      </c>
      <c r="D398" s="6">
        <f t="shared" si="35"/>
        <v>-1.129341572554865E-2</v>
      </c>
      <c r="E398" s="14">
        <f t="shared" si="36"/>
        <v>2.8627021880027156E-4</v>
      </c>
      <c r="F398" s="9">
        <f t="shared" si="37"/>
        <v>17.211157589651435</v>
      </c>
      <c r="G398" s="9">
        <f t="shared" si="38"/>
        <v>-4.5436240602332527E-2</v>
      </c>
      <c r="H398" s="9">
        <f t="shared" si="39"/>
        <v>2.6350486556270822E-3</v>
      </c>
      <c r="I398" s="9">
        <f t="shared" si="40"/>
        <v>-7.5491471154437292E-3</v>
      </c>
      <c r="J398" s="9">
        <f t="shared" si="41"/>
        <v>17.160807250589286</v>
      </c>
    </row>
    <row r="399" spans="2:10" x14ac:dyDescent="0.25">
      <c r="B399" s="1">
        <v>43703</v>
      </c>
      <c r="C399" s="13">
        <v>51.622999999999998</v>
      </c>
      <c r="D399" s="6">
        <f t="shared" si="35"/>
        <v>1.900908014212388E-2</v>
      </c>
      <c r="E399" s="14">
        <f t="shared" si="36"/>
        <v>2.8534961013275466E-4</v>
      </c>
      <c r="F399" s="9">
        <f t="shared" si="37"/>
        <v>17.214378644684437</v>
      </c>
      <c r="G399" s="9">
        <f t="shared" si="38"/>
        <v>-0.29339480019079645</v>
      </c>
      <c r="H399" s="9">
        <f t="shared" si="39"/>
        <v>4.005212712086947E-4</v>
      </c>
      <c r="I399" s="9">
        <f t="shared" si="40"/>
        <v>-1.1336257277667569E-3</v>
      </c>
      <c r="J399" s="9">
        <f t="shared" si="41"/>
        <v>16.920250740037083</v>
      </c>
    </row>
    <row r="400" spans="2:10" x14ac:dyDescent="0.25">
      <c r="B400" s="1">
        <v>43700</v>
      </c>
      <c r="C400" s="13">
        <v>50.66</v>
      </c>
      <c r="D400" s="6">
        <f t="shared" ref="D400:D463" si="42">C400/C401-1</f>
        <v>-4.6220465028711355E-2</v>
      </c>
      <c r="E400" s="14">
        <f t="shared" ref="E400:E463" si="43">_xlfn.VAR.S(D400:D520)</f>
        <v>2.8285178574740359E-4</v>
      </c>
      <c r="F400" s="9">
        <f t="shared" si="37"/>
        <v>17.223170740211799</v>
      </c>
      <c r="G400" s="9">
        <f t="shared" si="38"/>
        <v>-0.53564914121395357</v>
      </c>
      <c r="H400" s="9">
        <f t="shared" si="39"/>
        <v>-7.7102689121484776E-3</v>
      </c>
      <c r="I400" s="9">
        <f t="shared" si="40"/>
        <v>-1.5306302151086741E-2</v>
      </c>
      <c r="J400" s="9">
        <f t="shared" si="41"/>
        <v>16.664505027934613</v>
      </c>
    </row>
    <row r="401" spans="2:10" x14ac:dyDescent="0.25">
      <c r="B401" s="1">
        <v>43699</v>
      </c>
      <c r="C401" s="13">
        <v>53.115000000000002</v>
      </c>
      <c r="D401" s="6">
        <f t="shared" si="42"/>
        <v>-8.4650112866802019E-4</v>
      </c>
      <c r="E401" s="14">
        <f t="shared" si="43"/>
        <v>2.63957137220739E-4</v>
      </c>
      <c r="F401" s="9">
        <f t="shared" ref="F401:F464" si="44">LN(2*PI())-LN($C$6)-LN(E401)-0.5*LN(1-POWER($C$7,2))</f>
        <v>17.292307044436548</v>
      </c>
      <c r="G401" s="9">
        <f t="shared" ref="G401:G464" si="45">-POWER(D400-1-$C$3,2)/(2*E401*(1-POWER($C$7,2)))</f>
        <v>-4.3495473396698516</v>
      </c>
      <c r="H401" s="9">
        <f t="shared" ref="H401:H464" si="46">$C$7*(D400-1-$C$3)*(E400-E401-$C$5*$C$4)/(E401*$C$6*(1-POWER($C$7,2)))</f>
        <v>0.24252118662119257</v>
      </c>
      <c r="I401" s="9">
        <f t="shared" ref="I401:I464" si="47">-POWER(E400-E401-$C$5*$C$4+$C$4*E401,2)/(2*POWER($C$6,2)*E401*(1-POWER($C$7,2)))</f>
        <v>-1.2017653562426418</v>
      </c>
      <c r="J401" s="9">
        <f t="shared" ref="J401:J464" si="48">SUM(F401:I401)</f>
        <v>11.983515535145248</v>
      </c>
    </row>
    <row r="402" spans="2:10" x14ac:dyDescent="0.25">
      <c r="B402" s="1">
        <v>43698</v>
      </c>
      <c r="C402" s="13">
        <v>53.16</v>
      </c>
      <c r="D402" s="6">
        <f t="shared" si="42"/>
        <v>1.0838562464346779E-2</v>
      </c>
      <c r="E402" s="14">
        <f t="shared" si="43"/>
        <v>2.6453418349810047E-4</v>
      </c>
      <c r="F402" s="9">
        <f t="shared" si="44"/>
        <v>17.290123294262969</v>
      </c>
      <c r="G402" s="9">
        <f t="shared" si="45"/>
        <v>-1.1601607679938581E-2</v>
      </c>
      <c r="H402" s="9">
        <f t="shared" si="46"/>
        <v>-9.5289450642720586E-4</v>
      </c>
      <c r="I402" s="9">
        <f t="shared" si="47"/>
        <v>-3.0880540686860549E-3</v>
      </c>
      <c r="J402" s="9">
        <f t="shared" si="48"/>
        <v>17.274480738007917</v>
      </c>
    </row>
    <row r="403" spans="2:10" x14ac:dyDescent="0.25">
      <c r="B403" s="1">
        <v>43697</v>
      </c>
      <c r="C403" s="13">
        <v>52.59</v>
      </c>
      <c r="D403" s="6">
        <f t="shared" si="42"/>
        <v>3.8031490073864305E-5</v>
      </c>
      <c r="E403" s="14">
        <f t="shared" si="43"/>
        <v>2.649627962624164E-4</v>
      </c>
      <c r="F403" s="9">
        <f t="shared" si="44"/>
        <v>17.28850435072102</v>
      </c>
      <c r="G403" s="9">
        <f t="shared" si="45"/>
        <v>-0.16058393131777601</v>
      </c>
      <c r="H403" s="9">
        <f t="shared" si="46"/>
        <v>3.1607430160187798E-3</v>
      </c>
      <c r="I403" s="9">
        <f t="shared" si="47"/>
        <v>-2.1826495622335163E-3</v>
      </c>
      <c r="J403" s="9">
        <f t="shared" si="48"/>
        <v>17.128898512857027</v>
      </c>
    </row>
    <row r="404" spans="2:10" x14ac:dyDescent="0.25">
      <c r="B404" s="1">
        <v>43696</v>
      </c>
      <c r="C404" s="13">
        <v>52.588000000000001</v>
      </c>
      <c r="D404" s="6">
        <f t="shared" si="42"/>
        <v>1.8653753026634412E-2</v>
      </c>
      <c r="E404" s="14">
        <f t="shared" si="43"/>
        <v>2.6495745621659284E-4</v>
      </c>
      <c r="F404" s="9">
        <f t="shared" si="44"/>
        <v>17.288524504869873</v>
      </c>
      <c r="G404" s="9">
        <f t="shared" si="45"/>
        <v>-4.7807755780923953E-3</v>
      </c>
      <c r="H404" s="9">
        <f t="shared" si="46"/>
        <v>-3.5289685158358794E-4</v>
      </c>
      <c r="I404" s="9">
        <f t="shared" si="47"/>
        <v>-4.4503499459150477E-4</v>
      </c>
      <c r="J404" s="9">
        <f t="shared" si="48"/>
        <v>17.282945797445606</v>
      </c>
    </row>
    <row r="405" spans="2:10" x14ac:dyDescent="0.25">
      <c r="B405" s="1">
        <v>43693</v>
      </c>
      <c r="C405" s="13">
        <v>51.625</v>
      </c>
      <c r="D405" s="6">
        <f t="shared" si="42"/>
        <v>2.3594725884802159E-2</v>
      </c>
      <c r="E405" s="14">
        <f t="shared" si="43"/>
        <v>2.6254578819150185E-4</v>
      </c>
      <c r="F405" s="9">
        <f t="shared" si="44"/>
        <v>17.297668277362817</v>
      </c>
      <c r="G405" s="9">
        <f t="shared" si="45"/>
        <v>-0.55372495414281198</v>
      </c>
      <c r="H405" s="9">
        <f t="shared" si="46"/>
        <v>-7.7236513034792302E-3</v>
      </c>
      <c r="I405" s="9">
        <f t="shared" si="47"/>
        <v>-1.4716201802615606E-2</v>
      </c>
      <c r="J405" s="9">
        <f t="shared" si="48"/>
        <v>16.721503470113909</v>
      </c>
    </row>
    <row r="406" spans="2:10" x14ac:dyDescent="0.25">
      <c r="B406" s="1">
        <v>43692</v>
      </c>
      <c r="C406" s="13">
        <v>50.435000000000002</v>
      </c>
      <c r="D406" s="6">
        <f t="shared" si="42"/>
        <v>-4.9913194444444198E-3</v>
      </c>
      <c r="E406" s="14">
        <f t="shared" si="43"/>
        <v>2.5874786789451909E-4</v>
      </c>
      <c r="F406" s="9">
        <f t="shared" si="44"/>
        <v>17.312239670864415</v>
      </c>
      <c r="G406" s="9">
        <f t="shared" si="45"/>
        <v>-0.93526116652137947</v>
      </c>
      <c r="H406" s="9">
        <f t="shared" si="46"/>
        <v>-1.8813663799901931E-2</v>
      </c>
      <c r="I406" s="9">
        <f t="shared" si="47"/>
        <v>-4.1883065784992478E-2</v>
      </c>
      <c r="J406" s="9">
        <f t="shared" si="48"/>
        <v>16.316281774758139</v>
      </c>
    </row>
    <row r="407" spans="2:10" x14ac:dyDescent="0.25">
      <c r="B407" s="1">
        <v>43691</v>
      </c>
      <c r="C407" s="13">
        <v>50.688000000000002</v>
      </c>
      <c r="D407" s="6">
        <f t="shared" si="42"/>
        <v>-2.9764753172673797E-2</v>
      </c>
      <c r="E407" s="14">
        <f t="shared" si="43"/>
        <v>2.5918584377612606E-4</v>
      </c>
      <c r="F407" s="9">
        <f t="shared" si="44"/>
        <v>17.310548427463438</v>
      </c>
      <c r="G407" s="9">
        <f t="shared" si="45"/>
        <v>-8.4758492037117675E-2</v>
      </c>
      <c r="H407" s="9">
        <f t="shared" si="46"/>
        <v>-2.339435614008597E-3</v>
      </c>
      <c r="I407" s="9">
        <f t="shared" si="47"/>
        <v>-2.3392938340335962E-3</v>
      </c>
      <c r="J407" s="9">
        <f t="shared" si="48"/>
        <v>17.221111205978278</v>
      </c>
    </row>
    <row r="408" spans="2:10" x14ac:dyDescent="0.25">
      <c r="B408" s="1">
        <v>43690</v>
      </c>
      <c r="C408" s="13">
        <v>52.243000000000002</v>
      </c>
      <c r="D408" s="6">
        <f t="shared" si="42"/>
        <v>4.2358339984038373E-2</v>
      </c>
      <c r="E408" s="14">
        <f t="shared" si="43"/>
        <v>2.5141223170605686E-4</v>
      </c>
      <c r="F408" s="9">
        <f t="shared" si="44"/>
        <v>17.340999826056489</v>
      </c>
      <c r="G408" s="9">
        <f t="shared" si="45"/>
        <v>-1.965656659586664</v>
      </c>
      <c r="H408" s="9">
        <f t="shared" si="46"/>
        <v>6.437614226088309E-2</v>
      </c>
      <c r="I408" s="9">
        <f t="shared" si="47"/>
        <v>-0.20059557725196828</v>
      </c>
      <c r="J408" s="9">
        <f t="shared" si="48"/>
        <v>15.23912373147874</v>
      </c>
    </row>
    <row r="409" spans="2:10" x14ac:dyDescent="0.25">
      <c r="B409" s="1">
        <v>43689</v>
      </c>
      <c r="C409" s="13">
        <v>50.12</v>
      </c>
      <c r="D409" s="6">
        <f t="shared" si="42"/>
        <v>-2.5473650692564576E-3</v>
      </c>
      <c r="E409" s="14">
        <f t="shared" si="43"/>
        <v>2.3775464753420853E-4</v>
      </c>
      <c r="F409" s="9">
        <f t="shared" si="44"/>
        <v>17.396854526166162</v>
      </c>
      <c r="G409" s="9">
        <f t="shared" si="45"/>
        <v>-3.4992439012795349</v>
      </c>
      <c r="H409" s="9">
        <f t="shared" si="46"/>
        <v>-0.16286079878472903</v>
      </c>
      <c r="I409" s="9">
        <f t="shared" si="47"/>
        <v>-0.68215785120911054</v>
      </c>
      <c r="J409" s="9">
        <f t="shared" si="48"/>
        <v>13.052591974892788</v>
      </c>
    </row>
    <row r="410" spans="2:10" x14ac:dyDescent="0.25">
      <c r="B410" s="1">
        <v>43686</v>
      </c>
      <c r="C410" s="13">
        <v>50.247999999999998</v>
      </c>
      <c r="D410" s="6">
        <f t="shared" si="42"/>
        <v>-1.1994179873372923E-2</v>
      </c>
      <c r="E410" s="14">
        <f t="shared" si="43"/>
        <v>2.3764070586358141E-4</v>
      </c>
      <c r="F410" s="9">
        <f t="shared" si="44"/>
        <v>17.397333881599465</v>
      </c>
      <c r="G410" s="9">
        <f t="shared" si="45"/>
        <v>-3.6777810380964983E-2</v>
      </c>
      <c r="H410" s="9">
        <f t="shared" si="46"/>
        <v>-8.9245008851324755E-4</v>
      </c>
      <c r="I410" s="9">
        <f t="shared" si="47"/>
        <v>-3.3569814789052155E-4</v>
      </c>
      <c r="J410" s="9">
        <f t="shared" si="48"/>
        <v>17.359327922982096</v>
      </c>
    </row>
    <row r="411" spans="2:10" x14ac:dyDescent="0.25">
      <c r="B411" s="1">
        <v>43685</v>
      </c>
      <c r="C411" s="13">
        <v>50.857999999999997</v>
      </c>
      <c r="D411" s="6">
        <f t="shared" si="42"/>
        <v>2.2065916398713803E-2</v>
      </c>
      <c r="E411" s="14">
        <f t="shared" si="43"/>
        <v>2.3623510338258489E-4</v>
      </c>
      <c r="F411" s="9">
        <f t="shared" si="44"/>
        <v>17.403266265468275</v>
      </c>
      <c r="G411" s="9">
        <f t="shared" si="45"/>
        <v>-0.3938769246507397</v>
      </c>
      <c r="H411" s="9">
        <f t="shared" si="46"/>
        <v>2.5778473118741145E-3</v>
      </c>
      <c r="I411" s="9">
        <f t="shared" si="47"/>
        <v>-3.8752456036614188E-3</v>
      </c>
      <c r="J411" s="9">
        <f t="shared" si="48"/>
        <v>17.008091942525745</v>
      </c>
    </row>
    <row r="412" spans="2:10" x14ac:dyDescent="0.25">
      <c r="B412" s="1">
        <v>43684</v>
      </c>
      <c r="C412" s="13">
        <v>49.76</v>
      </c>
      <c r="D412" s="6">
        <f t="shared" si="42"/>
        <v>1.035532994923849E-2</v>
      </c>
      <c r="E412" s="14">
        <f t="shared" si="43"/>
        <v>2.3274489091564769E-4</v>
      </c>
      <c r="F412" s="9">
        <f t="shared" si="44"/>
        <v>17.418150810425789</v>
      </c>
      <c r="G412" s="9">
        <f t="shared" si="45"/>
        <v>-0.90006531711032556</v>
      </c>
      <c r="H412" s="9">
        <f t="shared" si="46"/>
        <v>-1.7461937874801964E-2</v>
      </c>
      <c r="I412" s="9">
        <f t="shared" si="47"/>
        <v>-3.7514487650552951E-2</v>
      </c>
      <c r="J412" s="9">
        <f t="shared" si="48"/>
        <v>16.463109067790107</v>
      </c>
    </row>
    <row r="413" spans="2:10" x14ac:dyDescent="0.25">
      <c r="B413" s="1">
        <v>43683</v>
      </c>
      <c r="C413" s="13">
        <v>49.25</v>
      </c>
      <c r="D413" s="6">
        <f t="shared" si="42"/>
        <v>1.8930381710975386E-2</v>
      </c>
      <c r="E413" s="14">
        <f t="shared" si="43"/>
        <v>2.3232299964290787E-4</v>
      </c>
      <c r="F413" s="9">
        <f t="shared" si="44"/>
        <v>17.419965132149713</v>
      </c>
      <c r="G413" s="9">
        <f t="shared" si="45"/>
        <v>-0.16443288030327996</v>
      </c>
      <c r="H413" s="9">
        <f t="shared" si="46"/>
        <v>1.053080772636036E-3</v>
      </c>
      <c r="I413" s="9">
        <f t="shared" si="47"/>
        <v>-1.1126696719652705E-7</v>
      </c>
      <c r="J413" s="9">
        <f t="shared" si="48"/>
        <v>17.2565852213521</v>
      </c>
    </row>
    <row r="414" spans="2:10" x14ac:dyDescent="0.25">
      <c r="B414" s="1">
        <v>43682</v>
      </c>
      <c r="C414" s="13">
        <v>48.335000000000001</v>
      </c>
      <c r="D414" s="6">
        <f t="shared" si="42"/>
        <v>-5.2347809038329585E-2</v>
      </c>
      <c r="E414" s="14">
        <f t="shared" si="43"/>
        <v>2.301700870307673E-4</v>
      </c>
      <c r="F414" s="9">
        <f t="shared" si="44"/>
        <v>17.429275230938167</v>
      </c>
      <c r="G414" s="9">
        <f t="shared" si="45"/>
        <v>-0.652302221472294</v>
      </c>
      <c r="H414" s="9">
        <f t="shared" si="46"/>
        <v>-7.5148709448232794E-3</v>
      </c>
      <c r="I414" s="9">
        <f t="shared" si="47"/>
        <v>-1.2050542991167293E-2</v>
      </c>
      <c r="J414" s="9">
        <f t="shared" si="48"/>
        <v>16.75740759552988</v>
      </c>
    </row>
    <row r="415" spans="2:10" x14ac:dyDescent="0.25">
      <c r="B415" s="1">
        <v>43679</v>
      </c>
      <c r="C415" s="13">
        <v>51.005000000000003</v>
      </c>
      <c r="D415" s="6">
        <f t="shared" si="42"/>
        <v>-2.1167575036462605E-2</v>
      </c>
      <c r="E415" s="14">
        <f t="shared" si="43"/>
        <v>2.0652369869748327E-4</v>
      </c>
      <c r="F415" s="9">
        <f t="shared" si="44"/>
        <v>17.537678605904418</v>
      </c>
      <c r="G415" s="9">
        <f t="shared" si="45"/>
        <v>-7.0741004102531093</v>
      </c>
      <c r="H415" s="9">
        <f t="shared" si="46"/>
        <v>0.44148640733139288</v>
      </c>
      <c r="I415" s="9">
        <f t="shared" si="47"/>
        <v>-2.4049562101610036</v>
      </c>
      <c r="J415" s="9">
        <f t="shared" si="48"/>
        <v>8.5001083928216978</v>
      </c>
    </row>
    <row r="416" spans="2:10" x14ac:dyDescent="0.25">
      <c r="B416" s="1">
        <v>43678</v>
      </c>
      <c r="C416" s="13">
        <v>52.107999999999997</v>
      </c>
      <c r="D416" s="6">
        <f t="shared" si="42"/>
        <v>-2.1629740893728933E-2</v>
      </c>
      <c r="E416" s="14">
        <f t="shared" si="43"/>
        <v>2.0236736402002442E-4</v>
      </c>
      <c r="F416" s="9">
        <f t="shared" si="44"/>
        <v>17.558009095937273</v>
      </c>
      <c r="G416" s="9">
        <f t="shared" si="45"/>
        <v>-1.2876240762334334</v>
      </c>
      <c r="H416" s="9">
        <f t="shared" si="46"/>
        <v>2.7946667743667167E-2</v>
      </c>
      <c r="I416" s="9">
        <f t="shared" si="47"/>
        <v>-6.2163671974659294E-2</v>
      </c>
      <c r="J416" s="9">
        <f t="shared" si="48"/>
        <v>16.236168015472845</v>
      </c>
    </row>
    <row r="417" spans="2:10" x14ac:dyDescent="0.25">
      <c r="B417" s="1">
        <v>43677</v>
      </c>
      <c r="C417" s="13">
        <v>53.26</v>
      </c>
      <c r="D417" s="6">
        <f t="shared" si="42"/>
        <v>2.0404253280965623E-2</v>
      </c>
      <c r="E417" s="14">
        <f t="shared" si="43"/>
        <v>2.0137927652081553E-4</v>
      </c>
      <c r="F417" s="9">
        <f t="shared" si="44"/>
        <v>17.562903697514781</v>
      </c>
      <c r="G417" s="9">
        <f t="shared" si="45"/>
        <v>-1.3469430437491074</v>
      </c>
      <c r="H417" s="9">
        <f t="shared" si="46"/>
        <v>1.5977786497876842E-3</v>
      </c>
      <c r="I417" s="9">
        <f t="shared" si="47"/>
        <v>-1.2418202317897233E-3</v>
      </c>
      <c r="J417" s="9">
        <f t="shared" si="48"/>
        <v>16.216316612183672</v>
      </c>
    </row>
    <row r="418" spans="2:10" x14ac:dyDescent="0.25">
      <c r="B418" s="1">
        <v>43676</v>
      </c>
      <c r="C418" s="13">
        <v>52.195</v>
      </c>
      <c r="D418" s="6">
        <f t="shared" si="42"/>
        <v>-4.2922548645555336E-3</v>
      </c>
      <c r="E418" s="14">
        <f t="shared" si="43"/>
        <v>1.9847247366781148E-4</v>
      </c>
      <c r="F418" s="9">
        <f t="shared" si="44"/>
        <v>17.577443356576108</v>
      </c>
      <c r="G418" s="9">
        <f t="shared" si="45"/>
        <v>-0.89084261336148807</v>
      </c>
      <c r="H418" s="9">
        <f t="shared" si="46"/>
        <v>-1.4731234967723923E-2</v>
      </c>
      <c r="I418" s="9">
        <f t="shared" si="47"/>
        <v>-2.7580021984799374E-2</v>
      </c>
      <c r="J418" s="9">
        <f t="shared" si="48"/>
        <v>16.644289486262096</v>
      </c>
    </row>
    <row r="419" spans="2:10" x14ac:dyDescent="0.25">
      <c r="B419" s="1">
        <v>43675</v>
      </c>
      <c r="C419" s="13">
        <v>52.42</v>
      </c>
      <c r="D419" s="6">
        <f t="shared" si="42"/>
        <v>9.3385963223260315E-3</v>
      </c>
      <c r="E419" s="14">
        <f t="shared" si="43"/>
        <v>2.001541589371487E-4</v>
      </c>
      <c r="F419" s="9">
        <f t="shared" si="44"/>
        <v>17.569005911064743</v>
      </c>
      <c r="G419" s="9">
        <f t="shared" si="45"/>
        <v>-8.7795835333450534E-2</v>
      </c>
      <c r="H419" s="9">
        <f t="shared" si="46"/>
        <v>-5.4292691454121992E-3</v>
      </c>
      <c r="I419" s="9">
        <f t="shared" si="47"/>
        <v>-2.1365179574899099E-2</v>
      </c>
      <c r="J419" s="9">
        <f t="shared" si="48"/>
        <v>17.454415627010977</v>
      </c>
    </row>
    <row r="420" spans="2:10" x14ac:dyDescent="0.25">
      <c r="B420" s="1">
        <v>43672</v>
      </c>
      <c r="C420" s="13">
        <v>51.935000000000002</v>
      </c>
      <c r="D420" s="6">
        <f t="shared" si="42"/>
        <v>3.477924838179991E-3</v>
      </c>
      <c r="E420" s="14">
        <f t="shared" si="43"/>
        <v>2.0556770213681736E-4</v>
      </c>
      <c r="F420" s="9">
        <f t="shared" si="44"/>
        <v>17.542318344922133</v>
      </c>
      <c r="G420" s="9">
        <f t="shared" si="45"/>
        <v>-0.14506000146836356</v>
      </c>
      <c r="H420" s="9">
        <f t="shared" si="46"/>
        <v>1.7237422633852899E-2</v>
      </c>
      <c r="I420" s="9">
        <f t="shared" si="47"/>
        <v>-0.1550808033480354</v>
      </c>
      <c r="J420" s="9">
        <f t="shared" si="48"/>
        <v>17.259414962739587</v>
      </c>
    </row>
    <row r="421" spans="2:10" x14ac:dyDescent="0.25">
      <c r="B421" s="1">
        <v>43671</v>
      </c>
      <c r="C421" s="13">
        <v>51.755000000000003</v>
      </c>
      <c r="D421" s="6">
        <f t="shared" si="42"/>
        <v>-7.9167305627970697E-3</v>
      </c>
      <c r="E421" s="14">
        <f t="shared" si="43"/>
        <v>2.0556469609512789E-4</v>
      </c>
      <c r="F421" s="9">
        <f t="shared" si="44"/>
        <v>17.542332968151548</v>
      </c>
      <c r="G421" s="9">
        <f t="shared" si="45"/>
        <v>-8.3544642984000727E-3</v>
      </c>
      <c r="H421" s="9">
        <f t="shared" si="46"/>
        <v>5.3118260510395885E-4</v>
      </c>
      <c r="I421" s="9">
        <f t="shared" si="47"/>
        <v>-9.4213982469336008E-4</v>
      </c>
      <c r="J421" s="9">
        <f t="shared" si="48"/>
        <v>17.533567546633559</v>
      </c>
    </row>
    <row r="422" spans="2:10" x14ac:dyDescent="0.25">
      <c r="B422" s="1">
        <v>43670</v>
      </c>
      <c r="C422" s="13">
        <v>52.167999999999999</v>
      </c>
      <c r="D422" s="6">
        <f t="shared" si="42"/>
        <v>-8.0444359318143643E-4</v>
      </c>
      <c r="E422" s="14">
        <f t="shared" si="43"/>
        <v>2.0497733318515369E-4</v>
      </c>
      <c r="F422" s="9">
        <f t="shared" si="44"/>
        <v>17.545194372192263</v>
      </c>
      <c r="G422" s="9">
        <f t="shared" si="45"/>
        <v>-0.22285147774066713</v>
      </c>
      <c r="H422" s="9">
        <f t="shared" si="46"/>
        <v>-7.3547362493422822E-4</v>
      </c>
      <c r="I422" s="9">
        <f t="shared" si="47"/>
        <v>-7.1004669472787835E-5</v>
      </c>
      <c r="J422" s="9">
        <f t="shared" si="48"/>
        <v>17.321536416157187</v>
      </c>
    </row>
    <row r="423" spans="2:10" x14ac:dyDescent="0.25">
      <c r="B423" s="1">
        <v>43669</v>
      </c>
      <c r="C423" s="13">
        <v>52.21</v>
      </c>
      <c r="D423" s="6">
        <f t="shared" si="42"/>
        <v>7.8177782067367918E-3</v>
      </c>
      <c r="E423" s="14">
        <f t="shared" si="43"/>
        <v>2.4122938749115161E-4</v>
      </c>
      <c r="F423" s="9">
        <f t="shared" si="44"/>
        <v>17.382345479271194</v>
      </c>
      <c r="G423" s="9">
        <f t="shared" si="45"/>
        <v>-1.229351432742334E-2</v>
      </c>
      <c r="H423" s="9">
        <f t="shared" si="46"/>
        <v>-2.7619421259066159E-2</v>
      </c>
      <c r="I423" s="9">
        <f t="shared" si="47"/>
        <v>-5.145111441800716</v>
      </c>
      <c r="J423" s="9">
        <f t="shared" si="48"/>
        <v>12.19732110188399</v>
      </c>
    </row>
    <row r="424" spans="2:10" x14ac:dyDescent="0.25">
      <c r="B424" s="1">
        <v>43668</v>
      </c>
      <c r="C424" s="13">
        <v>51.805</v>
      </c>
      <c r="D424" s="6">
        <f t="shared" si="42"/>
        <v>2.2843942505133441E-2</v>
      </c>
      <c r="E424" s="14">
        <f t="shared" si="43"/>
        <v>2.4238136513853872E-4</v>
      </c>
      <c r="F424" s="9">
        <f t="shared" si="44"/>
        <v>17.377581400640025</v>
      </c>
      <c r="G424" s="9">
        <f t="shared" si="45"/>
        <v>-7.9285833281372342E-2</v>
      </c>
      <c r="H424" s="9">
        <f t="shared" si="46"/>
        <v>3.6881600586556314E-3</v>
      </c>
      <c r="I424" s="9">
        <f t="shared" si="47"/>
        <v>-9.1798019862440391E-3</v>
      </c>
      <c r="J424" s="9">
        <f t="shared" si="48"/>
        <v>17.292803925431066</v>
      </c>
    </row>
    <row r="425" spans="2:10" x14ac:dyDescent="0.25">
      <c r="B425" s="1">
        <v>43665</v>
      </c>
      <c r="C425" s="13">
        <v>50.648000000000003</v>
      </c>
      <c r="D425" s="6">
        <f t="shared" si="42"/>
        <v>-1.4917825537294482E-2</v>
      </c>
      <c r="E425" s="14">
        <f t="shared" si="43"/>
        <v>2.3998760687165172E-4</v>
      </c>
      <c r="F425" s="9">
        <f t="shared" si="44"/>
        <v>17.387506491414946</v>
      </c>
      <c r="G425" s="9">
        <f t="shared" si="45"/>
        <v>-0.94062339544390194</v>
      </c>
      <c r="H425" s="9">
        <f t="shared" si="46"/>
        <v>-1.0412032091350798E-2</v>
      </c>
      <c r="I425" s="9">
        <f t="shared" si="47"/>
        <v>-1.5241607394911684E-2</v>
      </c>
      <c r="J425" s="9">
        <f t="shared" si="48"/>
        <v>16.421229456484781</v>
      </c>
    </row>
    <row r="426" spans="2:10" x14ac:dyDescent="0.25">
      <c r="B426" s="1">
        <v>43664</v>
      </c>
      <c r="C426" s="13">
        <v>51.414999999999999</v>
      </c>
      <c r="D426" s="6">
        <f t="shared" si="42"/>
        <v>1.1349777725323529E-2</v>
      </c>
      <c r="E426" s="14">
        <f t="shared" si="43"/>
        <v>2.4537247250737561E-4</v>
      </c>
      <c r="F426" s="9">
        <f t="shared" si="44"/>
        <v>17.365316423375596</v>
      </c>
      <c r="G426" s="9">
        <f t="shared" si="45"/>
        <v>-0.55946140131810784</v>
      </c>
      <c r="H426" s="9">
        <f t="shared" si="46"/>
        <v>-3.0841773444572756E-2</v>
      </c>
      <c r="I426" s="9">
        <f t="shared" si="47"/>
        <v>-0.12577531948330575</v>
      </c>
      <c r="J426" s="9">
        <f t="shared" si="48"/>
        <v>16.649237929129612</v>
      </c>
    </row>
    <row r="427" spans="2:10" x14ac:dyDescent="0.25">
      <c r="B427" s="1">
        <v>43663</v>
      </c>
      <c r="C427" s="13">
        <v>50.838000000000001</v>
      </c>
      <c r="D427" s="6">
        <f t="shared" si="42"/>
        <v>-5.6136919315403766E-3</v>
      </c>
      <c r="E427" s="14">
        <f t="shared" si="43"/>
        <v>2.4562731065308697E-4</v>
      </c>
      <c r="F427" s="9">
        <f t="shared" si="44"/>
        <v>17.36427838557055</v>
      </c>
      <c r="G427" s="9">
        <f t="shared" si="45"/>
        <v>-0.19298616337567745</v>
      </c>
      <c r="H427" s="9">
        <f t="shared" si="46"/>
        <v>3.0901774357393707E-3</v>
      </c>
      <c r="I427" s="9">
        <f t="shared" si="47"/>
        <v>-1.5862393931803888E-3</v>
      </c>
      <c r="J427" s="9">
        <f t="shared" si="48"/>
        <v>17.172796160237432</v>
      </c>
    </row>
    <row r="428" spans="2:10" x14ac:dyDescent="0.25">
      <c r="B428" s="1">
        <v>43662</v>
      </c>
      <c r="C428" s="13">
        <v>51.125</v>
      </c>
      <c r="D428" s="6">
        <f t="shared" si="42"/>
        <v>-3.4695826754770343E-3</v>
      </c>
      <c r="E428" s="14">
        <f t="shared" si="43"/>
        <v>2.4510417510931139E-4</v>
      </c>
      <c r="F428" s="9">
        <f t="shared" si="44"/>
        <v>17.366410450690161</v>
      </c>
      <c r="G428" s="9">
        <f t="shared" si="45"/>
        <v>-0.10727648739138371</v>
      </c>
      <c r="H428" s="9">
        <f t="shared" si="46"/>
        <v>-6.0695007722116542E-4</v>
      </c>
      <c r="I428" s="9">
        <f t="shared" si="47"/>
        <v>-6.1444664532596597E-5</v>
      </c>
      <c r="J428" s="9">
        <f t="shared" si="48"/>
        <v>17.258465568557025</v>
      </c>
    </row>
    <row r="429" spans="2:10" x14ac:dyDescent="0.25">
      <c r="B429" s="1">
        <v>43661</v>
      </c>
      <c r="C429" s="13">
        <v>51.302999999999997</v>
      </c>
      <c r="D429" s="6">
        <f t="shared" si="42"/>
        <v>9.4048204623706777E-3</v>
      </c>
      <c r="E429" s="14">
        <f t="shared" si="43"/>
        <v>2.4996995499400304E-4</v>
      </c>
      <c r="F429" s="9">
        <f t="shared" si="44"/>
        <v>17.3467530447728</v>
      </c>
      <c r="G429" s="9">
        <f t="shared" si="45"/>
        <v>-5.2117437110589956E-2</v>
      </c>
      <c r="H429" s="9">
        <f t="shared" si="46"/>
        <v>-8.5437902247860794E-3</v>
      </c>
      <c r="I429" s="9">
        <f t="shared" si="47"/>
        <v>-0.10198624134991467</v>
      </c>
      <c r="J429" s="9">
        <f t="shared" si="48"/>
        <v>17.184105576087511</v>
      </c>
    </row>
    <row r="430" spans="2:10" x14ac:dyDescent="0.25">
      <c r="B430" s="1">
        <v>43658</v>
      </c>
      <c r="C430" s="13">
        <v>50.825000000000003</v>
      </c>
      <c r="D430" s="6">
        <f t="shared" si="42"/>
        <v>7.6727863912129379E-3</v>
      </c>
      <c r="E430" s="14">
        <f t="shared" si="43"/>
        <v>2.4967531433157719E-4</v>
      </c>
      <c r="F430" s="9">
        <f t="shared" si="44"/>
        <v>17.347932444297495</v>
      </c>
      <c r="G430" s="9">
        <f t="shared" si="45"/>
        <v>-0.12149391891724926</v>
      </c>
      <c r="H430" s="9">
        <f t="shared" si="46"/>
        <v>1.1662791881927872E-3</v>
      </c>
      <c r="I430" s="9">
        <f t="shared" si="47"/>
        <v>-3.2174854653891231E-5</v>
      </c>
      <c r="J430" s="9">
        <f t="shared" si="48"/>
        <v>17.227572629713787</v>
      </c>
    </row>
    <row r="431" spans="2:10" x14ac:dyDescent="0.25">
      <c r="B431" s="1">
        <v>43657</v>
      </c>
      <c r="C431" s="13">
        <v>50.438000000000002</v>
      </c>
      <c r="D431" s="6">
        <f t="shared" si="42"/>
        <v>-7.2823177452369103E-3</v>
      </c>
      <c r="E431" s="14">
        <f t="shared" si="43"/>
        <v>2.4954545161839177E-4</v>
      </c>
      <c r="F431" s="9">
        <f t="shared" si="44"/>
        <v>17.34845270597318</v>
      </c>
      <c r="G431" s="9">
        <f t="shared" si="45"/>
        <v>-7.3444469300833662E-2</v>
      </c>
      <c r="H431" s="9">
        <f t="shared" si="46"/>
        <v>1.2021915181497183E-3</v>
      </c>
      <c r="I431" s="9">
        <f t="shared" si="47"/>
        <v>-2.4688500172165214E-4</v>
      </c>
      <c r="J431" s="9">
        <f t="shared" si="48"/>
        <v>17.275963543188773</v>
      </c>
    </row>
    <row r="432" spans="2:10" x14ac:dyDescent="0.25">
      <c r="B432" s="1">
        <v>43656</v>
      </c>
      <c r="C432" s="13">
        <v>50.808</v>
      </c>
      <c r="D432" s="6">
        <f t="shared" si="42"/>
        <v>9.8986285032796051E-3</v>
      </c>
      <c r="E432" s="14">
        <f t="shared" si="43"/>
        <v>2.4956910390512809E-4</v>
      </c>
      <c r="F432" s="9">
        <f t="shared" si="44"/>
        <v>17.348357928986644</v>
      </c>
      <c r="G432" s="9">
        <f t="shared" si="45"/>
        <v>-0.15950905933086026</v>
      </c>
      <c r="H432" s="9">
        <f t="shared" si="46"/>
        <v>-2.1768455497681023E-3</v>
      </c>
      <c r="I432" s="9">
        <f t="shared" si="47"/>
        <v>-6.2747555257081002E-4</v>
      </c>
      <c r="J432" s="9">
        <f t="shared" si="48"/>
        <v>17.186044548553443</v>
      </c>
    </row>
    <row r="433" spans="2:10" x14ac:dyDescent="0.25">
      <c r="B433" s="1">
        <v>43655</v>
      </c>
      <c r="C433" s="13">
        <v>50.31</v>
      </c>
      <c r="D433" s="6">
        <f t="shared" si="42"/>
        <v>6.0993900609938034E-3</v>
      </c>
      <c r="E433" s="14">
        <f t="shared" si="43"/>
        <v>2.5180483390503292E-4</v>
      </c>
      <c r="F433" s="9">
        <f t="shared" si="44"/>
        <v>17.339439456564023</v>
      </c>
      <c r="G433" s="9">
        <f t="shared" si="45"/>
        <v>-0.13624940769184107</v>
      </c>
      <c r="H433" s="9">
        <f t="shared" si="46"/>
        <v>7.3757641547505335E-3</v>
      </c>
      <c r="I433" s="9">
        <f t="shared" si="47"/>
        <v>-2.5185773920481505E-2</v>
      </c>
      <c r="J433" s="9">
        <f t="shared" si="48"/>
        <v>17.185380039106452</v>
      </c>
    </row>
    <row r="434" spans="2:10" x14ac:dyDescent="0.25">
      <c r="B434" s="1">
        <v>43654</v>
      </c>
      <c r="C434" s="13">
        <v>50.005000000000003</v>
      </c>
      <c r="D434" s="6">
        <f t="shared" si="42"/>
        <v>-2.062360452818357E-2</v>
      </c>
      <c r="E434" s="14">
        <f t="shared" si="43"/>
        <v>2.5425239085501985E-4</v>
      </c>
      <c r="F434" s="9">
        <f t="shared" si="44"/>
        <v>17.329766336944836</v>
      </c>
      <c r="G434" s="9">
        <f t="shared" si="45"/>
        <v>-3.9445714688936484E-2</v>
      </c>
      <c r="H434" s="9">
        <f t="shared" si="46"/>
        <v>4.224969575397702E-3</v>
      </c>
      <c r="I434" s="9">
        <f t="shared" si="47"/>
        <v>-2.9056264667708141E-2</v>
      </c>
      <c r="J434" s="9">
        <f t="shared" si="48"/>
        <v>17.265489327163586</v>
      </c>
    </row>
    <row r="435" spans="2:10" x14ac:dyDescent="0.25">
      <c r="B435" s="1">
        <v>43651</v>
      </c>
      <c r="C435" s="13">
        <v>51.058</v>
      </c>
      <c r="D435" s="6">
        <f t="shared" si="42"/>
        <v>-8.805745259574671E-4</v>
      </c>
      <c r="E435" s="14">
        <f t="shared" si="43"/>
        <v>2.5107172667824227E-4</v>
      </c>
      <c r="F435" s="9">
        <f t="shared" si="44"/>
        <v>17.342355113421398</v>
      </c>
      <c r="G435" s="9">
        <f t="shared" si="45"/>
        <v>-0.98890075549507939</v>
      </c>
      <c r="H435" s="9">
        <f t="shared" si="46"/>
        <v>1.5594226681607566E-2</v>
      </c>
      <c r="I435" s="9">
        <f t="shared" si="47"/>
        <v>-2.8745885232443924E-2</v>
      </c>
      <c r="J435" s="9">
        <f t="shared" si="48"/>
        <v>16.340302699375481</v>
      </c>
    </row>
    <row r="436" spans="2:10" x14ac:dyDescent="0.25">
      <c r="B436" s="1">
        <v>43649</v>
      </c>
      <c r="C436" s="13">
        <v>51.103000000000002</v>
      </c>
      <c r="D436" s="6">
        <f t="shared" si="42"/>
        <v>8.2868022808437747E-3</v>
      </c>
      <c r="E436" s="14">
        <f t="shared" si="43"/>
        <v>2.5098125279843551E-4</v>
      </c>
      <c r="F436" s="9">
        <f t="shared" si="44"/>
        <v>17.342715529092594</v>
      </c>
      <c r="G436" s="9">
        <f t="shared" si="45"/>
        <v>-1.2567257139561952E-2</v>
      </c>
      <c r="H436" s="9">
        <f t="shared" si="46"/>
        <v>-5.2497400394524896E-4</v>
      </c>
      <c r="I436" s="9">
        <f t="shared" si="47"/>
        <v>-3.2088088528948213E-4</v>
      </c>
      <c r="J436" s="9">
        <f t="shared" si="48"/>
        <v>17.329302417063797</v>
      </c>
    </row>
    <row r="437" spans="2:10" x14ac:dyDescent="0.25">
      <c r="B437" s="1">
        <v>43648</v>
      </c>
      <c r="C437" s="13">
        <v>50.683</v>
      </c>
      <c r="D437" s="6">
        <f t="shared" si="42"/>
        <v>5.8545685480670961E-3</v>
      </c>
      <c r="E437" s="14">
        <f t="shared" si="43"/>
        <v>2.5244404685036365E-4</v>
      </c>
      <c r="F437" s="9">
        <f t="shared" si="44"/>
        <v>17.33690414786183</v>
      </c>
      <c r="G437" s="9">
        <f t="shared" si="45"/>
        <v>-8.8097851426858817E-2</v>
      </c>
      <c r="H437" s="9">
        <f t="shared" si="46"/>
        <v>4.4157227113669215E-3</v>
      </c>
      <c r="I437" s="9">
        <f t="shared" si="47"/>
        <v>-1.2471875449408828E-2</v>
      </c>
      <c r="J437" s="9">
        <f t="shared" si="48"/>
        <v>17.240750143696928</v>
      </c>
    </row>
    <row r="438" spans="2:10" x14ac:dyDescent="0.25">
      <c r="B438" s="1">
        <v>43647</v>
      </c>
      <c r="C438" s="13">
        <v>50.387999999999998</v>
      </c>
      <c r="D438" s="6">
        <f t="shared" si="42"/>
        <v>1.8350848827809241E-2</v>
      </c>
      <c r="E438" s="14">
        <f t="shared" si="43"/>
        <v>2.5460763738921244E-4</v>
      </c>
      <c r="F438" s="9">
        <f t="shared" si="44"/>
        <v>17.328370092114483</v>
      </c>
      <c r="G438" s="9">
        <f t="shared" si="45"/>
        <v>-3.5195852865443328E-2</v>
      </c>
      <c r="H438" s="9">
        <f t="shared" si="46"/>
        <v>3.6394877164775954E-3</v>
      </c>
      <c r="I438" s="9">
        <f t="shared" si="47"/>
        <v>-2.347011996826558E-2</v>
      </c>
      <c r="J438" s="9">
        <f t="shared" si="48"/>
        <v>17.273343606997251</v>
      </c>
    </row>
    <row r="439" spans="2:10" x14ac:dyDescent="0.25">
      <c r="B439" s="1">
        <v>43644</v>
      </c>
      <c r="C439" s="13">
        <v>49.48</v>
      </c>
      <c r="D439" s="6">
        <f t="shared" si="42"/>
        <v>-9.1118453990188808E-3</v>
      </c>
      <c r="E439" s="14">
        <f t="shared" si="43"/>
        <v>2.5273319215257656E-4</v>
      </c>
      <c r="F439" s="9">
        <f t="shared" si="44"/>
        <v>17.335759419590389</v>
      </c>
      <c r="G439" s="9">
        <f t="shared" si="45"/>
        <v>-0.55493911793274764</v>
      </c>
      <c r="H439" s="9">
        <f t="shared" si="46"/>
        <v>-5.2522532869462828E-3</v>
      </c>
      <c r="I439" s="9">
        <f t="shared" si="47"/>
        <v>-8.1326868507263037E-3</v>
      </c>
      <c r="J439" s="9">
        <f t="shared" si="48"/>
        <v>16.767435361519968</v>
      </c>
    </row>
    <row r="440" spans="2:10" x14ac:dyDescent="0.25">
      <c r="B440" s="1">
        <v>43643</v>
      </c>
      <c r="C440" s="13">
        <v>49.935000000000002</v>
      </c>
      <c r="D440" s="6">
        <f t="shared" si="42"/>
        <v>-3.0030030030026023E-4</v>
      </c>
      <c r="E440" s="14">
        <f t="shared" si="43"/>
        <v>2.6486200316575806E-4</v>
      </c>
      <c r="F440" s="9">
        <f t="shared" si="44"/>
        <v>17.288884827806967</v>
      </c>
      <c r="G440" s="9">
        <f t="shared" si="45"/>
        <v>-0.21836197071794788</v>
      </c>
      <c r="H440" s="9">
        <f t="shared" si="46"/>
        <v>-3.8764853390619317E-2</v>
      </c>
      <c r="I440" s="9">
        <f t="shared" si="47"/>
        <v>-0.5442506588801107</v>
      </c>
      <c r="J440" s="9">
        <f t="shared" si="48"/>
        <v>16.48750734481829</v>
      </c>
    </row>
    <row r="441" spans="2:10" x14ac:dyDescent="0.25">
      <c r="B441" s="1">
        <v>43642</v>
      </c>
      <c r="C441" s="13">
        <v>49.95</v>
      </c>
      <c r="D441" s="6">
        <f t="shared" si="42"/>
        <v>2.1618636614648468E-2</v>
      </c>
      <c r="E441" s="14">
        <f t="shared" si="43"/>
        <v>3.5171179485885055E-4</v>
      </c>
      <c r="F441" s="9">
        <f t="shared" si="44"/>
        <v>17.005281699767114</v>
      </c>
      <c r="G441" s="9">
        <f t="shared" si="45"/>
        <v>-5.2981262408508499E-3</v>
      </c>
      <c r="H441" s="9">
        <f t="shared" si="46"/>
        <v>-3.5521498406490562E-2</v>
      </c>
      <c r="I441" s="9">
        <f t="shared" si="47"/>
        <v>-19.912369850498539</v>
      </c>
      <c r="J441" s="9">
        <f t="shared" si="48"/>
        <v>-2.9479077753787699</v>
      </c>
    </row>
    <row r="442" spans="2:10" x14ac:dyDescent="0.25">
      <c r="B442" s="1">
        <v>43641</v>
      </c>
      <c r="C442" s="13">
        <v>48.893000000000001</v>
      </c>
      <c r="D442" s="6">
        <f t="shared" si="42"/>
        <v>-1.5147547587873955E-2</v>
      </c>
      <c r="E442" s="14">
        <f t="shared" si="43"/>
        <v>3.4852339060382462E-4</v>
      </c>
      <c r="F442" s="9">
        <f t="shared" si="44"/>
        <v>17.014388429495614</v>
      </c>
      <c r="G442" s="9">
        <f t="shared" si="45"/>
        <v>-0.57504639471146024</v>
      </c>
      <c r="H442" s="9">
        <f t="shared" si="46"/>
        <v>-1.0125865440978885E-2</v>
      </c>
      <c r="I442" s="9">
        <f t="shared" si="47"/>
        <v>-2.3287653727913853E-2</v>
      </c>
      <c r="J442" s="9">
        <f t="shared" si="48"/>
        <v>16.405928515615262</v>
      </c>
    </row>
    <row r="443" spans="2:10" x14ac:dyDescent="0.25">
      <c r="B443" s="1">
        <v>43640</v>
      </c>
      <c r="C443" s="13">
        <v>49.645000000000003</v>
      </c>
      <c r="D443" s="6">
        <f t="shared" si="42"/>
        <v>-1.0061374383740773E-3</v>
      </c>
      <c r="E443" s="14">
        <f t="shared" si="43"/>
        <v>3.4653808081244627E-4</v>
      </c>
      <c r="F443" s="9">
        <f t="shared" si="44"/>
        <v>17.020101061462992</v>
      </c>
      <c r="G443" s="9">
        <f t="shared" si="45"/>
        <v>-0.40721334251830221</v>
      </c>
      <c r="H443" s="9">
        <f t="shared" si="46"/>
        <v>4.2391079524359181E-3</v>
      </c>
      <c r="I443" s="9">
        <f t="shared" si="47"/>
        <v>-8.2359257421958775E-3</v>
      </c>
      <c r="J443" s="9">
        <f t="shared" si="48"/>
        <v>16.608890901154933</v>
      </c>
    </row>
    <row r="444" spans="2:10" x14ac:dyDescent="0.25">
      <c r="B444" s="1">
        <v>43637</v>
      </c>
      <c r="C444" s="13">
        <v>49.695</v>
      </c>
      <c r="D444" s="6">
        <f t="shared" si="42"/>
        <v>-3.4092048531033647E-3</v>
      </c>
      <c r="E444" s="14">
        <f t="shared" si="43"/>
        <v>3.4647705801217794E-4</v>
      </c>
      <c r="F444" s="9">
        <f t="shared" si="44"/>
        <v>17.020277169593989</v>
      </c>
      <c r="G444" s="9">
        <f t="shared" si="45"/>
        <v>-1.003785453582085E-2</v>
      </c>
      <c r="H444" s="9">
        <f t="shared" si="46"/>
        <v>-4.1587237469378546E-4</v>
      </c>
      <c r="I444" s="9">
        <f t="shared" si="47"/>
        <v>-7.4101379788762194E-5</v>
      </c>
      <c r="J444" s="9">
        <f t="shared" si="48"/>
        <v>17.009749341303685</v>
      </c>
    </row>
    <row r="445" spans="2:10" x14ac:dyDescent="0.25">
      <c r="B445" s="1">
        <v>43636</v>
      </c>
      <c r="C445" s="13">
        <v>49.865000000000002</v>
      </c>
      <c r="D445" s="6">
        <f t="shared" si="42"/>
        <v>8.0253901512088444E-3</v>
      </c>
      <c r="E445" s="14">
        <f t="shared" si="43"/>
        <v>3.4684196036958005E-4</v>
      </c>
      <c r="F445" s="9">
        <f t="shared" si="44"/>
        <v>17.019224544809667</v>
      </c>
      <c r="G445" s="9">
        <f t="shared" si="45"/>
        <v>-3.6676557923603241E-2</v>
      </c>
      <c r="H445" s="9">
        <f t="shared" si="46"/>
        <v>-1.2518508086009511E-3</v>
      </c>
      <c r="I445" s="9">
        <f t="shared" si="47"/>
        <v>-9.3355550883721236E-4</v>
      </c>
      <c r="J445" s="9">
        <f t="shared" si="48"/>
        <v>16.980362580568627</v>
      </c>
    </row>
    <row r="446" spans="2:10" x14ac:dyDescent="0.25">
      <c r="B446" s="1">
        <v>43635</v>
      </c>
      <c r="C446" s="13">
        <v>49.468000000000004</v>
      </c>
      <c r="D446" s="6">
        <f t="shared" si="42"/>
        <v>-2.9226210872149716E-3</v>
      </c>
      <c r="E446" s="14">
        <f t="shared" si="43"/>
        <v>3.8513185645650146E-4</v>
      </c>
      <c r="F446" s="9">
        <f t="shared" si="44"/>
        <v>16.914508015432837</v>
      </c>
      <c r="G446" s="9">
        <f t="shared" si="45"/>
        <v>-5.3301313747784407E-2</v>
      </c>
      <c r="H446" s="9">
        <f t="shared" si="46"/>
        <v>4.8018380995773144E-2</v>
      </c>
      <c r="I446" s="9">
        <f t="shared" si="47"/>
        <v>-3.5469114669730066</v>
      </c>
      <c r="J446" s="9">
        <f t="shared" si="48"/>
        <v>13.362313615707819</v>
      </c>
    </row>
    <row r="447" spans="2:10" x14ac:dyDescent="0.25">
      <c r="B447" s="1">
        <v>43634</v>
      </c>
      <c r="C447" s="13">
        <v>49.613</v>
      </c>
      <c r="D447" s="6">
        <f t="shared" si="42"/>
        <v>2.3518247271677062E-2</v>
      </c>
      <c r="E447" s="14">
        <f t="shared" si="43"/>
        <v>3.9162095906412165E-4</v>
      </c>
      <c r="F447" s="9">
        <f t="shared" si="44"/>
        <v>16.897799344550535</v>
      </c>
      <c r="G447" s="9">
        <f t="shared" si="45"/>
        <v>-2.6509674276805013E-2</v>
      </c>
      <c r="H447" s="9">
        <f t="shared" si="46"/>
        <v>-6.2628175144754045E-3</v>
      </c>
      <c r="I447" s="9">
        <f t="shared" si="47"/>
        <v>-0.10407217318476294</v>
      </c>
      <c r="J447" s="9">
        <f t="shared" si="48"/>
        <v>16.760954679574489</v>
      </c>
    </row>
    <row r="448" spans="2:10" x14ac:dyDescent="0.25">
      <c r="B448" s="1">
        <v>43633</v>
      </c>
      <c r="C448" s="13">
        <v>48.472999999999999</v>
      </c>
      <c r="D448" s="6">
        <f t="shared" si="42"/>
        <v>5.9769637854103497E-3</v>
      </c>
      <c r="E448" s="14">
        <f t="shared" si="43"/>
        <v>4.0192089568856639E-4</v>
      </c>
      <c r="F448" s="9">
        <f t="shared" si="44"/>
        <v>16.871838483027066</v>
      </c>
      <c r="G448" s="9">
        <f t="shared" si="45"/>
        <v>-0.59791556593999817</v>
      </c>
      <c r="H448" s="9">
        <f t="shared" si="46"/>
        <v>4.4707096799857245E-2</v>
      </c>
      <c r="I448" s="9">
        <f t="shared" si="47"/>
        <v>-0.25032620452126825</v>
      </c>
      <c r="J448" s="9">
        <f t="shared" si="48"/>
        <v>16.068303809365656</v>
      </c>
    </row>
    <row r="449" spans="2:10" x14ac:dyDescent="0.25">
      <c r="B449" s="1">
        <v>43630</v>
      </c>
      <c r="C449" s="13">
        <v>48.185000000000002</v>
      </c>
      <c r="D449" s="6">
        <f t="shared" si="42"/>
        <v>-7.2726523548558575E-3</v>
      </c>
      <c r="E449" s="14">
        <f t="shared" si="43"/>
        <v>4.0787966227066045E-4</v>
      </c>
      <c r="F449" s="9">
        <f t="shared" si="44"/>
        <v>16.8571215899047</v>
      </c>
      <c r="G449" s="9">
        <f t="shared" si="45"/>
        <v>-2.3260703865053689E-2</v>
      </c>
      <c r="H449" s="9">
        <f t="shared" si="46"/>
        <v>5.3302049749780877E-3</v>
      </c>
      <c r="I449" s="9">
        <f t="shared" si="47"/>
        <v>-8.3860972272049028E-2</v>
      </c>
      <c r="J449" s="9">
        <f t="shared" si="48"/>
        <v>16.755330118742577</v>
      </c>
    </row>
    <row r="450" spans="2:10" x14ac:dyDescent="0.25">
      <c r="B450" s="1">
        <v>43629</v>
      </c>
      <c r="C450" s="13">
        <v>48.537999999999997</v>
      </c>
      <c r="D450" s="6">
        <f t="shared" si="42"/>
        <v>-2.0598170882435429E-4</v>
      </c>
      <c r="E450" s="14">
        <f t="shared" si="43"/>
        <v>4.161836188959385E-4</v>
      </c>
      <c r="F450" s="9">
        <f t="shared" si="44"/>
        <v>16.836967220935428</v>
      </c>
      <c r="G450" s="9">
        <f t="shared" si="45"/>
        <v>-9.5443952640581961E-2</v>
      </c>
      <c r="H450" s="9">
        <f t="shared" si="46"/>
        <v>-1.439715467537757E-2</v>
      </c>
      <c r="I450" s="9">
        <f t="shared" si="47"/>
        <v>-0.15723437450253722</v>
      </c>
      <c r="J450" s="9">
        <f t="shared" si="48"/>
        <v>16.56989173911693</v>
      </c>
    </row>
    <row r="451" spans="2:10" x14ac:dyDescent="0.25">
      <c r="B451" s="1">
        <v>43628</v>
      </c>
      <c r="C451" s="13">
        <v>48.548000000000002</v>
      </c>
      <c r="D451" s="6">
        <f t="shared" si="42"/>
        <v>-3.1825554893949448E-3</v>
      </c>
      <c r="E451" s="14">
        <f t="shared" si="43"/>
        <v>4.172504077895707E-4</v>
      </c>
      <c r="F451" s="9">
        <f t="shared" si="44"/>
        <v>16.834407235520683</v>
      </c>
      <c r="G451" s="9">
        <f t="shared" si="45"/>
        <v>-4.0395969621199656E-3</v>
      </c>
      <c r="H451" s="9">
        <f t="shared" si="46"/>
        <v>-6.0682374340907078E-4</v>
      </c>
      <c r="I451" s="9">
        <f t="shared" si="47"/>
        <v>-3.0694007418151517E-3</v>
      </c>
      <c r="J451" s="9">
        <f t="shared" si="48"/>
        <v>16.826691414073338</v>
      </c>
    </row>
    <row r="452" spans="2:10" x14ac:dyDescent="0.25">
      <c r="B452" s="1">
        <v>43627</v>
      </c>
      <c r="C452" s="13">
        <v>48.703000000000003</v>
      </c>
      <c r="D452" s="6">
        <f t="shared" si="42"/>
        <v>1.1589988576176102E-2</v>
      </c>
      <c r="E452" s="14">
        <f t="shared" si="43"/>
        <v>4.1804934543654713E-4</v>
      </c>
      <c r="F452" s="9">
        <f t="shared" si="44"/>
        <v>16.832494298548003</v>
      </c>
      <c r="G452" s="9">
        <f t="shared" si="45"/>
        <v>-2.7752275285322751E-2</v>
      </c>
      <c r="H452" s="9">
        <f t="shared" si="46"/>
        <v>-1.3611378385798725E-3</v>
      </c>
      <c r="I452" s="9">
        <f t="shared" si="47"/>
        <v>-1.8229252134647999E-3</v>
      </c>
      <c r="J452" s="9">
        <f t="shared" si="48"/>
        <v>16.801557960210637</v>
      </c>
    </row>
    <row r="453" spans="2:10" x14ac:dyDescent="0.25">
      <c r="B453" s="1">
        <v>43626</v>
      </c>
      <c r="C453" s="13">
        <v>48.145000000000003</v>
      </c>
      <c r="D453" s="6">
        <f t="shared" si="42"/>
        <v>1.2768732382515191E-2</v>
      </c>
      <c r="E453" s="14">
        <f t="shared" si="43"/>
        <v>4.2646947530040576E-4</v>
      </c>
      <c r="F453" s="9">
        <f t="shared" si="44"/>
        <v>16.812552981240188</v>
      </c>
      <c r="G453" s="9">
        <f t="shared" si="45"/>
        <v>-0.11671164088106652</v>
      </c>
      <c r="H453" s="9">
        <f t="shared" si="46"/>
        <v>1.592811312862457E-2</v>
      </c>
      <c r="I453" s="9">
        <f t="shared" si="47"/>
        <v>-0.15707887077118812</v>
      </c>
      <c r="J453" s="9">
        <f t="shared" si="48"/>
        <v>16.554690582716557</v>
      </c>
    </row>
    <row r="454" spans="2:10" x14ac:dyDescent="0.25">
      <c r="B454" s="1">
        <v>43623</v>
      </c>
      <c r="C454" s="13">
        <v>47.537999999999997</v>
      </c>
      <c r="D454" s="6">
        <f t="shared" si="42"/>
        <v>2.6627793974732583E-2</v>
      </c>
      <c r="E454" s="14">
        <f t="shared" si="43"/>
        <v>4.261464181681445E-4</v>
      </c>
      <c r="F454" s="9">
        <f t="shared" si="44"/>
        <v>16.813310783552335</v>
      </c>
      <c r="G454" s="9">
        <f t="shared" si="45"/>
        <v>-0.14607391947328457</v>
      </c>
      <c r="H454" s="9">
        <f t="shared" si="46"/>
        <v>9.2392417731331443E-4</v>
      </c>
      <c r="I454" s="9">
        <f t="shared" si="47"/>
        <v>-1.1184398797563139E-4</v>
      </c>
      <c r="J454" s="9">
        <f t="shared" si="48"/>
        <v>16.668048944268389</v>
      </c>
    </row>
    <row r="455" spans="2:10" x14ac:dyDescent="0.25">
      <c r="B455" s="1">
        <v>43622</v>
      </c>
      <c r="C455" s="13">
        <v>46.305</v>
      </c>
      <c r="D455" s="6">
        <f t="shared" si="42"/>
        <v>1.4681713597019863E-2</v>
      </c>
      <c r="E455" s="14">
        <f t="shared" si="43"/>
        <v>4.2073302380453859E-4</v>
      </c>
      <c r="F455" s="9">
        <f t="shared" si="44"/>
        <v>16.826095290595887</v>
      </c>
      <c r="G455" s="9">
        <f t="shared" si="45"/>
        <v>-0.74497578155266098</v>
      </c>
      <c r="H455" s="9">
        <f t="shared" si="46"/>
        <v>-2.0265789601944775E-2</v>
      </c>
      <c r="I455" s="9">
        <f t="shared" si="47"/>
        <v>-6.1876333640246181E-2</v>
      </c>
      <c r="J455" s="9">
        <f t="shared" si="48"/>
        <v>15.998977385801037</v>
      </c>
    </row>
    <row r="456" spans="2:10" x14ac:dyDescent="0.25">
      <c r="B456" s="1">
        <v>43621</v>
      </c>
      <c r="C456" s="13">
        <v>45.634999999999998</v>
      </c>
      <c r="D456" s="6">
        <f t="shared" si="42"/>
        <v>1.6143397906924983E-2</v>
      </c>
      <c r="E456" s="14">
        <f t="shared" si="43"/>
        <v>4.1951458540515486E-4</v>
      </c>
      <c r="F456" s="9">
        <f t="shared" si="44"/>
        <v>16.828995481539756</v>
      </c>
      <c r="G456" s="9">
        <f t="shared" si="45"/>
        <v>-0.20371250833624868</v>
      </c>
      <c r="H456" s="9">
        <f t="shared" si="46"/>
        <v>-9.6053242139993854E-4</v>
      </c>
      <c r="I456" s="9">
        <f t="shared" si="47"/>
        <v>-2.7207845410506491E-3</v>
      </c>
      <c r="J456" s="9">
        <f t="shared" si="48"/>
        <v>16.621601656241058</v>
      </c>
    </row>
    <row r="457" spans="2:10" x14ac:dyDescent="0.25">
      <c r="B457" s="1">
        <v>43620</v>
      </c>
      <c r="C457" s="13">
        <v>44.91</v>
      </c>
      <c r="D457" s="6">
        <f t="shared" si="42"/>
        <v>3.658395845354856E-2</v>
      </c>
      <c r="E457" s="14">
        <f t="shared" si="43"/>
        <v>4.1782722397629504E-4</v>
      </c>
      <c r="F457" s="9">
        <f t="shared" si="44"/>
        <v>16.833025768082162</v>
      </c>
      <c r="G457" s="9">
        <f t="shared" si="45"/>
        <v>-0.25290265912707854</v>
      </c>
      <c r="H457" s="9">
        <f t="shared" si="46"/>
        <v>-2.2770091371973568E-3</v>
      </c>
      <c r="I457" s="9">
        <f t="shared" si="47"/>
        <v>-5.5033265841316582E-3</v>
      </c>
      <c r="J457" s="9">
        <f t="shared" si="48"/>
        <v>16.572342773233753</v>
      </c>
    </row>
    <row r="458" spans="2:10" x14ac:dyDescent="0.25">
      <c r="B458" s="1">
        <v>43619</v>
      </c>
      <c r="C458" s="13">
        <v>43.325000000000003</v>
      </c>
      <c r="D458" s="6">
        <f t="shared" si="42"/>
        <v>-1.0121549990860901E-2</v>
      </c>
      <c r="E458" s="14">
        <f t="shared" si="43"/>
        <v>4.1779181260252752E-4</v>
      </c>
      <c r="F458" s="9">
        <f t="shared" si="44"/>
        <v>16.833110522909994</v>
      </c>
      <c r="G458" s="9">
        <f t="shared" si="45"/>
        <v>-1.4667360183524867</v>
      </c>
      <c r="H458" s="9">
        <f t="shared" si="46"/>
        <v>4.736421311665147E-3</v>
      </c>
      <c r="I458" s="9">
        <f t="shared" si="47"/>
        <v>-1.2216193239964354E-5</v>
      </c>
      <c r="J458" s="9">
        <f t="shared" si="48"/>
        <v>15.371098709675934</v>
      </c>
    </row>
    <row r="459" spans="2:10" x14ac:dyDescent="0.25">
      <c r="B459" s="1">
        <v>43616</v>
      </c>
      <c r="C459" s="13">
        <v>43.768000000000001</v>
      </c>
      <c r="D459" s="6">
        <f t="shared" si="42"/>
        <v>-1.8104318564217681E-2</v>
      </c>
      <c r="E459" s="14">
        <f t="shared" si="43"/>
        <v>4.1797847389140989E-4</v>
      </c>
      <c r="F459" s="9">
        <f t="shared" si="44"/>
        <v>16.832663842057606</v>
      </c>
      <c r="G459" s="9">
        <f t="shared" si="45"/>
        <v>-0.1656127169471622</v>
      </c>
      <c r="H459" s="9">
        <f t="shared" si="46"/>
        <v>-2.0527628255112818E-3</v>
      </c>
      <c r="I459" s="9">
        <f t="shared" si="47"/>
        <v>-1.9376921203751398E-4</v>
      </c>
      <c r="J459" s="9">
        <f t="shared" si="48"/>
        <v>16.664804593072894</v>
      </c>
    </row>
    <row r="460" spans="2:10" x14ac:dyDescent="0.25">
      <c r="B460" s="1">
        <v>43615</v>
      </c>
      <c r="C460" s="13">
        <v>44.575000000000003</v>
      </c>
      <c r="D460" s="6">
        <f t="shared" si="42"/>
        <v>5.1866050287519005E-3</v>
      </c>
      <c r="E460" s="14">
        <f t="shared" si="43"/>
        <v>4.3137535705228483E-4</v>
      </c>
      <c r="F460" s="9">
        <f t="shared" si="44"/>
        <v>16.801115166263624</v>
      </c>
      <c r="G460" s="9">
        <f t="shared" si="45"/>
        <v>-0.45261142433663365</v>
      </c>
      <c r="H460" s="9">
        <f t="shared" si="46"/>
        <v>-4.8020428513545092E-2</v>
      </c>
      <c r="I460" s="9">
        <f t="shared" si="47"/>
        <v>-0.38938201765240965</v>
      </c>
      <c r="J460" s="9">
        <f t="shared" si="48"/>
        <v>15.911101295761036</v>
      </c>
    </row>
    <row r="461" spans="2:10" x14ac:dyDescent="0.25">
      <c r="B461" s="1">
        <v>43614</v>
      </c>
      <c r="C461" s="13">
        <v>44.344999999999999</v>
      </c>
      <c r="D461" s="6">
        <f t="shared" si="42"/>
        <v>-4.7802863683289454E-3</v>
      </c>
      <c r="E461" s="14">
        <f t="shared" si="43"/>
        <v>4.413051542264057E-4</v>
      </c>
      <c r="F461" s="9">
        <f t="shared" si="44"/>
        <v>16.778357179538681</v>
      </c>
      <c r="G461" s="9">
        <f t="shared" si="45"/>
        <v>-1.4395699688229388E-2</v>
      </c>
      <c r="H461" s="9">
        <f t="shared" si="46"/>
        <v>6.3995002749827716E-3</v>
      </c>
      <c r="I461" s="9">
        <f t="shared" si="47"/>
        <v>-0.20936312895676656</v>
      </c>
      <c r="J461" s="9">
        <f t="shared" si="48"/>
        <v>16.560997851168668</v>
      </c>
    </row>
    <row r="462" spans="2:10" x14ac:dyDescent="0.25">
      <c r="B462" s="1">
        <v>43613</v>
      </c>
      <c r="C462" s="13">
        <v>44.558</v>
      </c>
      <c r="D462" s="6">
        <f t="shared" si="42"/>
        <v>-4.1347249849138512E-3</v>
      </c>
      <c r="E462" s="14">
        <f t="shared" si="43"/>
        <v>4.4136065362389987E-4</v>
      </c>
      <c r="F462" s="9">
        <f t="shared" si="44"/>
        <v>16.778231425494344</v>
      </c>
      <c r="G462" s="9">
        <f t="shared" si="45"/>
        <v>-4.6650382785665592E-2</v>
      </c>
      <c r="H462" s="9">
        <f t="shared" si="46"/>
        <v>-9.194278455471283E-4</v>
      </c>
      <c r="I462" s="9">
        <f t="shared" si="47"/>
        <v>-3.3359067361121791E-5</v>
      </c>
      <c r="J462" s="9">
        <f t="shared" si="48"/>
        <v>16.730628255795768</v>
      </c>
    </row>
    <row r="463" spans="2:10" x14ac:dyDescent="0.25">
      <c r="B463" s="1">
        <v>43609</v>
      </c>
      <c r="C463" s="13">
        <v>44.743000000000002</v>
      </c>
      <c r="D463" s="6">
        <f t="shared" si="42"/>
        <v>-3.8294556384280698E-3</v>
      </c>
      <c r="E463" s="14">
        <f t="shared" si="43"/>
        <v>4.4171710529238874E-4</v>
      </c>
      <c r="F463" s="9">
        <f t="shared" si="44"/>
        <v>16.777424131495035</v>
      </c>
      <c r="G463" s="9">
        <f t="shared" si="45"/>
        <v>-3.7693519166502508E-2</v>
      </c>
      <c r="H463" s="9">
        <f t="shared" si="46"/>
        <v>-1.1164158179719341E-3</v>
      </c>
      <c r="I463" s="9">
        <f t="shared" si="47"/>
        <v>-3.8062336968754318E-4</v>
      </c>
      <c r="J463" s="9">
        <f t="shared" si="48"/>
        <v>16.738233573140874</v>
      </c>
    </row>
    <row r="464" spans="2:10" x14ac:dyDescent="0.25">
      <c r="B464" s="1">
        <v>43608</v>
      </c>
      <c r="C464" s="13">
        <v>44.914999999999999</v>
      </c>
      <c r="D464" s="6">
        <f t="shared" ref="D464:D527" si="49">C464/C465-1</f>
        <v>-1.7069701280227667E-2</v>
      </c>
      <c r="E464" s="14">
        <f t="shared" ref="E464:E527" si="50">_xlfn.VAR.S(D464:D584)</f>
        <v>4.5370168731539187E-4</v>
      </c>
      <c r="F464" s="9">
        <f t="shared" si="44"/>
        <v>16.750653869714636</v>
      </c>
      <c r="G464" s="9">
        <f t="shared" si="45"/>
        <v>-3.2912408017730495E-2</v>
      </c>
      <c r="H464" s="9">
        <f t="shared" si="46"/>
        <v>-1.1370574928958049E-2</v>
      </c>
      <c r="I464" s="9">
        <f t="shared" si="47"/>
        <v>-0.29491667603586219</v>
      </c>
      <c r="J464" s="9">
        <f t="shared" si="48"/>
        <v>16.411454210732089</v>
      </c>
    </row>
    <row r="465" spans="2:10" x14ac:dyDescent="0.25">
      <c r="B465" s="1">
        <v>43607</v>
      </c>
      <c r="C465" s="13">
        <v>45.695</v>
      </c>
      <c r="D465" s="6">
        <f t="shared" si="49"/>
        <v>-2.0471596998928199E-2</v>
      </c>
      <c r="E465" s="14">
        <f t="shared" si="50"/>
        <v>4.5117866089463133E-4</v>
      </c>
      <c r="F465" s="9">
        <f t="shared" ref="F465:F528" si="51">LN(2*PI())-LN($C$6)-LN(E465)-0.5*LN(1-POWER($C$7,2))</f>
        <v>16.756230370439923</v>
      </c>
      <c r="G465" s="9">
        <f t="shared" ref="G465:G528" si="52">-POWER(D464-1-$C$3,2)/(2*E465*(1-POWER($C$7,2)))</f>
        <v>-0.38855357052364853</v>
      </c>
      <c r="H465" s="9">
        <f t="shared" ref="H465:H528" si="53">$C$7*(D464-1-$C$3)*(E464-E465-$C$5*$C$4)/(E465*$C$6*(1-POWER($C$7,2)))</f>
        <v>5.276704963255577E-3</v>
      </c>
      <c r="I465" s="9">
        <f t="shared" ref="I465:I528" si="54">-POWER(E464-E465-$C$5*$C$4+$C$4*E465,2)/(2*POWER($C$6,2)*E465*(1-POWER($C$7,2)))</f>
        <v>-1.2477019981068703E-2</v>
      </c>
      <c r="J465" s="9">
        <f t="shared" ref="J465:J528" si="55">SUM(F465:I465)</f>
        <v>16.360476484898459</v>
      </c>
    </row>
    <row r="466" spans="2:10" x14ac:dyDescent="0.25">
      <c r="B466" s="1">
        <v>43606</v>
      </c>
      <c r="C466" s="13">
        <v>46.65</v>
      </c>
      <c r="D466" s="6">
        <f t="shared" si="49"/>
        <v>1.9159766674677003E-2</v>
      </c>
      <c r="E466" s="14">
        <f t="shared" si="50"/>
        <v>4.4878672385446265E-4</v>
      </c>
      <c r="F466" s="9">
        <f t="shared" si="51"/>
        <v>16.761546003047364</v>
      </c>
      <c r="G466" s="9">
        <f t="shared" si="52"/>
        <v>-0.54570305474931768</v>
      </c>
      <c r="H466" s="9">
        <f t="shared" si="53"/>
        <v>5.7927307076299384E-3</v>
      </c>
      <c r="I466" s="9">
        <f t="shared" si="54"/>
        <v>-1.1208612052647109E-2</v>
      </c>
      <c r="J466" s="9">
        <f t="shared" si="55"/>
        <v>16.210427066953027</v>
      </c>
    </row>
    <row r="467" spans="2:10" x14ac:dyDescent="0.25">
      <c r="B467" s="1">
        <v>43605</v>
      </c>
      <c r="C467" s="13">
        <v>45.773000000000003</v>
      </c>
      <c r="D467" s="6">
        <f t="shared" si="49"/>
        <v>-3.1259259259259209E-2</v>
      </c>
      <c r="E467" s="14">
        <f t="shared" si="50"/>
        <v>4.5161806722983215E-4</v>
      </c>
      <c r="F467" s="9">
        <f t="shared" si="51"/>
        <v>16.755256936761644</v>
      </c>
      <c r="G467" s="9">
        <f t="shared" si="52"/>
        <v>-0.34132302862121155</v>
      </c>
      <c r="H467" s="9">
        <f t="shared" si="53"/>
        <v>1.0426774266248507E-2</v>
      </c>
      <c r="I467" s="9">
        <f t="shared" si="54"/>
        <v>-1.7027063191927736E-2</v>
      </c>
      <c r="J467" s="9">
        <f t="shared" si="55"/>
        <v>16.407333619214754</v>
      </c>
    </row>
    <row r="468" spans="2:10" x14ac:dyDescent="0.25">
      <c r="B468" s="1">
        <v>43602</v>
      </c>
      <c r="C468" s="13">
        <v>47.25</v>
      </c>
      <c r="D468" s="6">
        <f t="shared" si="49"/>
        <v>-5.6818181818182323E-3</v>
      </c>
      <c r="E468" s="14">
        <f t="shared" si="50"/>
        <v>4.431644606798246E-4</v>
      </c>
      <c r="F468" s="9">
        <f t="shared" si="51"/>
        <v>16.774152831167804</v>
      </c>
      <c r="G468" s="9">
        <f t="shared" si="52"/>
        <v>-1.2238452655645409</v>
      </c>
      <c r="H468" s="9">
        <f t="shared" si="53"/>
        <v>4.1991259977704268E-2</v>
      </c>
      <c r="I468" s="9">
        <f t="shared" si="54"/>
        <v>-0.14659291990173326</v>
      </c>
      <c r="J468" s="9">
        <f t="shared" si="55"/>
        <v>15.445705905679233</v>
      </c>
    </row>
    <row r="469" spans="2:10" x14ac:dyDescent="0.25">
      <c r="B469" s="1">
        <v>43601</v>
      </c>
      <c r="C469" s="13">
        <v>47.52</v>
      </c>
      <c r="D469" s="6">
        <f t="shared" si="49"/>
        <v>-4.3997485857949492E-3</v>
      </c>
      <c r="E469" s="14">
        <f t="shared" si="50"/>
        <v>4.6233253205666655E-4</v>
      </c>
      <c r="F469" s="9">
        <f t="shared" si="51"/>
        <v>16.731809376858276</v>
      </c>
      <c r="G469" s="9">
        <f t="shared" si="52"/>
        <v>-5.7947484324353676E-2</v>
      </c>
      <c r="H469" s="9">
        <f t="shared" si="53"/>
        <v>-2.3343470266798252E-2</v>
      </c>
      <c r="I469" s="9">
        <f t="shared" si="54"/>
        <v>-0.73691673203483954</v>
      </c>
      <c r="J469" s="9">
        <f t="shared" si="55"/>
        <v>15.913601690232284</v>
      </c>
    </row>
    <row r="470" spans="2:10" x14ac:dyDescent="0.25">
      <c r="B470" s="1">
        <v>43600</v>
      </c>
      <c r="C470" s="13">
        <v>47.73</v>
      </c>
      <c r="D470" s="6">
        <f t="shared" si="49"/>
        <v>1.197922188063183E-2</v>
      </c>
      <c r="E470" s="14">
        <f t="shared" si="50"/>
        <v>4.7542615825485956E-4</v>
      </c>
      <c r="F470" s="9">
        <f t="shared" si="51"/>
        <v>16.703882198302011</v>
      </c>
      <c r="G470" s="9">
        <f t="shared" si="52"/>
        <v>-3.8316569329428854E-2</v>
      </c>
      <c r="H470" s="9">
        <f t="shared" si="53"/>
        <v>-1.3024647325715974E-2</v>
      </c>
      <c r="I470" s="9">
        <f t="shared" si="54"/>
        <v>-0.33386780172233727</v>
      </c>
      <c r="J470" s="9">
        <f t="shared" si="55"/>
        <v>16.318673179924531</v>
      </c>
    </row>
    <row r="471" spans="2:10" x14ac:dyDescent="0.25">
      <c r="B471" s="1">
        <v>43599</v>
      </c>
      <c r="C471" s="13">
        <v>47.164999999999999</v>
      </c>
      <c r="D471" s="6">
        <f t="shared" si="49"/>
        <v>1.5830282145164798E-2</v>
      </c>
      <c r="E471" s="14">
        <f t="shared" si="50"/>
        <v>4.7525438086373821E-4</v>
      </c>
      <c r="F471" s="9">
        <f t="shared" si="51"/>
        <v>16.704243576043368</v>
      </c>
      <c r="G471" s="9">
        <f t="shared" si="52"/>
        <v>-0.11307458958529569</v>
      </c>
      <c r="H471" s="9">
        <f t="shared" si="53"/>
        <v>1.0133994259719898E-3</v>
      </c>
      <c r="I471" s="9">
        <f t="shared" si="54"/>
        <v>-4.7980787671527047E-5</v>
      </c>
      <c r="J471" s="9">
        <f t="shared" si="55"/>
        <v>16.592134405096374</v>
      </c>
    </row>
    <row r="472" spans="2:10" x14ac:dyDescent="0.25">
      <c r="B472" s="1">
        <v>43598</v>
      </c>
      <c r="C472" s="13">
        <v>46.43</v>
      </c>
      <c r="D472" s="6">
        <f t="shared" si="49"/>
        <v>-5.8119484734760141E-2</v>
      </c>
      <c r="E472" s="14">
        <f t="shared" si="50"/>
        <v>4.7822301287415975E-4</v>
      </c>
      <c r="F472" s="9">
        <f t="shared" si="51"/>
        <v>16.698016597569904</v>
      </c>
      <c r="G472" s="9">
        <f t="shared" si="52"/>
        <v>-0.21153337485885162</v>
      </c>
      <c r="H472" s="9">
        <f t="shared" si="53"/>
        <v>8.2782620965652504E-3</v>
      </c>
      <c r="I472" s="9">
        <f t="shared" si="54"/>
        <v>-1.7136260514927126E-2</v>
      </c>
      <c r="J472" s="9">
        <f t="shared" si="55"/>
        <v>16.477625224292687</v>
      </c>
    </row>
    <row r="473" spans="2:10" x14ac:dyDescent="0.25">
      <c r="B473" s="1">
        <v>43595</v>
      </c>
      <c r="C473" s="13">
        <v>49.295000000000002</v>
      </c>
      <c r="D473" s="6">
        <f t="shared" si="49"/>
        <v>-1.7636508569150999E-2</v>
      </c>
      <c r="E473" s="14">
        <f t="shared" si="50"/>
        <v>4.5657157573854393E-4</v>
      </c>
      <c r="F473" s="9">
        <f t="shared" si="51"/>
        <v>16.744348295227084</v>
      </c>
      <c r="G473" s="9">
        <f t="shared" si="52"/>
        <v>-3.9207954778205227</v>
      </c>
      <c r="H473" s="9">
        <f t="shared" si="53"/>
        <v>0.20175113270924921</v>
      </c>
      <c r="I473" s="9">
        <f t="shared" si="54"/>
        <v>-0.94453563859844947</v>
      </c>
      <c r="J473" s="9">
        <f t="shared" si="55"/>
        <v>12.080768311517362</v>
      </c>
    </row>
    <row r="474" spans="2:10" x14ac:dyDescent="0.25">
      <c r="B474" s="1">
        <v>43594</v>
      </c>
      <c r="C474" s="13">
        <v>50.18</v>
      </c>
      <c r="D474" s="6">
        <f t="shared" si="49"/>
        <v>-1.0744208969935998E-2</v>
      </c>
      <c r="E474" s="14">
        <f t="shared" si="50"/>
        <v>4.5475155118137792E-4</v>
      </c>
      <c r="F474" s="9">
        <f t="shared" si="51"/>
        <v>16.748342546932395</v>
      </c>
      <c r="G474" s="9">
        <f t="shared" si="52"/>
        <v>-0.40922823583410189</v>
      </c>
      <c r="H474" s="9">
        <f t="shared" si="53"/>
        <v>3.1919415760041487E-3</v>
      </c>
      <c r="I474" s="9">
        <f t="shared" si="54"/>
        <v>-6.3747106868511294E-3</v>
      </c>
      <c r="J474" s="9">
        <f t="shared" si="55"/>
        <v>16.335931541987446</v>
      </c>
    </row>
    <row r="475" spans="2:10" x14ac:dyDescent="0.25">
      <c r="B475" s="1">
        <v>43593</v>
      </c>
      <c r="C475" s="13">
        <v>50.725000000000001</v>
      </c>
      <c r="D475" s="6">
        <f t="shared" si="49"/>
        <v>1.9718032140381148E-4</v>
      </c>
      <c r="E475" s="14">
        <f t="shared" si="50"/>
        <v>4.7515826020792893E-4</v>
      </c>
      <c r="F475" s="9">
        <f t="shared" si="51"/>
        <v>16.704445847461031</v>
      </c>
      <c r="G475" s="9">
        <f t="shared" si="52"/>
        <v>-0.16153393177702324</v>
      </c>
      <c r="H475" s="9">
        <f t="shared" si="53"/>
        <v>-4.0829494210291237E-2</v>
      </c>
      <c r="I475" s="9">
        <f t="shared" si="54"/>
        <v>-0.81081660264178568</v>
      </c>
      <c r="J475" s="9">
        <f t="shared" si="55"/>
        <v>15.69126581883193</v>
      </c>
    </row>
    <row r="476" spans="2:10" x14ac:dyDescent="0.25">
      <c r="B476" s="1">
        <v>43592</v>
      </c>
      <c r="C476" s="13">
        <v>50.715000000000003</v>
      </c>
      <c r="D476" s="6">
        <f t="shared" si="49"/>
        <v>-2.6957022256331453E-2</v>
      </c>
      <c r="E476" s="14">
        <f t="shared" si="50"/>
        <v>4.7828624116605785E-4</v>
      </c>
      <c r="F476" s="9">
        <f t="shared" si="51"/>
        <v>16.697884391233742</v>
      </c>
      <c r="G476" s="9">
        <f t="shared" si="52"/>
        <v>-2.1445678555521261E-3</v>
      </c>
      <c r="H476" s="9">
        <f t="shared" si="53"/>
        <v>-8.6870426248513745E-4</v>
      </c>
      <c r="I476" s="9">
        <f t="shared" si="54"/>
        <v>-1.9015169672009769E-2</v>
      </c>
      <c r="J476" s="9">
        <f t="shared" si="55"/>
        <v>16.675855949443697</v>
      </c>
    </row>
    <row r="477" spans="2:10" x14ac:dyDescent="0.25">
      <c r="B477" s="1">
        <v>43591</v>
      </c>
      <c r="C477" s="13">
        <v>52.12</v>
      </c>
      <c r="D477" s="6">
        <f t="shared" si="49"/>
        <v>-1.5452038233405241E-2</v>
      </c>
      <c r="E477" s="14">
        <f t="shared" si="50"/>
        <v>4.726017809808643E-4</v>
      </c>
      <c r="F477" s="9">
        <f t="shared" si="51"/>
        <v>16.709840642169045</v>
      </c>
      <c r="G477" s="9">
        <f t="shared" si="52"/>
        <v>-0.86699221963528716</v>
      </c>
      <c r="H477" s="9">
        <f t="shared" si="53"/>
        <v>2.1840210098897309E-2</v>
      </c>
      <c r="I477" s="9">
        <f t="shared" si="54"/>
        <v>-6.2740880617189645E-2</v>
      </c>
      <c r="J477" s="9">
        <f t="shared" si="55"/>
        <v>15.801947752015465</v>
      </c>
    </row>
    <row r="478" spans="2:10" x14ac:dyDescent="0.25">
      <c r="B478" s="1">
        <v>43588</v>
      </c>
      <c r="C478" s="13">
        <v>52.938000000000002</v>
      </c>
      <c r="D478" s="6">
        <f t="shared" si="49"/>
        <v>1.2431150550795689E-2</v>
      </c>
      <c r="E478" s="14">
        <f t="shared" si="50"/>
        <v>4.7799686418393872E-4</v>
      </c>
      <c r="F478" s="9">
        <f t="shared" si="51"/>
        <v>16.698489603203569</v>
      </c>
      <c r="G478" s="9">
        <f t="shared" si="52"/>
        <v>-0.30603618906923324</v>
      </c>
      <c r="H478" s="9">
        <f t="shared" si="53"/>
        <v>-1.637034480998582E-2</v>
      </c>
      <c r="I478" s="9">
        <f t="shared" si="54"/>
        <v>-5.6465696490780044E-2</v>
      </c>
      <c r="J478" s="9">
        <f t="shared" si="55"/>
        <v>16.319617372833573</v>
      </c>
    </row>
    <row r="479" spans="2:10" x14ac:dyDescent="0.25">
      <c r="B479" s="1">
        <v>43587</v>
      </c>
      <c r="C479" s="13">
        <v>52.287999999999997</v>
      </c>
      <c r="D479" s="6">
        <f t="shared" si="49"/>
        <v>-6.4981949458484678E-3</v>
      </c>
      <c r="E479" s="14">
        <f t="shared" si="50"/>
        <v>4.7769840635266227E-4</v>
      </c>
      <c r="F479" s="9">
        <f t="shared" si="51"/>
        <v>16.699114191082533</v>
      </c>
      <c r="G479" s="9">
        <f t="shared" si="52"/>
        <v>-0.12253289426476896</v>
      </c>
      <c r="H479" s="9">
        <f t="shared" si="53"/>
        <v>8.403807409182824E-4</v>
      </c>
      <c r="I479" s="9">
        <f t="shared" si="54"/>
        <v>-1.6021967392241063E-4</v>
      </c>
      <c r="J479" s="9">
        <f t="shared" si="55"/>
        <v>16.577261457884759</v>
      </c>
    </row>
    <row r="480" spans="2:10" x14ac:dyDescent="0.25">
      <c r="B480" s="1">
        <v>43586</v>
      </c>
      <c r="C480" s="13">
        <v>52.63</v>
      </c>
      <c r="D480" s="6">
        <f t="shared" si="49"/>
        <v>4.9075107638335336E-2</v>
      </c>
      <c r="E480" s="14">
        <f t="shared" si="50"/>
        <v>4.8422276217808592E-4</v>
      </c>
      <c r="F480" s="9">
        <f t="shared" si="51"/>
        <v>16.68554872212183</v>
      </c>
      <c r="G480" s="9">
        <f t="shared" si="52"/>
        <v>-6.8377455837386372E-2</v>
      </c>
      <c r="H480" s="9">
        <f t="shared" si="53"/>
        <v>-9.089279996529042E-3</v>
      </c>
      <c r="I480" s="9">
        <f t="shared" si="54"/>
        <v>-8.1206617171097159E-2</v>
      </c>
      <c r="J480" s="9">
        <f t="shared" si="55"/>
        <v>16.526875369116816</v>
      </c>
    </row>
    <row r="481" spans="2:10" x14ac:dyDescent="0.25">
      <c r="B481" s="1">
        <v>43585</v>
      </c>
      <c r="C481" s="13">
        <v>50.167999999999999</v>
      </c>
      <c r="D481" s="6">
        <f t="shared" si="49"/>
        <v>-1.9255957617343999E-2</v>
      </c>
      <c r="E481" s="14">
        <f t="shared" si="50"/>
        <v>5.0059689076231912E-4</v>
      </c>
      <c r="F481" s="9">
        <f t="shared" si="51"/>
        <v>16.65229260743261</v>
      </c>
      <c r="G481" s="9">
        <f t="shared" si="52"/>
        <v>-2.2552595549928722</v>
      </c>
      <c r="H481" s="9">
        <f t="shared" si="53"/>
        <v>0.12037093010129835</v>
      </c>
      <c r="I481" s="9">
        <f t="shared" si="54"/>
        <v>-0.49313406351551164</v>
      </c>
      <c r="J481" s="9">
        <f t="shared" si="55"/>
        <v>14.024269919025524</v>
      </c>
    </row>
    <row r="482" spans="2:10" x14ac:dyDescent="0.25">
      <c r="B482" s="1">
        <v>43584</v>
      </c>
      <c r="C482" s="13">
        <v>51.152999999999999</v>
      </c>
      <c r="D482" s="6">
        <f t="shared" si="49"/>
        <v>1.5271659324522791E-3</v>
      </c>
      <c r="E482" s="14">
        <f t="shared" si="50"/>
        <v>4.9972985468363265E-4</v>
      </c>
      <c r="F482" s="9">
        <f t="shared" si="51"/>
        <v>16.654026113608982</v>
      </c>
      <c r="G482" s="9">
        <f t="shared" si="52"/>
        <v>-0.43763948518584722</v>
      </c>
      <c r="H482" s="9">
        <f t="shared" si="53"/>
        <v>2.0410043116759487E-4</v>
      </c>
      <c r="I482" s="9">
        <f t="shared" si="54"/>
        <v>-1.4737356360461646E-3</v>
      </c>
      <c r="J482" s="9">
        <f t="shared" si="55"/>
        <v>16.215116993218256</v>
      </c>
    </row>
    <row r="483" spans="2:10" x14ac:dyDescent="0.25">
      <c r="B483" s="1">
        <v>43581</v>
      </c>
      <c r="C483" s="13">
        <v>51.075000000000003</v>
      </c>
      <c r="D483" s="6">
        <f t="shared" si="49"/>
        <v>-4.7739672642244102E-3</v>
      </c>
      <c r="E483" s="14">
        <f t="shared" si="50"/>
        <v>5.054561758423068E-4</v>
      </c>
      <c r="F483" s="9">
        <f t="shared" si="51"/>
        <v>16.642632435360508</v>
      </c>
      <c r="G483" s="9">
        <f t="shared" si="52"/>
        <v>-9.9576473149525585E-6</v>
      </c>
      <c r="H483" s="9">
        <f t="shared" si="53"/>
        <v>-9.5661761033811251E-5</v>
      </c>
      <c r="I483" s="9">
        <f t="shared" si="54"/>
        <v>-5.9194407858960796E-2</v>
      </c>
      <c r="J483" s="9">
        <f t="shared" si="55"/>
        <v>16.583332408093199</v>
      </c>
    </row>
    <row r="484" spans="2:10" x14ac:dyDescent="0.25">
      <c r="B484" s="1">
        <v>43580</v>
      </c>
      <c r="C484" s="13">
        <v>51.32</v>
      </c>
      <c r="D484" s="6">
        <f t="shared" si="49"/>
        <v>-9.0751110252944578E-3</v>
      </c>
      <c r="E484" s="14">
        <f t="shared" si="50"/>
        <v>5.0548428841327129E-4</v>
      </c>
      <c r="F484" s="9">
        <f t="shared" si="51"/>
        <v>16.642576818690753</v>
      </c>
      <c r="G484" s="9">
        <f t="shared" si="52"/>
        <v>-4.0652209376909713E-2</v>
      </c>
      <c r="H484" s="9">
        <f t="shared" si="53"/>
        <v>-7.7635664161891736E-4</v>
      </c>
      <c r="I484" s="9">
        <f t="shared" si="54"/>
        <v>-9.5698974763482796E-8</v>
      </c>
      <c r="J484" s="9">
        <f t="shared" si="55"/>
        <v>16.601148156973249</v>
      </c>
    </row>
    <row r="485" spans="2:10" x14ac:dyDescent="0.25">
      <c r="B485" s="1">
        <v>43579</v>
      </c>
      <c r="C485" s="13">
        <v>51.79</v>
      </c>
      <c r="D485" s="6">
        <f t="shared" si="49"/>
        <v>-1.5423173317909988E-3</v>
      </c>
      <c r="E485" s="14">
        <f t="shared" si="50"/>
        <v>5.0772393838932714E-4</v>
      </c>
      <c r="F485" s="9">
        <f t="shared" si="51"/>
        <v>16.638155903888556</v>
      </c>
      <c r="G485" s="9">
        <f t="shared" si="52"/>
        <v>-0.11313392252798872</v>
      </c>
      <c r="H485" s="9">
        <f t="shared" si="53"/>
        <v>-4.739304316462193E-3</v>
      </c>
      <c r="I485" s="9">
        <f t="shared" si="54"/>
        <v>-8.8112389247882988E-3</v>
      </c>
      <c r="J485" s="9">
        <f t="shared" si="55"/>
        <v>16.511471438119315</v>
      </c>
    </row>
    <row r="486" spans="2:10" x14ac:dyDescent="0.25">
      <c r="B486" s="1">
        <v>43578</v>
      </c>
      <c r="C486" s="13">
        <v>51.87</v>
      </c>
      <c r="D486" s="6">
        <f t="shared" si="49"/>
        <v>1.441339252537488E-2</v>
      </c>
      <c r="E486" s="14">
        <f t="shared" si="50"/>
        <v>5.0977836430116151E-4</v>
      </c>
      <c r="F486" s="9">
        <f t="shared" si="51"/>
        <v>16.634117723929304</v>
      </c>
      <c r="G486" s="9">
        <f t="shared" si="52"/>
        <v>-9.8832302517262247E-3</v>
      </c>
      <c r="H486" s="9">
        <f t="shared" si="53"/>
        <v>-1.3127894284713183E-3</v>
      </c>
      <c r="I486" s="9">
        <f t="shared" si="54"/>
        <v>-7.3357884173645381E-3</v>
      </c>
      <c r="J486" s="9">
        <f t="shared" si="55"/>
        <v>16.61558591583174</v>
      </c>
    </row>
    <row r="487" spans="2:10" x14ac:dyDescent="0.25">
      <c r="B487" s="1">
        <v>43577</v>
      </c>
      <c r="C487" s="13">
        <v>51.133000000000003</v>
      </c>
      <c r="D487" s="6">
        <f t="shared" si="49"/>
        <v>3.2963798685372581E-3</v>
      </c>
      <c r="E487" s="14">
        <f t="shared" si="50"/>
        <v>5.1206332922354078E-4</v>
      </c>
      <c r="F487" s="9">
        <f t="shared" si="51"/>
        <v>16.629645468108588</v>
      </c>
      <c r="G487" s="9">
        <f t="shared" si="52"/>
        <v>-0.16010392053085426</v>
      </c>
      <c r="H487" s="9">
        <f t="shared" si="53"/>
        <v>5.6976494888910873E-3</v>
      </c>
      <c r="I487" s="9">
        <f t="shared" si="54"/>
        <v>-9.0419950850247465E-3</v>
      </c>
      <c r="J487" s="9">
        <f t="shared" si="55"/>
        <v>16.466197201981601</v>
      </c>
    </row>
    <row r="488" spans="2:10" x14ac:dyDescent="0.25">
      <c r="B488" s="1">
        <v>43573</v>
      </c>
      <c r="C488" s="13">
        <v>50.965000000000003</v>
      </c>
      <c r="D488" s="6">
        <f t="shared" si="49"/>
        <v>3.5838764941023005E-3</v>
      </c>
      <c r="E488" s="14">
        <f t="shared" si="50"/>
        <v>5.2158042078486561E-4</v>
      </c>
      <c r="F488" s="9">
        <f t="shared" si="51"/>
        <v>16.611230302319775</v>
      </c>
      <c r="G488" s="9">
        <f t="shared" si="52"/>
        <v>-2.6783099228430687E-3</v>
      </c>
      <c r="H488" s="9">
        <f t="shared" si="53"/>
        <v>2.4413852332827936E-3</v>
      </c>
      <c r="I488" s="9">
        <f t="shared" si="54"/>
        <v>-0.15834201258449562</v>
      </c>
      <c r="J488" s="9">
        <f t="shared" si="55"/>
        <v>16.452651365045721</v>
      </c>
    </row>
    <row r="489" spans="2:10" x14ac:dyDescent="0.25">
      <c r="B489" s="1">
        <v>43572</v>
      </c>
      <c r="C489" s="13">
        <v>50.783000000000001</v>
      </c>
      <c r="D489" s="6">
        <f t="shared" si="49"/>
        <v>1.9472828378134244E-2</v>
      </c>
      <c r="E489" s="14">
        <f t="shared" si="50"/>
        <v>5.2225731564310208E-4</v>
      </c>
      <c r="F489" s="9">
        <f t="shared" si="51"/>
        <v>16.609933367117119</v>
      </c>
      <c r="G489" s="9">
        <f t="shared" si="52"/>
        <v>-3.675705737403103E-3</v>
      </c>
      <c r="H489" s="9">
        <f t="shared" si="53"/>
        <v>4.0938771963803464E-4</v>
      </c>
      <c r="I489" s="9">
        <f t="shared" si="54"/>
        <v>-6.6641676992441532E-4</v>
      </c>
      <c r="J489" s="9">
        <f t="shared" si="55"/>
        <v>16.60600063232943</v>
      </c>
    </row>
    <row r="490" spans="2:10" x14ac:dyDescent="0.25">
      <c r="B490" s="1">
        <v>43571</v>
      </c>
      <c r="C490" s="13">
        <v>49.813000000000002</v>
      </c>
      <c r="D490" s="6">
        <f t="shared" si="49"/>
        <v>1.0038548024415839E-4</v>
      </c>
      <c r="E490" s="14">
        <f t="shared" si="50"/>
        <v>5.193022629623313E-4</v>
      </c>
      <c r="F490" s="9">
        <f t="shared" si="51"/>
        <v>16.615607666831288</v>
      </c>
      <c r="G490" s="9">
        <f t="shared" si="52"/>
        <v>-0.30753142740028327</v>
      </c>
      <c r="H490" s="9">
        <f t="shared" si="53"/>
        <v>-5.4734604998931393E-3</v>
      </c>
      <c r="I490" s="9">
        <f t="shared" si="54"/>
        <v>-1.6152441870561269E-2</v>
      </c>
      <c r="J490" s="9">
        <f t="shared" si="55"/>
        <v>16.28645033706055</v>
      </c>
    </row>
    <row r="491" spans="2:10" x14ac:dyDescent="0.25">
      <c r="B491" s="1">
        <v>43570</v>
      </c>
      <c r="C491" s="13">
        <v>49.808</v>
      </c>
      <c r="D491" s="6">
        <f t="shared" si="49"/>
        <v>1.8102095820426989E-3</v>
      </c>
      <c r="E491" s="14">
        <f t="shared" si="50"/>
        <v>5.2135598638988626E-4</v>
      </c>
      <c r="F491" s="9">
        <f t="shared" si="51"/>
        <v>16.611660691741218</v>
      </c>
      <c r="G491" s="9">
        <f t="shared" si="52"/>
        <v>-2.2427254985214091E-3</v>
      </c>
      <c r="H491" s="9">
        <f t="shared" si="53"/>
        <v>-6.1823036809547131E-4</v>
      </c>
      <c r="I491" s="9">
        <f t="shared" si="54"/>
        <v>-7.0319925097707568E-3</v>
      </c>
      <c r="J491" s="9">
        <f t="shared" si="55"/>
        <v>16.601767743364832</v>
      </c>
    </row>
    <row r="492" spans="2:10" x14ac:dyDescent="0.25">
      <c r="B492" s="1">
        <v>43567</v>
      </c>
      <c r="C492" s="13">
        <v>49.718000000000004</v>
      </c>
      <c r="D492" s="6">
        <f t="shared" si="49"/>
        <v>-4.0210704089416183E-4</v>
      </c>
      <c r="E492" s="14">
        <f t="shared" si="50"/>
        <v>5.2567018361620872E-4</v>
      </c>
      <c r="F492" s="9">
        <f t="shared" si="51"/>
        <v>16.603419786660623</v>
      </c>
      <c r="G492" s="9">
        <f t="shared" si="52"/>
        <v>-3.1899291811078035E-5</v>
      </c>
      <c r="H492" s="9">
        <f t="shared" si="53"/>
        <v>1.3157176921176495E-4</v>
      </c>
      <c r="I492" s="9">
        <f t="shared" si="54"/>
        <v>-3.1675126006779998E-2</v>
      </c>
      <c r="J492" s="9">
        <f t="shared" si="55"/>
        <v>16.571844333131246</v>
      </c>
    </row>
    <row r="493" spans="2:10" x14ac:dyDescent="0.25">
      <c r="B493" s="1">
        <v>43566</v>
      </c>
      <c r="C493" s="13">
        <v>49.738</v>
      </c>
      <c r="D493" s="6">
        <f t="shared" si="49"/>
        <v>-8.3142258997109808E-3</v>
      </c>
      <c r="E493" s="14">
        <f t="shared" si="50"/>
        <v>5.2578320555094773E-4</v>
      </c>
      <c r="F493" s="9">
        <f t="shared" si="51"/>
        <v>16.603204804358334</v>
      </c>
      <c r="G493" s="9">
        <f t="shared" si="52"/>
        <v>-3.9283102214046645E-3</v>
      </c>
      <c r="H493" s="9">
        <f t="shared" si="53"/>
        <v>-2.6086538155381338E-4</v>
      </c>
      <c r="I493" s="9">
        <f t="shared" si="54"/>
        <v>-3.4152401839505341E-6</v>
      </c>
      <c r="J493" s="9">
        <f t="shared" si="55"/>
        <v>16.599012213515195</v>
      </c>
    </row>
    <row r="494" spans="2:10" x14ac:dyDescent="0.25">
      <c r="B494" s="1">
        <v>43565</v>
      </c>
      <c r="C494" s="13">
        <v>50.155000000000001</v>
      </c>
      <c r="D494" s="6">
        <f t="shared" si="49"/>
        <v>5.6140350877194045E-3</v>
      </c>
      <c r="E494" s="14">
        <f t="shared" si="50"/>
        <v>5.295217563102948E-4</v>
      </c>
      <c r="F494" s="9">
        <f t="shared" si="51"/>
        <v>16.596119522786793</v>
      </c>
      <c r="G494" s="9">
        <f t="shared" si="52"/>
        <v>-9.3600856846772648E-2</v>
      </c>
      <c r="H494" s="9">
        <f t="shared" si="53"/>
        <v>-6.3019825511326484E-3</v>
      </c>
      <c r="I494" s="9">
        <f t="shared" si="54"/>
        <v>-2.3414046743993406E-2</v>
      </c>
      <c r="J494" s="9">
        <f t="shared" si="55"/>
        <v>16.472802636644893</v>
      </c>
    </row>
    <row r="495" spans="2:10" x14ac:dyDescent="0.25">
      <c r="B495" s="1">
        <v>43564</v>
      </c>
      <c r="C495" s="13">
        <v>49.875</v>
      </c>
      <c r="D495" s="6">
        <f t="shared" si="49"/>
        <v>-2.9985007496251548E-3</v>
      </c>
      <c r="E495" s="14">
        <f t="shared" si="50"/>
        <v>5.3284468399941102E-4</v>
      </c>
      <c r="F495" s="9">
        <f t="shared" si="51"/>
        <v>16.589863793314009</v>
      </c>
      <c r="G495" s="9">
        <f t="shared" si="52"/>
        <v>-1.4958111222087754E-2</v>
      </c>
      <c r="H495" s="9">
        <f t="shared" si="53"/>
        <v>2.2814726192684496E-3</v>
      </c>
      <c r="I495" s="9">
        <f t="shared" si="54"/>
        <v>-1.8226057206838075E-2</v>
      </c>
      <c r="J495" s="9">
        <f t="shared" si="55"/>
        <v>16.558961097504351</v>
      </c>
    </row>
    <row r="496" spans="2:10" x14ac:dyDescent="0.25">
      <c r="B496" s="1">
        <v>43563</v>
      </c>
      <c r="C496" s="13">
        <v>50.024999999999999</v>
      </c>
      <c r="D496" s="6">
        <f t="shared" si="49"/>
        <v>1.5736040609137136E-2</v>
      </c>
      <c r="E496" s="14">
        <f t="shared" si="50"/>
        <v>5.4369861065349653E-4</v>
      </c>
      <c r="F496" s="9">
        <f t="shared" si="51"/>
        <v>16.569698706595233</v>
      </c>
      <c r="G496" s="9">
        <f t="shared" si="52"/>
        <v>-1.9736859870857104E-2</v>
      </c>
      <c r="H496" s="9">
        <f t="shared" si="53"/>
        <v>-7.3322404666956676E-3</v>
      </c>
      <c r="I496" s="9">
        <f t="shared" si="54"/>
        <v>-0.19655094589571639</v>
      </c>
      <c r="J496" s="9">
        <f t="shared" si="55"/>
        <v>16.346078660361965</v>
      </c>
    </row>
    <row r="497" spans="2:10" x14ac:dyDescent="0.25">
      <c r="B497" s="1">
        <v>43560</v>
      </c>
      <c r="C497" s="13">
        <v>49.25</v>
      </c>
      <c r="D497" s="6">
        <f t="shared" si="49"/>
        <v>6.6839727735421572E-3</v>
      </c>
      <c r="E497" s="14">
        <f t="shared" si="50"/>
        <v>5.4211885944687496E-4</v>
      </c>
      <c r="F497" s="9">
        <f t="shared" si="51"/>
        <v>16.572608500119017</v>
      </c>
      <c r="G497" s="9">
        <f t="shared" si="52"/>
        <v>-0.18413326306148292</v>
      </c>
      <c r="H497" s="9">
        <f t="shared" si="53"/>
        <v>-1.4986294598674623E-3</v>
      </c>
      <c r="I497" s="9">
        <f t="shared" si="54"/>
        <v>-4.7850745935378346E-3</v>
      </c>
      <c r="J497" s="9">
        <f t="shared" si="55"/>
        <v>16.382191533004129</v>
      </c>
    </row>
    <row r="498" spans="2:10" x14ac:dyDescent="0.25">
      <c r="B498" s="1">
        <v>43559</v>
      </c>
      <c r="C498" s="13">
        <v>48.923000000000002</v>
      </c>
      <c r="D498" s="6">
        <f t="shared" si="49"/>
        <v>1.7404480117941823E-3</v>
      </c>
      <c r="E498" s="14">
        <f t="shared" si="50"/>
        <v>5.5899927802684365E-4</v>
      </c>
      <c r="F498" s="9">
        <f t="shared" si="51"/>
        <v>16.541945593778703</v>
      </c>
      <c r="G498" s="9">
        <f t="shared" si="52"/>
        <v>-2.2938411672445414E-2</v>
      </c>
      <c r="H498" s="9">
        <f t="shared" si="53"/>
        <v>1.1826618622775734E-2</v>
      </c>
      <c r="I498" s="9">
        <f t="shared" si="54"/>
        <v>-0.46402457398806074</v>
      </c>
      <c r="J498" s="9">
        <f t="shared" si="55"/>
        <v>16.066809226740975</v>
      </c>
    </row>
    <row r="499" spans="2:10" x14ac:dyDescent="0.25">
      <c r="B499" s="1">
        <v>43558</v>
      </c>
      <c r="C499" s="13">
        <v>48.838000000000001</v>
      </c>
      <c r="D499" s="6">
        <f t="shared" si="49"/>
        <v>6.8652716214823162E-3</v>
      </c>
      <c r="E499" s="14">
        <f t="shared" si="50"/>
        <v>5.6075322341452992E-4</v>
      </c>
      <c r="F499" s="9">
        <f t="shared" si="51"/>
        <v>16.538812853606437</v>
      </c>
      <c r="G499" s="9">
        <f t="shared" si="52"/>
        <v>-1.1439330251613498E-5</v>
      </c>
      <c r="H499" s="9">
        <f t="shared" si="53"/>
        <v>3.8103174995353445E-5</v>
      </c>
      <c r="I499" s="9">
        <f t="shared" si="54"/>
        <v>-4.3618345316361858E-3</v>
      </c>
      <c r="J499" s="9">
        <f t="shared" si="55"/>
        <v>16.534477682919544</v>
      </c>
    </row>
    <row r="500" spans="2:10" x14ac:dyDescent="0.25">
      <c r="B500" s="1">
        <v>43557</v>
      </c>
      <c r="C500" s="13">
        <v>48.505000000000003</v>
      </c>
      <c r="D500" s="6">
        <f t="shared" si="49"/>
        <v>1.4536707801715121E-2</v>
      </c>
      <c r="E500" s="14">
        <f t="shared" si="50"/>
        <v>5.6027071743296024E-4</v>
      </c>
      <c r="F500" s="9">
        <f t="shared" si="51"/>
        <v>16.539673684483969</v>
      </c>
      <c r="G500" s="9">
        <f t="shared" si="52"/>
        <v>-2.4556899699576161E-2</v>
      </c>
      <c r="H500" s="9">
        <f t="shared" si="53"/>
        <v>2.2015842168919317E-4</v>
      </c>
      <c r="I500" s="9">
        <f t="shared" si="54"/>
        <v>-6.1053049267133425E-4</v>
      </c>
      <c r="J500" s="9">
        <f t="shared" si="55"/>
        <v>16.514726412713411</v>
      </c>
    </row>
    <row r="501" spans="2:10" x14ac:dyDescent="0.25">
      <c r="B501" s="1">
        <v>43556</v>
      </c>
      <c r="C501" s="13">
        <v>47.81</v>
      </c>
      <c r="D501" s="6">
        <f t="shared" si="49"/>
        <v>6.7806603773585827E-3</v>
      </c>
      <c r="E501" s="14">
        <f t="shared" si="50"/>
        <v>5.6016916566094266E-4</v>
      </c>
      <c r="F501" s="9">
        <f t="shared" si="51"/>
        <v>16.53985495573971</v>
      </c>
      <c r="G501" s="9">
        <f t="shared" si="52"/>
        <v>-0.14919127623126385</v>
      </c>
      <c r="H501" s="9">
        <f t="shared" si="53"/>
        <v>1.1918611852754079E-3</v>
      </c>
      <c r="I501" s="9">
        <f t="shared" si="54"/>
        <v>-8.5263054578266887E-5</v>
      </c>
      <c r="J501" s="9">
        <f t="shared" si="55"/>
        <v>16.391770277639143</v>
      </c>
    </row>
    <row r="502" spans="2:10" x14ac:dyDescent="0.25">
      <c r="B502" s="1">
        <v>43553</v>
      </c>
      <c r="C502" s="13">
        <v>47.488</v>
      </c>
      <c r="D502" s="6">
        <f t="shared" si="49"/>
        <v>6.5281899109792541E-3</v>
      </c>
      <c r="E502" s="14">
        <f t="shared" si="50"/>
        <v>5.6184532488165787E-4</v>
      </c>
      <c r="F502" s="9">
        <f t="shared" si="51"/>
        <v>16.536867186006372</v>
      </c>
      <c r="G502" s="9">
        <f t="shared" si="52"/>
        <v>-2.3703326698379008E-2</v>
      </c>
      <c r="H502" s="9">
        <f t="shared" si="53"/>
        <v>1.6800230371460617E-3</v>
      </c>
      <c r="I502" s="9">
        <f t="shared" si="54"/>
        <v>-3.9378789911097235E-3</v>
      </c>
      <c r="J502" s="9">
        <f t="shared" si="55"/>
        <v>16.51090600335403</v>
      </c>
    </row>
    <row r="503" spans="2:10" x14ac:dyDescent="0.25">
      <c r="B503" s="1">
        <v>43552</v>
      </c>
      <c r="C503" s="13">
        <v>47.18</v>
      </c>
      <c r="D503" s="6">
        <f t="shared" si="49"/>
        <v>1.31584532450435E-3</v>
      </c>
      <c r="E503" s="14">
        <f t="shared" si="50"/>
        <v>5.6285291556263176E-4</v>
      </c>
      <c r="F503" s="9">
        <f t="shared" si="51"/>
        <v>16.53507543260212</v>
      </c>
      <c r="G503" s="9">
        <f t="shared" si="52"/>
        <v>-2.1399301421486029E-2</v>
      </c>
      <c r="H503" s="9">
        <f t="shared" si="53"/>
        <v>1.1644119375191361E-3</v>
      </c>
      <c r="I503" s="9">
        <f t="shared" si="54"/>
        <v>-1.2633091059950587E-3</v>
      </c>
      <c r="J503" s="9">
        <f t="shared" si="55"/>
        <v>16.51357723401216</v>
      </c>
    </row>
    <row r="504" spans="2:10" x14ac:dyDescent="0.25">
      <c r="B504" s="1">
        <v>43551</v>
      </c>
      <c r="C504" s="13">
        <v>47.118000000000002</v>
      </c>
      <c r="D504" s="6">
        <f t="shared" si="49"/>
        <v>8.9939611974816369E-3</v>
      </c>
      <c r="E504" s="14">
        <f t="shared" si="50"/>
        <v>5.6366024531474118E-4</v>
      </c>
      <c r="F504" s="9">
        <f t="shared" si="51"/>
        <v>16.533642107331961</v>
      </c>
      <c r="G504" s="9">
        <f t="shared" si="52"/>
        <v>-8.6329987630021933E-5</v>
      </c>
      <c r="H504" s="9">
        <f t="shared" si="53"/>
        <v>-6.572200152709928E-5</v>
      </c>
      <c r="I504" s="9">
        <f t="shared" si="54"/>
        <v>-7.4835937443834598E-4</v>
      </c>
      <c r="J504" s="9">
        <f t="shared" si="55"/>
        <v>16.532741695968365</v>
      </c>
    </row>
    <row r="505" spans="2:10" x14ac:dyDescent="0.25">
      <c r="B505" s="1">
        <v>43550</v>
      </c>
      <c r="C505" s="13">
        <v>46.698</v>
      </c>
      <c r="D505" s="6">
        <f t="shared" si="49"/>
        <v>-1.0321076613330593E-2</v>
      </c>
      <c r="E505" s="14">
        <f t="shared" si="50"/>
        <v>5.6331602981594996E-4</v>
      </c>
      <c r="F505" s="9">
        <f t="shared" si="51"/>
        <v>16.534252972914654</v>
      </c>
      <c r="G505" s="9">
        <f t="shared" si="52"/>
        <v>-4.8309973664928126E-2</v>
      </c>
      <c r="H505" s="9">
        <f t="shared" si="53"/>
        <v>4.416787093051008E-4</v>
      </c>
      <c r="I505" s="9">
        <f t="shared" si="54"/>
        <v>-3.7040144747464151E-4</v>
      </c>
      <c r="J505" s="9">
        <f t="shared" si="55"/>
        <v>16.486014276511554</v>
      </c>
    </row>
    <row r="506" spans="2:10" x14ac:dyDescent="0.25">
      <c r="B506" s="1">
        <v>43549</v>
      </c>
      <c r="C506" s="13">
        <v>47.185000000000002</v>
      </c>
      <c r="D506" s="6">
        <f t="shared" si="49"/>
        <v>-1.2101417415153914E-2</v>
      </c>
      <c r="E506" s="14">
        <f t="shared" si="50"/>
        <v>5.6281276876735283E-4</v>
      </c>
      <c r="F506" s="9">
        <f t="shared" si="51"/>
        <v>16.535146762475375</v>
      </c>
      <c r="G506" s="9">
        <f t="shared" si="52"/>
        <v>-0.12720690452115122</v>
      </c>
      <c r="H506" s="9">
        <f t="shared" si="53"/>
        <v>-4.6736236379965319E-4</v>
      </c>
      <c r="I506" s="9">
        <f t="shared" si="54"/>
        <v>-6.5865782606556002E-4</v>
      </c>
      <c r="J506" s="9">
        <f t="shared" si="55"/>
        <v>16.406813837764357</v>
      </c>
    </row>
    <row r="507" spans="2:10" x14ac:dyDescent="0.25">
      <c r="B507" s="1">
        <v>43546</v>
      </c>
      <c r="C507" s="13">
        <v>47.762999999999998</v>
      </c>
      <c r="D507" s="6">
        <f t="shared" si="49"/>
        <v>-2.0708178705431401E-2</v>
      </c>
      <c r="E507" s="14">
        <f t="shared" si="50"/>
        <v>5.6567742650984036E-4</v>
      </c>
      <c r="F507" s="9">
        <f t="shared" si="51"/>
        <v>16.53006977747771</v>
      </c>
      <c r="G507" s="9">
        <f t="shared" si="52"/>
        <v>-0.16708883971862615</v>
      </c>
      <c r="H507" s="9">
        <f t="shared" si="53"/>
        <v>-6.5782013244428663E-3</v>
      </c>
      <c r="I507" s="9">
        <f t="shared" si="54"/>
        <v>-1.2168889290875937E-2</v>
      </c>
      <c r="J507" s="9">
        <f t="shared" si="55"/>
        <v>16.344233847143762</v>
      </c>
    </row>
    <row r="508" spans="2:10" x14ac:dyDescent="0.25">
      <c r="B508" s="1">
        <v>43545</v>
      </c>
      <c r="C508" s="13">
        <v>48.773000000000003</v>
      </c>
      <c r="D508" s="6">
        <f t="shared" si="49"/>
        <v>3.6840986394558017E-2</v>
      </c>
      <c r="E508" s="14">
        <f t="shared" si="50"/>
        <v>5.6281321481193626E-4</v>
      </c>
      <c r="F508" s="9">
        <f t="shared" si="51"/>
        <v>16.535145969948211</v>
      </c>
      <c r="G508" s="9">
        <f t="shared" si="52"/>
        <v>-0.44450987549033949</v>
      </c>
      <c r="H508" s="9">
        <f t="shared" si="53"/>
        <v>6.054433584721625E-3</v>
      </c>
      <c r="I508" s="9">
        <f t="shared" si="54"/>
        <v>-1.4717805397092614E-2</v>
      </c>
      <c r="J508" s="9">
        <f t="shared" si="55"/>
        <v>16.081972722645499</v>
      </c>
    </row>
    <row r="509" spans="2:10" x14ac:dyDescent="0.25">
      <c r="B509" s="1">
        <v>43544</v>
      </c>
      <c r="C509" s="13">
        <v>47.04</v>
      </c>
      <c r="D509" s="6">
        <f t="shared" si="49"/>
        <v>8.7277250016082331E-3</v>
      </c>
      <c r="E509" s="14">
        <f t="shared" si="50"/>
        <v>5.5137086592210597E-4</v>
      </c>
      <c r="F509" s="9">
        <f t="shared" si="51"/>
        <v>16.555686114752724</v>
      </c>
      <c r="G509" s="9">
        <f t="shared" si="52"/>
        <v>-1.1277977871245342</v>
      </c>
      <c r="H509" s="9">
        <f t="shared" si="53"/>
        <v>-5.025263847548956E-2</v>
      </c>
      <c r="I509" s="9">
        <f t="shared" si="54"/>
        <v>-0.22365382624985738</v>
      </c>
      <c r="J509" s="9">
        <f t="shared" si="55"/>
        <v>15.153981862902844</v>
      </c>
    </row>
    <row r="510" spans="2:10" x14ac:dyDescent="0.25">
      <c r="B510" s="1">
        <v>43543</v>
      </c>
      <c r="C510" s="13">
        <v>46.633000000000003</v>
      </c>
      <c r="D510" s="6">
        <f t="shared" si="49"/>
        <v>-7.9140516966280661E-3</v>
      </c>
      <c r="E510" s="14">
        <f t="shared" si="50"/>
        <v>5.5255790696353429E-4</v>
      </c>
      <c r="F510" s="9">
        <f t="shared" si="51"/>
        <v>16.553535538505258</v>
      </c>
      <c r="G510" s="9">
        <f t="shared" si="52"/>
        <v>-4.5754961347274879E-2</v>
      </c>
      <c r="H510" s="9">
        <f t="shared" si="53"/>
        <v>1.8889475936639819E-3</v>
      </c>
      <c r="I510" s="9">
        <f t="shared" si="54"/>
        <v>-1.9277896232439723E-3</v>
      </c>
      <c r="J510" s="9">
        <f t="shared" si="55"/>
        <v>16.507741735128402</v>
      </c>
    </row>
    <row r="511" spans="2:10" x14ac:dyDescent="0.25">
      <c r="B511" s="1">
        <v>43542</v>
      </c>
      <c r="C511" s="13">
        <v>47.005000000000003</v>
      </c>
      <c r="D511" s="6">
        <f t="shared" si="49"/>
        <v>1.0208467655276277E-2</v>
      </c>
      <c r="E511" s="14">
        <f t="shared" si="50"/>
        <v>5.5295619169638626E-4</v>
      </c>
      <c r="F511" s="9">
        <f t="shared" si="51"/>
        <v>16.552814996360084</v>
      </c>
      <c r="G511" s="9">
        <f t="shared" si="52"/>
        <v>-8.2563253505066062E-2</v>
      </c>
      <c r="H511" s="9">
        <f t="shared" si="53"/>
        <v>-1.5301444469086633E-3</v>
      </c>
      <c r="I511" s="9">
        <f t="shared" si="54"/>
        <v>-1.3512336640759934E-4</v>
      </c>
      <c r="J511" s="9">
        <f t="shared" si="55"/>
        <v>16.4685864750417</v>
      </c>
    </row>
    <row r="512" spans="2:10" x14ac:dyDescent="0.25">
      <c r="B512" s="1">
        <v>43539</v>
      </c>
      <c r="C512" s="13">
        <v>46.53</v>
      </c>
      <c r="D512" s="6">
        <f t="shared" si="49"/>
        <v>1.299719156162249E-2</v>
      </c>
      <c r="E512" s="14">
        <f t="shared" si="50"/>
        <v>5.5252445568163531E-4</v>
      </c>
      <c r="F512" s="9">
        <f t="shared" si="51"/>
        <v>16.553596079299393</v>
      </c>
      <c r="G512" s="9">
        <f t="shared" si="52"/>
        <v>-6.6832791416462242E-2</v>
      </c>
      <c r="H512" s="9">
        <f t="shared" si="53"/>
        <v>4.2403840123659138E-4</v>
      </c>
      <c r="I512" s="9">
        <f t="shared" si="54"/>
        <v>-4.9646434818956156E-4</v>
      </c>
      <c r="J512" s="9">
        <f t="shared" si="55"/>
        <v>16.486690861935976</v>
      </c>
    </row>
    <row r="513" spans="2:10" x14ac:dyDescent="0.25">
      <c r="B513" s="1">
        <v>43538</v>
      </c>
      <c r="C513" s="13">
        <v>45.933</v>
      </c>
      <c r="D513" s="6">
        <f t="shared" si="49"/>
        <v>1.1116492031346459E-2</v>
      </c>
      <c r="E513" s="14">
        <f t="shared" si="50"/>
        <v>5.5089378572330922E-4</v>
      </c>
      <c r="F513" s="9">
        <f t="shared" si="51"/>
        <v>16.556551751200153</v>
      </c>
      <c r="G513" s="9">
        <f t="shared" si="52"/>
        <v>-0.11767773903619243</v>
      </c>
      <c r="H513" s="9">
        <f t="shared" si="53"/>
        <v>-1.2661778443533629E-3</v>
      </c>
      <c r="I513" s="9">
        <f t="shared" si="54"/>
        <v>-5.0838001847050684E-3</v>
      </c>
      <c r="J513" s="9">
        <f t="shared" si="55"/>
        <v>16.432524034134904</v>
      </c>
    </row>
    <row r="514" spans="2:10" x14ac:dyDescent="0.25">
      <c r="B514" s="1">
        <v>43537</v>
      </c>
      <c r="C514" s="13">
        <v>45.427999999999997</v>
      </c>
      <c r="D514" s="6">
        <f t="shared" si="49"/>
        <v>4.422039444591741E-3</v>
      </c>
      <c r="E514" s="14">
        <f t="shared" si="50"/>
        <v>5.4969989224248211E-4</v>
      </c>
      <c r="F514" s="9">
        <f t="shared" si="51"/>
        <v>16.558721296551951</v>
      </c>
      <c r="G514" s="9">
        <f t="shared" si="52"/>
        <v>-8.2145092648524182E-2</v>
      </c>
      <c r="H514" s="9">
        <f t="shared" si="53"/>
        <v>-5.0151988222501306E-4</v>
      </c>
      <c r="I514" s="9">
        <f t="shared" si="54"/>
        <v>-2.8506627374973851E-3</v>
      </c>
      <c r="J514" s="9">
        <f t="shared" si="55"/>
        <v>16.473224021283706</v>
      </c>
    </row>
    <row r="515" spans="2:10" x14ac:dyDescent="0.25">
      <c r="B515" s="1">
        <v>43536</v>
      </c>
      <c r="C515" s="13">
        <v>45.228000000000002</v>
      </c>
      <c r="D515" s="6">
        <f t="shared" si="49"/>
        <v>1.1246506428172154E-2</v>
      </c>
      <c r="E515" s="14">
        <f t="shared" si="50"/>
        <v>5.5474530027630246E-4</v>
      </c>
      <c r="F515" s="9">
        <f t="shared" si="51"/>
        <v>16.549584685398791</v>
      </c>
      <c r="G515" s="9">
        <f t="shared" si="52"/>
        <v>-7.0603644678197165E-3</v>
      </c>
      <c r="H515" s="9">
        <f t="shared" si="53"/>
        <v>2.1778226874686422E-3</v>
      </c>
      <c r="I515" s="9">
        <f t="shared" si="54"/>
        <v>-4.0451058689461819E-2</v>
      </c>
      <c r="J515" s="9">
        <f t="shared" si="55"/>
        <v>16.504251084928978</v>
      </c>
    </row>
    <row r="516" spans="2:10" x14ac:dyDescent="0.25">
      <c r="B516" s="1">
        <v>43535</v>
      </c>
      <c r="C516" s="13">
        <v>44.725000000000001</v>
      </c>
      <c r="D516" s="6">
        <f t="shared" si="49"/>
        <v>3.4630332192097768E-2</v>
      </c>
      <c r="E516" s="14">
        <f t="shared" si="50"/>
        <v>5.5417374802629871E-4</v>
      </c>
      <c r="F516" s="9">
        <f t="shared" si="51"/>
        <v>16.550615513215284</v>
      </c>
      <c r="G516" s="9">
        <f t="shared" si="52"/>
        <v>-8.3730060655702057E-2</v>
      </c>
      <c r="H516" s="9">
        <f t="shared" si="53"/>
        <v>2.9446885070065737E-4</v>
      </c>
      <c r="I516" s="9">
        <f t="shared" si="54"/>
        <v>-7.8782802292831167E-4</v>
      </c>
      <c r="J516" s="9">
        <f t="shared" si="55"/>
        <v>16.466392093387352</v>
      </c>
    </row>
    <row r="517" spans="2:10" x14ac:dyDescent="0.25">
      <c r="B517" s="1">
        <v>43532</v>
      </c>
      <c r="C517" s="13">
        <v>43.228000000000002</v>
      </c>
      <c r="D517" s="6">
        <f t="shared" si="49"/>
        <v>2.3884057971015338E-3</v>
      </c>
      <c r="E517" s="14">
        <f t="shared" si="50"/>
        <v>5.4874352260009067E-4</v>
      </c>
      <c r="F517" s="9">
        <f t="shared" si="51"/>
        <v>16.560462614986978</v>
      </c>
      <c r="G517" s="9">
        <f t="shared" si="52"/>
        <v>-0.99538310917103168</v>
      </c>
      <c r="H517" s="9">
        <f t="shared" si="53"/>
        <v>-2.0586763469673142E-2</v>
      </c>
      <c r="I517" s="9">
        <f t="shared" si="54"/>
        <v>-5.1616305723903952E-2</v>
      </c>
      <c r="J517" s="9">
        <f t="shared" si="55"/>
        <v>15.492876436622369</v>
      </c>
    </row>
    <row r="518" spans="2:10" x14ac:dyDescent="0.25">
      <c r="B518" s="1">
        <v>43531</v>
      </c>
      <c r="C518" s="13">
        <v>43.125</v>
      </c>
      <c r="D518" s="6">
        <f t="shared" si="49"/>
        <v>-1.1574604629841945E-2</v>
      </c>
      <c r="E518" s="14">
        <f t="shared" si="50"/>
        <v>5.4953335865315053E-4</v>
      </c>
      <c r="F518" s="9">
        <f t="shared" si="51"/>
        <v>16.55902429610272</v>
      </c>
      <c r="G518" s="9">
        <f t="shared" si="52"/>
        <v>-5.285591191461727E-4</v>
      </c>
      <c r="H518" s="9">
        <f t="shared" si="53"/>
        <v>1.629066004729661E-4</v>
      </c>
      <c r="I518" s="9">
        <f t="shared" si="54"/>
        <v>-7.8101330682263641E-4</v>
      </c>
      <c r="J518" s="9">
        <f t="shared" si="55"/>
        <v>16.557877630277222</v>
      </c>
    </row>
    <row r="519" spans="2:10" x14ac:dyDescent="0.25">
      <c r="B519" s="1">
        <v>43530</v>
      </c>
      <c r="C519" s="13">
        <v>43.63</v>
      </c>
      <c r="D519" s="6">
        <f t="shared" si="49"/>
        <v>-5.7653305380215292E-3</v>
      </c>
      <c r="E519" s="14">
        <f t="shared" si="50"/>
        <v>5.5480251584381077E-4</v>
      </c>
      <c r="F519" s="9">
        <f t="shared" si="51"/>
        <v>16.549481552272432</v>
      </c>
      <c r="G519" s="9">
        <f t="shared" si="52"/>
        <v>-0.15754014602979224</v>
      </c>
      <c r="H519" s="9">
        <f t="shared" si="53"/>
        <v>-1.068053586502319E-2</v>
      </c>
      <c r="I519" s="9">
        <f t="shared" si="54"/>
        <v>-4.420108267844601E-2</v>
      </c>
      <c r="J519" s="9">
        <f t="shared" si="55"/>
        <v>16.337059787699172</v>
      </c>
    </row>
    <row r="520" spans="2:10" x14ac:dyDescent="0.25">
      <c r="B520" s="1">
        <v>43529</v>
      </c>
      <c r="C520" s="13">
        <v>43.883000000000003</v>
      </c>
      <c r="D520" s="6">
        <f t="shared" si="49"/>
        <v>-1.8197120305710746E-3</v>
      </c>
      <c r="E520" s="14">
        <f t="shared" si="50"/>
        <v>5.5582017998766968E-4</v>
      </c>
      <c r="F520" s="9">
        <f t="shared" si="51"/>
        <v>16.547648950737294</v>
      </c>
      <c r="G520" s="9">
        <f t="shared" si="52"/>
        <v>-4.9308603193204022E-2</v>
      </c>
      <c r="H520" s="9">
        <f t="shared" si="53"/>
        <v>-1.7885897713260557E-3</v>
      </c>
      <c r="I520" s="9">
        <f t="shared" si="54"/>
        <v>-1.3433887819333191E-3</v>
      </c>
      <c r="J520" s="9">
        <f t="shared" si="55"/>
        <v>16.495208368990831</v>
      </c>
    </row>
    <row r="521" spans="2:10" x14ac:dyDescent="0.25">
      <c r="B521" s="1">
        <v>43528</v>
      </c>
      <c r="C521" s="13">
        <v>43.963000000000001</v>
      </c>
      <c r="D521" s="6">
        <f t="shared" si="49"/>
        <v>5.0293761287520944E-3</v>
      </c>
      <c r="E521" s="14">
        <f t="shared" si="50"/>
        <v>5.5616212715212099E-4</v>
      </c>
      <c r="F521" s="9">
        <f t="shared" si="51"/>
        <v>16.547033928046673</v>
      </c>
      <c r="G521" s="9">
        <f t="shared" si="52"/>
        <v>-1.0713953506288499E-2</v>
      </c>
      <c r="H521" s="9">
        <f t="shared" si="53"/>
        <v>-5.2379594682328402E-4</v>
      </c>
      <c r="I521" s="9">
        <f t="shared" si="54"/>
        <v>-8.2417924452225363E-5</v>
      </c>
      <c r="J521" s="9">
        <f t="shared" si="55"/>
        <v>16.535713760669108</v>
      </c>
    </row>
    <row r="522" spans="2:10" x14ac:dyDescent="0.25">
      <c r="B522" s="1">
        <v>43525</v>
      </c>
      <c r="C522" s="13">
        <v>43.743000000000002</v>
      </c>
      <c r="D522" s="6">
        <f t="shared" si="49"/>
        <v>1.0510996119016847E-2</v>
      </c>
      <c r="E522" s="14">
        <f t="shared" si="50"/>
        <v>5.5761400733225839E-4</v>
      </c>
      <c r="F522" s="9">
        <f t="shared" si="51"/>
        <v>16.544426795504378</v>
      </c>
      <c r="G522" s="9">
        <f t="shared" si="52"/>
        <v>-1.0408668849071498E-2</v>
      </c>
      <c r="H522" s="9">
        <f t="shared" si="53"/>
        <v>1.0163273800552182E-3</v>
      </c>
      <c r="I522" s="9">
        <f t="shared" si="54"/>
        <v>-2.9318229409385325E-3</v>
      </c>
      <c r="J522" s="9">
        <f t="shared" si="55"/>
        <v>16.532102631094425</v>
      </c>
    </row>
    <row r="523" spans="2:10" x14ac:dyDescent="0.25">
      <c r="B523" s="1">
        <v>43524</v>
      </c>
      <c r="C523" s="13">
        <v>43.287999999999997</v>
      </c>
      <c r="D523" s="6">
        <f t="shared" si="49"/>
        <v>-9.8357655885449313E-3</v>
      </c>
      <c r="E523" s="14">
        <f t="shared" si="50"/>
        <v>5.5649787660520453E-4</v>
      </c>
      <c r="F523" s="9">
        <f t="shared" si="51"/>
        <v>16.546430420304613</v>
      </c>
      <c r="G523" s="9">
        <f t="shared" si="52"/>
        <v>-7.1116827947602088E-2</v>
      </c>
      <c r="H523" s="9">
        <f t="shared" si="53"/>
        <v>-3.7199307331015589E-4</v>
      </c>
      <c r="I523" s="9">
        <f t="shared" si="54"/>
        <v>-2.5355664320498416E-3</v>
      </c>
      <c r="J523" s="9">
        <f t="shared" si="55"/>
        <v>16.472406032851648</v>
      </c>
    </row>
    <row r="524" spans="2:10" x14ac:dyDescent="0.25">
      <c r="B524" s="1">
        <v>43523</v>
      </c>
      <c r="C524" s="13">
        <v>43.718000000000004</v>
      </c>
      <c r="D524" s="6">
        <f t="shared" si="49"/>
        <v>3.0975380308837508E-3</v>
      </c>
      <c r="E524" s="14">
        <f t="shared" si="50"/>
        <v>5.5620097247316403E-4</v>
      </c>
      <c r="F524" s="9">
        <f t="shared" si="51"/>
        <v>16.546964085167001</v>
      </c>
      <c r="G524" s="9">
        <f t="shared" si="52"/>
        <v>-0.11847501740892931</v>
      </c>
      <c r="H524" s="9">
        <f t="shared" si="53"/>
        <v>-7.6818324460194447E-4</v>
      </c>
      <c r="I524" s="9">
        <f t="shared" si="54"/>
        <v>-2.8766220638301376E-4</v>
      </c>
      <c r="J524" s="9">
        <f t="shared" si="55"/>
        <v>16.427433222307087</v>
      </c>
    </row>
    <row r="525" spans="2:10" x14ac:dyDescent="0.25">
      <c r="B525" s="1">
        <v>43522</v>
      </c>
      <c r="C525" s="13">
        <v>43.582999999999998</v>
      </c>
      <c r="D525" s="6">
        <f t="shared" si="49"/>
        <v>5.739473805042028E-4</v>
      </c>
      <c r="E525" s="14">
        <f t="shared" si="50"/>
        <v>5.5749606215806471E-4</v>
      </c>
      <c r="F525" s="9">
        <f t="shared" si="51"/>
        <v>16.544638335473138</v>
      </c>
      <c r="G525" s="9">
        <f t="shared" si="52"/>
        <v>-1.944276103906285E-3</v>
      </c>
      <c r="H525" s="9">
        <f t="shared" si="53"/>
        <v>4.087261951025636E-4</v>
      </c>
      <c r="I525" s="9">
        <f t="shared" si="54"/>
        <v>-2.2826876341022241E-3</v>
      </c>
      <c r="J525" s="9">
        <f t="shared" si="55"/>
        <v>16.540820097930233</v>
      </c>
    </row>
    <row r="526" spans="2:10" x14ac:dyDescent="0.25">
      <c r="B526" s="1">
        <v>43521</v>
      </c>
      <c r="C526" s="13">
        <v>43.558</v>
      </c>
      <c r="D526" s="6">
        <f t="shared" si="49"/>
        <v>7.284415974839753E-3</v>
      </c>
      <c r="E526" s="14">
        <f t="shared" si="50"/>
        <v>5.5845685468653198E-4</v>
      </c>
      <c r="F526" s="9">
        <f t="shared" si="51"/>
        <v>16.542916411991669</v>
      </c>
      <c r="G526" s="9">
        <f t="shared" si="52"/>
        <v>-9.9644068185684304E-4</v>
      </c>
      <c r="H526" s="9">
        <f t="shared" si="53"/>
        <v>-2.4572514347848362E-4</v>
      </c>
      <c r="I526" s="9">
        <f t="shared" si="54"/>
        <v>-1.1611138682818805E-3</v>
      </c>
      <c r="J526" s="9">
        <f t="shared" si="55"/>
        <v>16.540513132298052</v>
      </c>
    </row>
    <row r="527" spans="2:10" x14ac:dyDescent="0.25">
      <c r="B527" s="1">
        <v>43518</v>
      </c>
      <c r="C527" s="13">
        <v>43.243000000000002</v>
      </c>
      <c r="D527" s="6">
        <f t="shared" si="49"/>
        <v>1.1177364667368295E-2</v>
      </c>
      <c r="E527" s="14">
        <f t="shared" si="50"/>
        <v>5.6009191486005336E-4</v>
      </c>
      <c r="F527" s="9">
        <f t="shared" si="51"/>
        <v>16.539992871449456</v>
      </c>
      <c r="G527" s="9">
        <f t="shared" si="52"/>
        <v>-2.8653431449243764E-2</v>
      </c>
      <c r="H527" s="9">
        <f t="shared" si="53"/>
        <v>1.8193308432210768E-3</v>
      </c>
      <c r="I527" s="9">
        <f t="shared" si="54"/>
        <v>-3.7576096919134986E-3</v>
      </c>
      <c r="J527" s="9">
        <f t="shared" si="55"/>
        <v>16.509401161151523</v>
      </c>
    </row>
    <row r="528" spans="2:10" x14ac:dyDescent="0.25">
      <c r="B528" s="1">
        <v>43517</v>
      </c>
      <c r="C528" s="13">
        <v>42.765000000000001</v>
      </c>
      <c r="D528" s="6">
        <f t="shared" ref="D528:D591" si="56">C528/C529-1</f>
        <v>-5.6501116071429047E-3</v>
      </c>
      <c r="E528" s="14">
        <f t="shared" ref="E528:E591" si="57">_xlfn.VAR.S(D528:D648)</f>
        <v>5.5950604039600954E-4</v>
      </c>
      <c r="F528" s="9">
        <f t="shared" si="51"/>
        <v>16.541039451634372</v>
      </c>
      <c r="G528" s="9">
        <f t="shared" si="52"/>
        <v>-8.1744149267890101E-2</v>
      </c>
      <c r="H528" s="9">
        <f t="shared" si="53"/>
        <v>2.7148994342777002E-4</v>
      </c>
      <c r="I528" s="9">
        <f t="shared" si="54"/>
        <v>-8.3374606212921422E-4</v>
      </c>
      <c r="J528" s="9">
        <f t="shared" si="55"/>
        <v>16.458733046247783</v>
      </c>
    </row>
    <row r="529" spans="2:10" x14ac:dyDescent="0.25">
      <c r="B529" s="1">
        <v>43516</v>
      </c>
      <c r="C529" s="13">
        <v>43.008000000000003</v>
      </c>
      <c r="D529" s="6">
        <f t="shared" si="56"/>
        <v>6.4353076077037219E-3</v>
      </c>
      <c r="E529" s="14">
        <f t="shared" si="57"/>
        <v>5.6018971010984777E-4</v>
      </c>
      <c r="F529" s="9">
        <f t="shared" ref="F529:F592" si="58">LN(2*PI())-LN($C$6)-LN(E529)-0.5*LN(1-POWER($C$7,2))</f>
        <v>16.539818280975307</v>
      </c>
      <c r="G529" s="9">
        <f t="shared" ref="G529:G592" si="59">-POWER(D528-1-$C$3,2)/(2*E529*(1-POWER($C$7,2)))</f>
        <v>-4.7410861669332956E-2</v>
      </c>
      <c r="H529" s="9">
        <f t="shared" ref="H529:H592" si="60">$C$7*(D528-1-$C$3)*(E528-E529-$C$5*$C$4)/(E529*$C$6*(1-POWER($C$7,2)))</f>
        <v>-1.4261473592129946E-3</v>
      </c>
      <c r="I529" s="9">
        <f t="shared" ref="I529:I592" si="61">-POWER(E528-E529-$C$5*$C$4+$C$4*E529,2)/(2*POWER($C$6,2)*E529*(1-POWER($C$7,2)))</f>
        <v>-5.1312267356274494E-4</v>
      </c>
      <c r="J529" s="9">
        <f t="shared" ref="J529:J592" si="62">SUM(F529:I529)</f>
        <v>16.490468149273198</v>
      </c>
    </row>
    <row r="530" spans="2:10" x14ac:dyDescent="0.25">
      <c r="B530" s="1">
        <v>43515</v>
      </c>
      <c r="C530" s="13">
        <v>42.732999999999997</v>
      </c>
      <c r="D530" s="6">
        <f t="shared" si="56"/>
        <v>3.0043422133552156E-3</v>
      </c>
      <c r="E530" s="14">
        <f t="shared" si="57"/>
        <v>5.5983470578962254E-4</v>
      </c>
      <c r="F530" s="9">
        <f t="shared" si="58"/>
        <v>16.5404522034632</v>
      </c>
      <c r="G530" s="9">
        <f t="shared" si="59"/>
        <v>-2.0706892514554341E-2</v>
      </c>
      <c r="H530" s="9">
        <f t="shared" si="60"/>
        <v>2.8321131635343022E-4</v>
      </c>
      <c r="I530" s="9">
        <f t="shared" si="61"/>
        <v>-3.8063417713855234E-4</v>
      </c>
      <c r="J530" s="9">
        <f t="shared" si="62"/>
        <v>16.519647888087864</v>
      </c>
    </row>
    <row r="531" spans="2:10" x14ac:dyDescent="0.25">
      <c r="B531" s="1">
        <v>43511</v>
      </c>
      <c r="C531" s="13">
        <v>42.604999999999997</v>
      </c>
      <c r="D531" s="6">
        <f t="shared" si="56"/>
        <v>-2.2248243559720438E-3</v>
      </c>
      <c r="E531" s="14">
        <f t="shared" si="57"/>
        <v>5.5976823955897605E-4</v>
      </c>
      <c r="F531" s="9">
        <f t="shared" si="58"/>
        <v>16.540570935252894</v>
      </c>
      <c r="G531" s="9">
        <f t="shared" si="59"/>
        <v>-1.6986689175432139E-3</v>
      </c>
      <c r="H531" s="9">
        <f t="shared" si="60"/>
        <v>1.3360430974238937E-4</v>
      </c>
      <c r="I531" s="9">
        <f t="shared" si="61"/>
        <v>-6.0603510199121824E-5</v>
      </c>
      <c r="J531" s="9">
        <f t="shared" si="62"/>
        <v>16.538945267134892</v>
      </c>
    </row>
    <row r="532" spans="2:10" x14ac:dyDescent="0.25">
      <c r="B532" s="1">
        <v>43510</v>
      </c>
      <c r="C532" s="13">
        <v>42.7</v>
      </c>
      <c r="D532" s="6">
        <f t="shared" si="56"/>
        <v>3.6432013162535082E-3</v>
      </c>
      <c r="E532" s="14">
        <f t="shared" si="57"/>
        <v>5.5978900256100771E-4</v>
      </c>
      <c r="F532" s="9">
        <f t="shared" si="58"/>
        <v>16.540533843800574</v>
      </c>
      <c r="G532" s="9">
        <f t="shared" si="59"/>
        <v>-1.3293535893251832E-2</v>
      </c>
      <c r="H532" s="9">
        <f t="shared" si="60"/>
        <v>-4.1813267967755229E-4</v>
      </c>
      <c r="I532" s="9">
        <f t="shared" si="61"/>
        <v>-1.7998799784359619E-5</v>
      </c>
      <c r="J532" s="9">
        <f t="shared" si="62"/>
        <v>16.526804176427863</v>
      </c>
    </row>
    <row r="533" spans="2:10" x14ac:dyDescent="0.25">
      <c r="B533" s="1">
        <v>43509</v>
      </c>
      <c r="C533" s="13">
        <v>42.545000000000002</v>
      </c>
      <c r="D533" s="6">
        <f t="shared" si="56"/>
        <v>-4.1663740842168284E-3</v>
      </c>
      <c r="E533" s="14">
        <f t="shared" si="57"/>
        <v>5.5955678420284308E-4</v>
      </c>
      <c r="F533" s="9">
        <f t="shared" si="58"/>
        <v>16.540948761807577</v>
      </c>
      <c r="G533" s="9">
        <f t="shared" si="59"/>
        <v>-3.6418882362094581E-3</v>
      </c>
      <c r="H533" s="9">
        <f t="shared" si="60"/>
        <v>1.5151042677030748E-4</v>
      </c>
      <c r="I533" s="9">
        <f t="shared" si="61"/>
        <v>-2.1045157481711397E-4</v>
      </c>
      <c r="J533" s="9">
        <f t="shared" si="62"/>
        <v>16.537247932423323</v>
      </c>
    </row>
    <row r="534" spans="2:10" x14ac:dyDescent="0.25">
      <c r="B534" s="1">
        <v>43508</v>
      </c>
      <c r="C534" s="13">
        <v>42.722999999999999</v>
      </c>
      <c r="D534" s="6">
        <f t="shared" si="56"/>
        <v>8.6170262996365654E-3</v>
      </c>
      <c r="E534" s="14">
        <f t="shared" si="57"/>
        <v>5.6004612147077585E-4</v>
      </c>
      <c r="F534" s="9">
        <f t="shared" si="58"/>
        <v>16.540074635281805</v>
      </c>
      <c r="G534" s="9">
        <f t="shared" si="59"/>
        <v>-3.0056950567190939E-2</v>
      </c>
      <c r="H534" s="9">
        <f t="shared" si="60"/>
        <v>-9.8702078061460954E-4</v>
      </c>
      <c r="I534" s="9">
        <f t="shared" si="61"/>
        <v>-2.1821392099662237E-4</v>
      </c>
      <c r="J534" s="9">
        <f t="shared" si="62"/>
        <v>16.508812450013007</v>
      </c>
    </row>
    <row r="535" spans="2:10" x14ac:dyDescent="0.25">
      <c r="B535" s="1">
        <v>43507</v>
      </c>
      <c r="C535" s="13">
        <v>42.357999999999997</v>
      </c>
      <c r="D535" s="6">
        <f t="shared" si="56"/>
        <v>-5.7507687252073003E-3</v>
      </c>
      <c r="E535" s="14">
        <f t="shared" si="57"/>
        <v>5.6306605762166382E-4</v>
      </c>
      <c r="F535" s="9">
        <f t="shared" si="58"/>
        <v>16.534696822654769</v>
      </c>
      <c r="G535" s="9">
        <f t="shared" si="59"/>
        <v>-4.3511915177758299E-2</v>
      </c>
      <c r="H535" s="9">
        <f t="shared" si="60"/>
        <v>3.5071975794000467E-3</v>
      </c>
      <c r="I535" s="9">
        <f t="shared" si="61"/>
        <v>-1.3696677952515673E-2</v>
      </c>
      <c r="J535" s="9">
        <f t="shared" si="62"/>
        <v>16.480995427103892</v>
      </c>
    </row>
    <row r="536" spans="2:10" x14ac:dyDescent="0.25">
      <c r="B536" s="1">
        <v>43504</v>
      </c>
      <c r="C536" s="13">
        <v>42.603000000000002</v>
      </c>
      <c r="D536" s="6">
        <f t="shared" si="56"/>
        <v>-3.0888030888029938E-3</v>
      </c>
      <c r="E536" s="14">
        <f t="shared" si="57"/>
        <v>5.6510105837183854E-4</v>
      </c>
      <c r="F536" s="9">
        <f t="shared" si="58"/>
        <v>16.53108919586181</v>
      </c>
      <c r="G536" s="9">
        <f t="shared" si="59"/>
        <v>-4.8307914594845264E-2</v>
      </c>
      <c r="H536" s="9">
        <f t="shared" si="60"/>
        <v>-2.7379015464868901E-3</v>
      </c>
      <c r="I536" s="9">
        <f t="shared" si="61"/>
        <v>-5.9078443923612656E-3</v>
      </c>
      <c r="J536" s="9">
        <f t="shared" si="62"/>
        <v>16.47413553532812</v>
      </c>
    </row>
    <row r="537" spans="2:10" x14ac:dyDescent="0.25">
      <c r="B537" s="1">
        <v>43503</v>
      </c>
      <c r="C537" s="13">
        <v>42.734999999999999</v>
      </c>
      <c r="D537" s="6">
        <f t="shared" si="56"/>
        <v>-1.8939393939394034E-2</v>
      </c>
      <c r="E537" s="14">
        <f t="shared" si="57"/>
        <v>5.651956209056767E-4</v>
      </c>
      <c r="F537" s="9">
        <f t="shared" si="58"/>
        <v>16.530921872475318</v>
      </c>
      <c r="G537" s="9">
        <f t="shared" si="59"/>
        <v>-1.9734678345743453E-2</v>
      </c>
      <c r="H537" s="9">
        <f t="shared" si="60"/>
        <v>-5.5255013696177402E-4</v>
      </c>
      <c r="I537" s="9">
        <f t="shared" si="61"/>
        <v>-2.5605470590213563E-6</v>
      </c>
      <c r="J537" s="9">
        <f t="shared" si="62"/>
        <v>16.510632083445554</v>
      </c>
    </row>
    <row r="538" spans="2:10" x14ac:dyDescent="0.25">
      <c r="B538" s="1">
        <v>43502</v>
      </c>
      <c r="C538" s="13">
        <v>43.56</v>
      </c>
      <c r="D538" s="6">
        <f t="shared" si="56"/>
        <v>3.4447123665182211E-4</v>
      </c>
      <c r="E538" s="14">
        <f t="shared" si="57"/>
        <v>5.628601683445437E-4</v>
      </c>
      <c r="F538" s="9">
        <f t="shared" si="58"/>
        <v>16.535062546935219</v>
      </c>
      <c r="G538" s="9">
        <f t="shared" si="59"/>
        <v>-0.37686324871868265</v>
      </c>
      <c r="H538" s="9">
        <f t="shared" si="60"/>
        <v>4.14588656923857E-3</v>
      </c>
      <c r="I538" s="9">
        <f t="shared" si="61"/>
        <v>-9.9787230134994881E-3</v>
      </c>
      <c r="J538" s="9">
        <f t="shared" si="62"/>
        <v>16.152366461772274</v>
      </c>
    </row>
    <row r="539" spans="2:10" x14ac:dyDescent="0.25">
      <c r="B539" s="1">
        <v>43501</v>
      </c>
      <c r="C539" s="13">
        <v>43.545000000000002</v>
      </c>
      <c r="D539" s="6">
        <f t="shared" si="56"/>
        <v>1.7097610538854946E-2</v>
      </c>
      <c r="E539" s="14">
        <f t="shared" si="57"/>
        <v>5.6332781645940298E-4</v>
      </c>
      <c r="F539" s="9">
        <f t="shared" si="58"/>
        <v>16.534232049455138</v>
      </c>
      <c r="G539" s="9">
        <f t="shared" si="59"/>
        <v>-1.4650839119331415E-3</v>
      </c>
      <c r="H539" s="9">
        <f t="shared" si="60"/>
        <v>-2.1362606089771273E-4</v>
      </c>
      <c r="I539" s="9">
        <f t="shared" si="61"/>
        <v>-1.8579801741351503E-4</v>
      </c>
      <c r="J539" s="9">
        <f t="shared" si="62"/>
        <v>16.532367541464893</v>
      </c>
    </row>
    <row r="540" spans="2:10" x14ac:dyDescent="0.25">
      <c r="B540" s="1">
        <v>43500</v>
      </c>
      <c r="C540" s="13">
        <v>42.813000000000002</v>
      </c>
      <c r="D540" s="6">
        <f t="shared" si="56"/>
        <v>2.8417006966130254E-2</v>
      </c>
      <c r="E540" s="14">
        <f t="shared" si="57"/>
        <v>5.6074348128509624E-4</v>
      </c>
      <c r="F540" s="9">
        <f t="shared" si="58"/>
        <v>16.538830227049253</v>
      </c>
      <c r="G540" s="9">
        <f t="shared" si="59"/>
        <v>-0.21403478525306696</v>
      </c>
      <c r="H540" s="9">
        <f t="shared" si="60"/>
        <v>-3.6380170248607228E-3</v>
      </c>
      <c r="I540" s="9">
        <f t="shared" si="61"/>
        <v>-1.2109177015415244E-2</v>
      </c>
      <c r="J540" s="9">
        <f t="shared" si="62"/>
        <v>16.309048247755911</v>
      </c>
    </row>
    <row r="541" spans="2:10" x14ac:dyDescent="0.25">
      <c r="B541" s="1">
        <v>43497</v>
      </c>
      <c r="C541" s="13">
        <v>41.63</v>
      </c>
      <c r="D541" s="6">
        <f t="shared" si="56"/>
        <v>4.806536890171742E-4</v>
      </c>
      <c r="E541" s="14">
        <f t="shared" si="57"/>
        <v>5.5403336814957441E-4</v>
      </c>
      <c r="F541" s="9">
        <f t="shared" si="58"/>
        <v>16.55086885913849</v>
      </c>
      <c r="G541" s="9">
        <f t="shared" si="59"/>
        <v>-0.64960849269149223</v>
      </c>
      <c r="H541" s="9">
        <f t="shared" si="60"/>
        <v>-2.1127552224216931E-2</v>
      </c>
      <c r="I541" s="9">
        <f t="shared" si="61"/>
        <v>-7.7687961819569135E-2</v>
      </c>
      <c r="J541" s="9">
        <f t="shared" si="62"/>
        <v>15.802444852403212</v>
      </c>
    </row>
    <row r="542" spans="2:10" x14ac:dyDescent="0.25">
      <c r="B542" s="1">
        <v>43496</v>
      </c>
      <c r="C542" s="13">
        <v>41.61</v>
      </c>
      <c r="D542" s="6">
        <f t="shared" si="56"/>
        <v>7.1890204051991979E-3</v>
      </c>
      <c r="E542" s="14">
        <f t="shared" si="57"/>
        <v>5.5404022568689159E-4</v>
      </c>
      <c r="F542" s="9">
        <f t="shared" si="58"/>
        <v>16.550856481734396</v>
      </c>
      <c r="G542" s="9">
        <f t="shared" si="59"/>
        <v>-1.1901669922567536E-3</v>
      </c>
      <c r="H542" s="9">
        <f t="shared" si="60"/>
        <v>-1.2363100265146747E-4</v>
      </c>
      <c r="I542" s="9">
        <f t="shared" si="61"/>
        <v>-1.9748046873831895E-5</v>
      </c>
      <c r="J542" s="9">
        <f t="shared" si="62"/>
        <v>16.549522935692615</v>
      </c>
    </row>
    <row r="543" spans="2:10" x14ac:dyDescent="0.25">
      <c r="B543" s="1">
        <v>43495</v>
      </c>
      <c r="C543" s="13">
        <v>41.313000000000002</v>
      </c>
      <c r="D543" s="6">
        <f t="shared" si="56"/>
        <v>6.8347556245151209E-2</v>
      </c>
      <c r="E543" s="14">
        <f t="shared" si="57"/>
        <v>5.5390132947188563E-4</v>
      </c>
      <c r="F543" s="9">
        <f t="shared" si="58"/>
        <v>16.551107210150686</v>
      </c>
      <c r="G543" s="9">
        <f t="shared" si="59"/>
        <v>-2.8004740155860314E-2</v>
      </c>
      <c r="H543" s="9">
        <f t="shared" si="60"/>
        <v>4.9156739954539768E-4</v>
      </c>
      <c r="I543" s="9">
        <f t="shared" si="61"/>
        <v>-1.0790010540504761E-4</v>
      </c>
      <c r="J543" s="9">
        <f t="shared" si="62"/>
        <v>16.523486137288966</v>
      </c>
    </row>
    <row r="544" spans="2:10" x14ac:dyDescent="0.25">
      <c r="B544" s="1">
        <v>43494</v>
      </c>
      <c r="C544" s="13">
        <v>38.67</v>
      </c>
      <c r="D544" s="6">
        <f t="shared" si="56"/>
        <v>-1.0364683301343547E-2</v>
      </c>
      <c r="E544" s="14">
        <f t="shared" si="57"/>
        <v>5.1317111120457808E-4</v>
      </c>
      <c r="F544" s="9">
        <f t="shared" si="58"/>
        <v>16.627484435727172</v>
      </c>
      <c r="G544" s="9">
        <f t="shared" si="59"/>
        <v>-4.3501661832975733</v>
      </c>
      <c r="H544" s="9">
        <f t="shared" si="60"/>
        <v>-0.38386687057296287</v>
      </c>
      <c r="I544" s="9">
        <f t="shared" si="61"/>
        <v>-2.9935041203069694</v>
      </c>
      <c r="J544" s="9">
        <f t="shared" si="62"/>
        <v>8.8999472615496664</v>
      </c>
    </row>
    <row r="545" spans="2:10" x14ac:dyDescent="0.25">
      <c r="B545" s="1">
        <v>43493</v>
      </c>
      <c r="C545" s="13">
        <v>39.075000000000003</v>
      </c>
      <c r="D545" s="6">
        <f t="shared" si="56"/>
        <v>-9.2545638945231712E-3</v>
      </c>
      <c r="E545" s="14">
        <f t="shared" si="57"/>
        <v>5.1281664317081059E-4</v>
      </c>
      <c r="F545" s="9">
        <f t="shared" si="58"/>
        <v>16.628175414827769</v>
      </c>
      <c r="G545" s="9">
        <f t="shared" si="59"/>
        <v>-0.14062959496794267</v>
      </c>
      <c r="H545" s="9">
        <f t="shared" si="60"/>
        <v>-7.7207995177759722E-4</v>
      </c>
      <c r="I545" s="9">
        <f t="shared" si="61"/>
        <v>-2.9104667502364163E-4</v>
      </c>
      <c r="J545" s="9">
        <f t="shared" si="62"/>
        <v>16.486482693233025</v>
      </c>
    </row>
    <row r="546" spans="2:10" x14ac:dyDescent="0.25">
      <c r="B546" s="1">
        <v>43490</v>
      </c>
      <c r="C546" s="13">
        <v>39.44</v>
      </c>
      <c r="D546" s="6">
        <f t="shared" si="56"/>
        <v>3.3136869679109449E-2</v>
      </c>
      <c r="E546" s="14">
        <f t="shared" si="57"/>
        <v>5.204584757651404E-4</v>
      </c>
      <c r="F546" s="9">
        <f t="shared" si="58"/>
        <v>16.613383668104824</v>
      </c>
      <c r="G546" s="9">
        <f t="shared" si="59"/>
        <v>-0.1140979027587507</v>
      </c>
      <c r="H546" s="9">
        <f t="shared" si="60"/>
        <v>-1.3052718713575261E-2</v>
      </c>
      <c r="I546" s="9">
        <f t="shared" si="61"/>
        <v>-0.1020310237702108</v>
      </c>
      <c r="J546" s="9">
        <f t="shared" si="62"/>
        <v>16.38420202286229</v>
      </c>
    </row>
    <row r="547" spans="2:10" x14ac:dyDescent="0.25">
      <c r="B547" s="1">
        <v>43489</v>
      </c>
      <c r="C547" s="13">
        <v>38.174999999999997</v>
      </c>
      <c r="D547" s="6">
        <f t="shared" si="56"/>
        <v>-7.926195426195437E-3</v>
      </c>
      <c r="E547" s="14">
        <f t="shared" si="57"/>
        <v>5.4092651167002227E-4</v>
      </c>
      <c r="F547" s="9">
        <f t="shared" si="58"/>
        <v>16.574810343717392</v>
      </c>
      <c r="G547" s="9">
        <f t="shared" si="59"/>
        <v>-0.9204466121960696</v>
      </c>
      <c r="H547" s="9">
        <f t="shared" si="60"/>
        <v>9.1610547140106496E-2</v>
      </c>
      <c r="I547" s="9">
        <f t="shared" si="61"/>
        <v>-0.70892533101255428</v>
      </c>
      <c r="J547" s="9">
        <f t="shared" si="62"/>
        <v>15.037048947648874</v>
      </c>
    </row>
    <row r="548" spans="2:10" x14ac:dyDescent="0.25">
      <c r="B548" s="1">
        <v>43488</v>
      </c>
      <c r="C548" s="13">
        <v>38.479999999999997</v>
      </c>
      <c r="D548" s="6">
        <f t="shared" si="56"/>
        <v>4.0443574690147699E-3</v>
      </c>
      <c r="E548" s="14">
        <f t="shared" si="57"/>
        <v>5.4068530150553338E-4</v>
      </c>
      <c r="F548" s="9">
        <f t="shared" si="58"/>
        <v>16.575256363565824</v>
      </c>
      <c r="G548" s="9">
        <f t="shared" si="59"/>
        <v>-8.4652101921355E-2</v>
      </c>
      <c r="H548" s="9">
        <f t="shared" si="60"/>
        <v>-7.3135314318629921E-4</v>
      </c>
      <c r="I548" s="9">
        <f t="shared" si="61"/>
        <v>-1.9151808703615663E-4</v>
      </c>
      <c r="J548" s="9">
        <f t="shared" si="62"/>
        <v>16.489681390414248</v>
      </c>
    </row>
    <row r="549" spans="2:10" x14ac:dyDescent="0.25">
      <c r="B549" s="1">
        <v>43487</v>
      </c>
      <c r="C549" s="13">
        <v>38.325000000000003</v>
      </c>
      <c r="D549" s="6">
        <f t="shared" si="56"/>
        <v>-2.2446116566764318E-2</v>
      </c>
      <c r="E549" s="14">
        <f t="shared" si="57"/>
        <v>5.4056811726690686E-4</v>
      </c>
      <c r="F549" s="9">
        <f t="shared" si="58"/>
        <v>16.5754731198545</v>
      </c>
      <c r="G549" s="9">
        <f t="shared" si="59"/>
        <v>-5.4195004726514976E-3</v>
      </c>
      <c r="H549" s="9">
        <f t="shared" si="60"/>
        <v>2.2607434686630027E-4</v>
      </c>
      <c r="I549" s="9">
        <f t="shared" si="61"/>
        <v>-7.5782278383206312E-5</v>
      </c>
      <c r="J549" s="9">
        <f t="shared" si="62"/>
        <v>16.570203911450331</v>
      </c>
    </row>
    <row r="550" spans="2:10" x14ac:dyDescent="0.25">
      <c r="B550" s="1">
        <v>43483</v>
      </c>
      <c r="C550" s="13">
        <v>39.204999999999998</v>
      </c>
      <c r="D550" s="6">
        <f t="shared" si="56"/>
        <v>6.1593737969971585E-3</v>
      </c>
      <c r="E550" s="14">
        <f t="shared" si="57"/>
        <v>5.3882439655248565E-4</v>
      </c>
      <c r="F550" s="9">
        <f t="shared" si="58"/>
        <v>16.578704052455898</v>
      </c>
      <c r="G550" s="9">
        <f t="shared" si="59"/>
        <v>-0.53936559941917539</v>
      </c>
      <c r="H550" s="9">
        <f t="shared" si="60"/>
        <v>3.1144127979223246E-3</v>
      </c>
      <c r="I550" s="9">
        <f t="shared" si="61"/>
        <v>-5.7682640620137157E-3</v>
      </c>
      <c r="J550" s="9">
        <f t="shared" si="62"/>
        <v>16.036684601772635</v>
      </c>
    </row>
    <row r="551" spans="2:10" x14ac:dyDescent="0.25">
      <c r="B551" s="1">
        <v>43482</v>
      </c>
      <c r="C551" s="13">
        <v>38.965000000000003</v>
      </c>
      <c r="D551" s="6">
        <f t="shared" si="56"/>
        <v>5.937782367368083E-3</v>
      </c>
      <c r="E551" s="14">
        <f t="shared" si="57"/>
        <v>5.3835218617888857E-4</v>
      </c>
      <c r="F551" s="9">
        <f t="shared" si="58"/>
        <v>16.579580808247691</v>
      </c>
      <c r="G551" s="9">
        <f t="shared" si="59"/>
        <v>-1.9132485069322983E-2</v>
      </c>
      <c r="H551" s="9">
        <f t="shared" si="60"/>
        <v>2.0465268712928326E-4</v>
      </c>
      <c r="I551" s="9">
        <f t="shared" si="61"/>
        <v>-5.4187260054653534E-4</v>
      </c>
      <c r="J551" s="9">
        <f t="shared" si="62"/>
        <v>16.560111103264948</v>
      </c>
    </row>
    <row r="552" spans="2:10" x14ac:dyDescent="0.25">
      <c r="B552" s="1">
        <v>43481</v>
      </c>
      <c r="C552" s="13">
        <v>38.734999999999999</v>
      </c>
      <c r="D552" s="6">
        <f t="shared" si="56"/>
        <v>1.2203407546775402E-2</v>
      </c>
      <c r="E552" s="14">
        <f t="shared" si="57"/>
        <v>5.3889008760471026E-4</v>
      </c>
      <c r="F552" s="9">
        <f t="shared" si="58"/>
        <v>16.578582144374913</v>
      </c>
      <c r="G552" s="9">
        <f t="shared" si="59"/>
        <v>-1.7289999782695041E-2</v>
      </c>
      <c r="H552" s="9">
        <f t="shared" si="60"/>
        <v>7.9187874791255761E-4</v>
      </c>
      <c r="I552" s="9">
        <f t="shared" si="61"/>
        <v>-3.4296272719877693E-4</v>
      </c>
      <c r="J552" s="9">
        <f t="shared" si="62"/>
        <v>16.561741060612931</v>
      </c>
    </row>
    <row r="553" spans="2:10" x14ac:dyDescent="0.25">
      <c r="B553" s="1">
        <v>43480</v>
      </c>
      <c r="C553" s="13">
        <v>38.268000000000001</v>
      </c>
      <c r="D553" s="6">
        <f t="shared" si="56"/>
        <v>2.0480000000000054E-2</v>
      </c>
      <c r="E553" s="14">
        <f t="shared" si="57"/>
        <v>5.379570762909224E-4</v>
      </c>
      <c r="F553" s="9">
        <f t="shared" si="58"/>
        <v>16.580315002255844</v>
      </c>
      <c r="G553" s="9">
        <f t="shared" si="59"/>
        <v>-0.10426855526903821</v>
      </c>
      <c r="H553" s="9">
        <f t="shared" si="60"/>
        <v>-1.919260752301246E-4</v>
      </c>
      <c r="I553" s="9">
        <f t="shared" si="61"/>
        <v>-1.7939578613438392E-3</v>
      </c>
      <c r="J553" s="9">
        <f t="shared" si="62"/>
        <v>16.47406056305023</v>
      </c>
    </row>
    <row r="554" spans="2:10" x14ac:dyDescent="0.25">
      <c r="B554" s="1">
        <v>43479</v>
      </c>
      <c r="C554" s="13">
        <v>37.5</v>
      </c>
      <c r="D554" s="6">
        <f t="shared" si="56"/>
        <v>-1.5050035458198718E-2</v>
      </c>
      <c r="E554" s="14">
        <f t="shared" si="57"/>
        <v>5.3392511768159514E-4</v>
      </c>
      <c r="F554" s="9">
        <f t="shared" si="58"/>
        <v>16.587838175322364</v>
      </c>
      <c r="G554" s="9">
        <f t="shared" si="59"/>
        <v>-0.33382417541613701</v>
      </c>
      <c r="H554" s="9">
        <f t="shared" si="60"/>
        <v>-8.4356794648895311E-3</v>
      </c>
      <c r="I554" s="9">
        <f t="shared" si="61"/>
        <v>-2.928930550889066E-2</v>
      </c>
      <c r="J554" s="9">
        <f t="shared" si="62"/>
        <v>16.21628901493245</v>
      </c>
    </row>
    <row r="555" spans="2:10" x14ac:dyDescent="0.25">
      <c r="B555" s="1">
        <v>43476</v>
      </c>
      <c r="C555" s="13">
        <v>38.073</v>
      </c>
      <c r="D555" s="6">
        <f t="shared" si="56"/>
        <v>-9.8049414824448178E-3</v>
      </c>
      <c r="E555" s="14">
        <f t="shared" si="57"/>
        <v>5.3244143687968025E-4</v>
      </c>
      <c r="F555" s="9">
        <f t="shared" si="58"/>
        <v>16.590620861544011</v>
      </c>
      <c r="G555" s="9">
        <f t="shared" si="59"/>
        <v>-0.26196139613974478</v>
      </c>
      <c r="H555" s="9">
        <f t="shared" si="60"/>
        <v>1.5811691228589161E-3</v>
      </c>
      <c r="I555" s="9">
        <f t="shared" si="61"/>
        <v>-4.2420980457048259E-3</v>
      </c>
      <c r="J555" s="9">
        <f t="shared" si="62"/>
        <v>16.325998536481418</v>
      </c>
    </row>
    <row r="556" spans="2:10" x14ac:dyDescent="0.25">
      <c r="B556" s="1">
        <v>43475</v>
      </c>
      <c r="C556" s="13">
        <v>38.450000000000003</v>
      </c>
      <c r="D556" s="6">
        <f t="shared" si="56"/>
        <v>3.1830515549988725E-3</v>
      </c>
      <c r="E556" s="14">
        <f t="shared" si="57"/>
        <v>5.3260317515867108E-4</v>
      </c>
      <c r="F556" s="9">
        <f t="shared" si="58"/>
        <v>16.590317140407066</v>
      </c>
      <c r="G556" s="9">
        <f t="shared" si="59"/>
        <v>-0.12305974421893326</v>
      </c>
      <c r="H556" s="9">
        <f t="shared" si="60"/>
        <v>-1.5280059562377078E-3</v>
      </c>
      <c r="I556" s="9">
        <f t="shared" si="61"/>
        <v>-1.1527006719626579E-5</v>
      </c>
      <c r="J556" s="9">
        <f t="shared" si="62"/>
        <v>16.465717863225173</v>
      </c>
    </row>
    <row r="557" spans="2:10" x14ac:dyDescent="0.25">
      <c r="B557" s="1">
        <v>43474</v>
      </c>
      <c r="C557" s="13">
        <v>38.328000000000003</v>
      </c>
      <c r="D557" s="6">
        <f t="shared" si="56"/>
        <v>1.6981532583315584E-2</v>
      </c>
      <c r="E557" s="14">
        <f t="shared" si="57"/>
        <v>5.3254889366012462E-4</v>
      </c>
      <c r="F557" s="9">
        <f t="shared" si="58"/>
        <v>16.590419062940349</v>
      </c>
      <c r="G557" s="9">
        <f t="shared" si="59"/>
        <v>-2.2790141582270805E-3</v>
      </c>
      <c r="H557" s="9">
        <f t="shared" si="60"/>
        <v>1.6129068660866567E-4</v>
      </c>
      <c r="I557" s="9">
        <f t="shared" si="61"/>
        <v>-3.1338836883651243E-5</v>
      </c>
      <c r="J557" s="9">
        <f t="shared" si="62"/>
        <v>16.588270000631848</v>
      </c>
    </row>
    <row r="558" spans="2:10" x14ac:dyDescent="0.25">
      <c r="B558" s="1">
        <v>43473</v>
      </c>
      <c r="C558" s="13">
        <v>37.688000000000002</v>
      </c>
      <c r="D558" s="6">
        <f t="shared" si="56"/>
        <v>1.9062812643647176E-2</v>
      </c>
      <c r="E558" s="14">
        <f t="shared" si="57"/>
        <v>5.2982902103721667E-4</v>
      </c>
      <c r="F558" s="9">
        <f t="shared" si="58"/>
        <v>16.595539422706427</v>
      </c>
      <c r="G558" s="9">
        <f t="shared" si="59"/>
        <v>-0.2231366960385899</v>
      </c>
      <c r="H558" s="9">
        <f t="shared" si="60"/>
        <v>-4.11183036524824E-3</v>
      </c>
      <c r="I558" s="9">
        <f t="shared" si="61"/>
        <v>-1.3625971668393655E-2</v>
      </c>
      <c r="J558" s="9">
        <f t="shared" si="62"/>
        <v>16.354664924634196</v>
      </c>
    </row>
    <row r="559" spans="2:10" x14ac:dyDescent="0.25">
      <c r="B559" s="1">
        <v>43472</v>
      </c>
      <c r="C559" s="13">
        <v>36.982999999999997</v>
      </c>
      <c r="D559" s="6">
        <f t="shared" si="56"/>
        <v>-2.2123296910832035E-3</v>
      </c>
      <c r="E559" s="14">
        <f t="shared" si="57"/>
        <v>5.2621314502828808E-4</v>
      </c>
      <c r="F559" s="9">
        <f t="shared" si="58"/>
        <v>16.602387426045112</v>
      </c>
      <c r="G559" s="9">
        <f t="shared" si="59"/>
        <v>-0.28970673409424275</v>
      </c>
      <c r="H559" s="9">
        <f t="shared" si="60"/>
        <v>-6.896488107093846E-3</v>
      </c>
      <c r="I559" s="9">
        <f t="shared" si="61"/>
        <v>-2.3846259355983196E-2</v>
      </c>
      <c r="J559" s="9">
        <f t="shared" si="62"/>
        <v>16.28193794448779</v>
      </c>
    </row>
    <row r="560" spans="2:10" x14ac:dyDescent="0.25">
      <c r="B560" s="1">
        <v>43469</v>
      </c>
      <c r="C560" s="13">
        <v>37.064999999999998</v>
      </c>
      <c r="D560" s="6">
        <f t="shared" si="56"/>
        <v>4.2674693372341421E-2</v>
      </c>
      <c r="E560" s="14">
        <f t="shared" si="57"/>
        <v>5.263091720820825E-4</v>
      </c>
      <c r="F560" s="9">
        <f t="shared" si="58"/>
        <v>16.602204955702202</v>
      </c>
      <c r="G560" s="9">
        <f t="shared" si="59"/>
        <v>-1.4047597563758552E-2</v>
      </c>
      <c r="H560" s="9">
        <f t="shared" si="60"/>
        <v>-4.8388956371275891E-4</v>
      </c>
      <c r="I560" s="9">
        <f t="shared" si="61"/>
        <v>-1.2070066151514912E-6</v>
      </c>
      <c r="J560" s="9">
        <f t="shared" si="62"/>
        <v>16.587672261568112</v>
      </c>
    </row>
    <row r="561" spans="2:10" x14ac:dyDescent="0.25">
      <c r="B561" s="1">
        <v>43468</v>
      </c>
      <c r="C561" s="13">
        <v>35.548000000000002</v>
      </c>
      <c r="D561" s="6">
        <f t="shared" si="56"/>
        <v>-9.9594731509625056E-2</v>
      </c>
      <c r="E561" s="14">
        <f t="shared" si="57"/>
        <v>5.1264314853185459E-4</v>
      </c>
      <c r="F561" s="9">
        <f t="shared" si="58"/>
        <v>16.628513789168753</v>
      </c>
      <c r="G561" s="9">
        <f t="shared" si="59"/>
        <v>-1.6481936960674994</v>
      </c>
      <c r="H561" s="9">
        <f t="shared" si="60"/>
        <v>-7.6168516006538123E-2</v>
      </c>
      <c r="I561" s="9">
        <f t="shared" si="61"/>
        <v>-0.33888135519192841</v>
      </c>
      <c r="J561" s="9">
        <f t="shared" si="62"/>
        <v>14.565270221902788</v>
      </c>
    </row>
    <row r="562" spans="2:10" x14ac:dyDescent="0.25">
      <c r="B562" s="1">
        <v>43467</v>
      </c>
      <c r="C562" s="13">
        <v>39.479999999999997</v>
      </c>
      <c r="D562" s="6">
        <f t="shared" si="56"/>
        <v>1.1411182959297772E-3</v>
      </c>
      <c r="E562" s="14">
        <f t="shared" si="57"/>
        <v>4.3382097499023673E-4</v>
      </c>
      <c r="F562" s="9">
        <f t="shared" si="58"/>
        <v>16.795461826412492</v>
      </c>
      <c r="G562" s="9">
        <f t="shared" si="59"/>
        <v>-11.843859407844992</v>
      </c>
      <c r="H562" s="9">
        <f t="shared" si="60"/>
        <v>1.3460827021684585</v>
      </c>
      <c r="I562" s="9">
        <f t="shared" si="61"/>
        <v>-13.202399854609055</v>
      </c>
      <c r="J562" s="9">
        <f t="shared" si="62"/>
        <v>-6.9047147338730968</v>
      </c>
    </row>
    <row r="563" spans="2:10" x14ac:dyDescent="0.25">
      <c r="B563" s="1">
        <v>43465</v>
      </c>
      <c r="C563" s="13">
        <v>39.435000000000002</v>
      </c>
      <c r="D563" s="6">
        <f t="shared" si="56"/>
        <v>9.6523119463363116E-3</v>
      </c>
      <c r="E563" s="14">
        <f t="shared" si="57"/>
        <v>4.337699884816916E-4</v>
      </c>
      <c r="F563" s="9">
        <f t="shared" si="58"/>
        <v>16.795579362234669</v>
      </c>
      <c r="G563" s="9">
        <f t="shared" si="59"/>
        <v>-2.7332426295859828E-4</v>
      </c>
      <c r="H563" s="9">
        <f t="shared" si="60"/>
        <v>-6.2163730511897468E-5</v>
      </c>
      <c r="I563" s="9">
        <f t="shared" si="61"/>
        <v>-2.2243019282187859E-6</v>
      </c>
      <c r="J563" s="9">
        <f t="shared" si="62"/>
        <v>16.795241649939271</v>
      </c>
    </row>
    <row r="564" spans="2:10" x14ac:dyDescent="0.25">
      <c r="B564" s="1">
        <v>43462</v>
      </c>
      <c r="C564" s="13">
        <v>39.058</v>
      </c>
      <c r="D564" s="6">
        <f t="shared" si="56"/>
        <v>5.1232132793699314E-4</v>
      </c>
      <c r="E564" s="14">
        <f t="shared" si="57"/>
        <v>4.3469124606563696E-4</v>
      </c>
      <c r="F564" s="9">
        <f t="shared" si="58"/>
        <v>16.793457775472117</v>
      </c>
      <c r="G564" s="9">
        <f t="shared" si="59"/>
        <v>-7.4294808972541038E-2</v>
      </c>
      <c r="H564" s="9">
        <f t="shared" si="60"/>
        <v>2.3509896950170356E-3</v>
      </c>
      <c r="I564" s="9">
        <f t="shared" si="61"/>
        <v>-2.1381455102294691E-3</v>
      </c>
      <c r="J564" s="9">
        <f t="shared" si="62"/>
        <v>16.719375810684362</v>
      </c>
    </row>
    <row r="565" spans="2:10" x14ac:dyDescent="0.25">
      <c r="B565" s="1">
        <v>43461</v>
      </c>
      <c r="C565" s="13">
        <v>39.037999999999997</v>
      </c>
      <c r="D565" s="6">
        <f t="shared" si="56"/>
        <v>-6.4897055455170882E-3</v>
      </c>
      <c r="E565" s="14">
        <f t="shared" si="57"/>
        <v>4.3657248871270212E-4</v>
      </c>
      <c r="F565" s="9">
        <f t="shared" si="58"/>
        <v>16.789139345826641</v>
      </c>
      <c r="G565" s="9">
        <f t="shared" si="59"/>
        <v>-1.4281310062682713E-3</v>
      </c>
      <c r="H565" s="9">
        <f t="shared" si="60"/>
        <v>-5.0654632312848249E-4</v>
      </c>
      <c r="I565" s="9">
        <f t="shared" si="61"/>
        <v>-8.1283027816041378E-3</v>
      </c>
      <c r="J565" s="9">
        <f t="shared" si="62"/>
        <v>16.779076365715643</v>
      </c>
    </row>
    <row r="566" spans="2:10" x14ac:dyDescent="0.25">
      <c r="B566" s="1">
        <v>43460</v>
      </c>
      <c r="C566" s="13">
        <v>39.292999999999999</v>
      </c>
      <c r="D566" s="6">
        <f t="shared" si="56"/>
        <v>7.0420616759289567E-2</v>
      </c>
      <c r="E566" s="14">
        <f t="shared" si="57"/>
        <v>4.3703749157245774E-4</v>
      </c>
      <c r="F566" s="9">
        <f t="shared" si="58"/>
        <v>16.788074790901302</v>
      </c>
      <c r="G566" s="9">
        <f t="shared" si="59"/>
        <v>-7.5601686794418546E-2</v>
      </c>
      <c r="H566" s="9">
        <f t="shared" si="60"/>
        <v>-1.7386152047665637E-3</v>
      </c>
      <c r="I566" s="9">
        <f t="shared" si="61"/>
        <v>-6.2302562555852786E-4</v>
      </c>
      <c r="J566" s="9">
        <f t="shared" si="62"/>
        <v>16.710111463276561</v>
      </c>
    </row>
    <row r="567" spans="2:10" x14ac:dyDescent="0.25">
      <c r="B567" s="1">
        <v>43458</v>
      </c>
      <c r="C567" s="13">
        <v>36.707999999999998</v>
      </c>
      <c r="D567" s="6">
        <f t="shared" si="56"/>
        <v>-2.5873736167502659E-2</v>
      </c>
      <c r="E567" s="14">
        <f t="shared" si="57"/>
        <v>3.9612643105057659E-4</v>
      </c>
      <c r="F567" s="9">
        <f t="shared" si="58"/>
        <v>16.886360344760568</v>
      </c>
      <c r="G567" s="9">
        <f t="shared" si="59"/>
        <v>-5.9911657153884281</v>
      </c>
      <c r="H567" s="9">
        <f t="shared" si="60"/>
        <v>-0.51506266731482975</v>
      </c>
      <c r="I567" s="9">
        <f t="shared" si="61"/>
        <v>-3.8755677467114853</v>
      </c>
      <c r="J567" s="9">
        <f t="shared" si="62"/>
        <v>6.504564215345825</v>
      </c>
    </row>
    <row r="568" spans="2:10" x14ac:dyDescent="0.25">
      <c r="B568" s="1">
        <v>43455</v>
      </c>
      <c r="C568" s="13">
        <v>37.683</v>
      </c>
      <c r="D568" s="6">
        <f t="shared" si="56"/>
        <v>-3.889512344419499E-2</v>
      </c>
      <c r="E568" s="14">
        <f t="shared" si="57"/>
        <v>3.9260858893656273E-4</v>
      </c>
      <c r="F568" s="9">
        <f t="shared" si="58"/>
        <v>16.895280616718651</v>
      </c>
      <c r="G568" s="9">
        <f t="shared" si="59"/>
        <v>-0.96603560154868673</v>
      </c>
      <c r="H568" s="9">
        <f t="shared" si="60"/>
        <v>1.4071857545346829E-2</v>
      </c>
      <c r="I568" s="9">
        <f t="shared" si="61"/>
        <v>-2.6666442851006663E-2</v>
      </c>
      <c r="J568" s="9">
        <f t="shared" si="62"/>
        <v>15.916650429864305</v>
      </c>
    </row>
    <row r="569" spans="2:10" x14ac:dyDescent="0.25">
      <c r="B569" s="1">
        <v>43454</v>
      </c>
      <c r="C569" s="13">
        <v>39.207999999999998</v>
      </c>
      <c r="D569" s="6">
        <f t="shared" si="56"/>
        <v>-2.5234318673395872E-2</v>
      </c>
      <c r="E569" s="14">
        <f t="shared" si="57"/>
        <v>3.8086514529330482E-4</v>
      </c>
      <c r="F569" s="9">
        <f t="shared" si="58"/>
        <v>16.925648412278424</v>
      </c>
      <c r="G569" s="9">
        <f t="shared" si="59"/>
        <v>-2.1620907015593707</v>
      </c>
      <c r="H569" s="9">
        <f t="shared" si="60"/>
        <v>8.6086314441935222E-2</v>
      </c>
      <c r="I569" s="9">
        <f t="shared" si="61"/>
        <v>-0.32484440208633408</v>
      </c>
      <c r="J569" s="9">
        <f t="shared" si="62"/>
        <v>14.524799623074653</v>
      </c>
    </row>
    <row r="570" spans="2:10" x14ac:dyDescent="0.25">
      <c r="B570" s="1">
        <v>43453</v>
      </c>
      <c r="C570" s="13">
        <v>40.222999999999999</v>
      </c>
      <c r="D570" s="6">
        <f t="shared" si="56"/>
        <v>-3.1191290524591797E-2</v>
      </c>
      <c r="E570" s="14">
        <f t="shared" si="57"/>
        <v>3.7657528192683223E-4</v>
      </c>
      <c r="F570" s="9">
        <f t="shared" si="58"/>
        <v>16.936975796139752</v>
      </c>
      <c r="G570" s="9">
        <f t="shared" si="59"/>
        <v>-0.96087611852136823</v>
      </c>
      <c r="H570" s="9">
        <f t="shared" si="60"/>
        <v>1.8401853011164492E-2</v>
      </c>
      <c r="I570" s="9">
        <f t="shared" si="61"/>
        <v>-4.1478566668707972E-2</v>
      </c>
      <c r="J570" s="9">
        <f t="shared" si="62"/>
        <v>15.953022963960841</v>
      </c>
    </row>
    <row r="571" spans="2:10" x14ac:dyDescent="0.25">
      <c r="B571" s="1">
        <v>43452</v>
      </c>
      <c r="C571" s="13">
        <v>41.518000000000001</v>
      </c>
      <c r="D571" s="6">
        <f t="shared" si="56"/>
        <v>1.3004757838233516E-2</v>
      </c>
      <c r="E571" s="14">
        <f t="shared" si="57"/>
        <v>3.6888449125584008E-4</v>
      </c>
      <c r="F571" s="9">
        <f t="shared" si="58"/>
        <v>16.957610212180015</v>
      </c>
      <c r="G571" s="9">
        <f t="shared" si="59"/>
        <v>-1.4642121879692156</v>
      </c>
      <c r="H571" s="9">
        <f t="shared" si="60"/>
        <v>4.5324358350517853E-2</v>
      </c>
      <c r="I571" s="9">
        <f t="shared" si="61"/>
        <v>-0.140874256666115</v>
      </c>
      <c r="J571" s="9">
        <f t="shared" si="62"/>
        <v>15.397848125895203</v>
      </c>
    </row>
    <row r="572" spans="2:10" x14ac:dyDescent="0.25">
      <c r="B572" s="1">
        <v>43451</v>
      </c>
      <c r="C572" s="13">
        <v>40.984999999999999</v>
      </c>
      <c r="D572" s="6">
        <f t="shared" si="56"/>
        <v>-9.3062605752960437E-3</v>
      </c>
      <c r="E572" s="14">
        <f t="shared" si="57"/>
        <v>3.6875083977712142E-4</v>
      </c>
      <c r="F572" s="9">
        <f t="shared" si="58"/>
        <v>16.957972590375739</v>
      </c>
      <c r="G572" s="9">
        <f t="shared" si="59"/>
        <v>-0.17603823180175171</v>
      </c>
      <c r="H572" s="9">
        <f t="shared" si="60"/>
        <v>1.5224646113025909E-3</v>
      </c>
      <c r="I572" s="9">
        <f t="shared" si="61"/>
        <v>-8.2047080818527186E-6</v>
      </c>
      <c r="J572" s="9">
        <f t="shared" si="62"/>
        <v>16.783448618477209</v>
      </c>
    </row>
    <row r="573" spans="2:10" x14ac:dyDescent="0.25">
      <c r="B573" s="1">
        <v>43448</v>
      </c>
      <c r="C573" s="13">
        <v>41.37</v>
      </c>
      <c r="D573" s="6">
        <f t="shared" si="56"/>
        <v>-3.2008984978239563E-2</v>
      </c>
      <c r="E573" s="14">
        <f t="shared" si="57"/>
        <v>3.6980369288917148E-4</v>
      </c>
      <c r="F573" s="9">
        <f t="shared" si="58"/>
        <v>16.955121470306217</v>
      </c>
      <c r="G573" s="9">
        <f t="shared" si="59"/>
        <v>-0.16210975020282548</v>
      </c>
      <c r="H573" s="9">
        <f t="shared" si="60"/>
        <v>-4.0528299522275763E-3</v>
      </c>
      <c r="I573" s="9">
        <f t="shared" si="61"/>
        <v>-3.8534462015235491E-3</v>
      </c>
      <c r="J573" s="9">
        <f t="shared" si="62"/>
        <v>16.785105443949636</v>
      </c>
    </row>
    <row r="574" spans="2:10" x14ac:dyDescent="0.25">
      <c r="B574" s="1">
        <v>43447</v>
      </c>
      <c r="C574" s="13">
        <v>42.738</v>
      </c>
      <c r="D574" s="6">
        <f t="shared" si="56"/>
        <v>1.0952099349497368E-2</v>
      </c>
      <c r="E574" s="14">
        <f t="shared" si="57"/>
        <v>3.6163326847755723E-4</v>
      </c>
      <c r="F574" s="9">
        <f t="shared" si="58"/>
        <v>16.977463147569836</v>
      </c>
      <c r="G574" s="9">
        <f t="shared" si="59"/>
        <v>-1.5689250694598111</v>
      </c>
      <c r="H574" s="9">
        <f t="shared" si="60"/>
        <v>5.0683808772528226E-2</v>
      </c>
      <c r="I574" s="9">
        <f t="shared" si="61"/>
        <v>-0.1621769952863526</v>
      </c>
      <c r="J574" s="9">
        <f t="shared" si="62"/>
        <v>15.297044891596199</v>
      </c>
    </row>
    <row r="575" spans="2:10" x14ac:dyDescent="0.25">
      <c r="B575" s="1">
        <v>43446</v>
      </c>
      <c r="C575" s="13">
        <v>42.274999999999999</v>
      </c>
      <c r="D575" s="6">
        <f t="shared" si="56"/>
        <v>2.7752739693533979E-3</v>
      </c>
      <c r="E575" s="14">
        <f t="shared" si="57"/>
        <v>3.6073840269729553E-4</v>
      </c>
      <c r="F575" s="9">
        <f t="shared" si="58"/>
        <v>16.979940726006877</v>
      </c>
      <c r="G575" s="9">
        <f t="shared" si="59"/>
        <v>-0.12087468041863746</v>
      </c>
      <c r="H575" s="9">
        <f t="shared" si="60"/>
        <v>-1.7944027394529663E-4</v>
      </c>
      <c r="I575" s="9">
        <f t="shared" si="61"/>
        <v>-1.2218230051071744E-3</v>
      </c>
      <c r="J575" s="9">
        <f t="shared" si="62"/>
        <v>16.857664782309186</v>
      </c>
    </row>
    <row r="576" spans="2:10" x14ac:dyDescent="0.25">
      <c r="B576" s="1">
        <v>43445</v>
      </c>
      <c r="C576" s="13">
        <v>42.158000000000001</v>
      </c>
      <c r="D576" s="6">
        <f t="shared" si="56"/>
        <v>-5.7075471698112556E-3</v>
      </c>
      <c r="E576" s="14">
        <f t="shared" si="57"/>
        <v>3.6084834748428704E-4</v>
      </c>
      <c r="F576" s="9">
        <f t="shared" si="58"/>
        <v>16.97963599538976</v>
      </c>
      <c r="G576" s="9">
        <f t="shared" si="59"/>
        <v>-1.8312840081650505E-3</v>
      </c>
      <c r="H576" s="9">
        <f t="shared" si="60"/>
        <v>2.1427318160415621E-4</v>
      </c>
      <c r="I576" s="9">
        <f t="shared" si="61"/>
        <v>-2.5225430369445943E-4</v>
      </c>
      <c r="J576" s="9">
        <f t="shared" si="62"/>
        <v>16.977766730259503</v>
      </c>
    </row>
    <row r="577" spans="2:10" x14ac:dyDescent="0.25">
      <c r="B577" s="1">
        <v>43444</v>
      </c>
      <c r="C577" s="13">
        <v>42.4</v>
      </c>
      <c r="D577" s="6">
        <f t="shared" si="56"/>
        <v>6.5759798684803528E-3</v>
      </c>
      <c r="E577" s="14">
        <f t="shared" si="57"/>
        <v>3.6263549768612266E-4</v>
      </c>
      <c r="F577" s="9">
        <f t="shared" si="58"/>
        <v>16.974695584214647</v>
      </c>
      <c r="G577" s="9">
        <f t="shared" si="59"/>
        <v>-7.43996472104302E-2</v>
      </c>
      <c r="H577" s="9">
        <f t="shared" si="60"/>
        <v>-3.8708373819408524E-3</v>
      </c>
      <c r="I577" s="9">
        <f t="shared" si="61"/>
        <v>-1.0069570348418041E-2</v>
      </c>
      <c r="J577" s="9">
        <f t="shared" si="62"/>
        <v>16.886355529273857</v>
      </c>
    </row>
    <row r="578" spans="2:10" x14ac:dyDescent="0.25">
      <c r="B578" s="1">
        <v>43441</v>
      </c>
      <c r="C578" s="13">
        <v>42.122999999999998</v>
      </c>
      <c r="D578" s="6">
        <f t="shared" si="56"/>
        <v>-3.5645604395604491E-2</v>
      </c>
      <c r="E578" s="14">
        <f t="shared" si="57"/>
        <v>3.6219084013093875E-4</v>
      </c>
      <c r="F578" s="9">
        <f t="shared" si="58"/>
        <v>16.97592251979291</v>
      </c>
      <c r="G578" s="9">
        <f t="shared" si="59"/>
        <v>-3.390673429757695E-2</v>
      </c>
      <c r="H578" s="9">
        <f t="shared" si="60"/>
        <v>3.5998990130700235E-4</v>
      </c>
      <c r="I578" s="9">
        <f t="shared" si="61"/>
        <v>-1.5051864489167414E-4</v>
      </c>
      <c r="J578" s="9">
        <f t="shared" si="62"/>
        <v>16.942225256751748</v>
      </c>
    </row>
    <row r="579" spans="2:10" x14ac:dyDescent="0.25">
      <c r="B579" s="1">
        <v>43440</v>
      </c>
      <c r="C579" s="13">
        <v>43.68</v>
      </c>
      <c r="D579" s="6">
        <f t="shared" si="56"/>
        <v>-1.1160663753876809E-2</v>
      </c>
      <c r="E579" s="14">
        <f t="shared" si="57"/>
        <v>3.5275923695849017E-4</v>
      </c>
      <c r="F579" s="9">
        <f t="shared" si="58"/>
        <v>17.002307999432539</v>
      </c>
      <c r="G579" s="9">
        <f t="shared" si="59"/>
        <v>-1.9749790163822605</v>
      </c>
      <c r="H579" s="9">
        <f t="shared" si="60"/>
        <v>6.742979196172591E-2</v>
      </c>
      <c r="I579" s="9">
        <f t="shared" si="61"/>
        <v>-0.2223449171752877</v>
      </c>
      <c r="J579" s="9">
        <f t="shared" si="62"/>
        <v>14.872413857836715</v>
      </c>
    </row>
    <row r="580" spans="2:10" x14ac:dyDescent="0.25">
      <c r="B580" s="1">
        <v>43438</v>
      </c>
      <c r="C580" s="13">
        <v>44.173000000000002</v>
      </c>
      <c r="D580" s="6">
        <f t="shared" si="56"/>
        <v>-4.3977924467048957E-2</v>
      </c>
      <c r="E580" s="14">
        <f t="shared" si="57"/>
        <v>3.5182146745011306E-4</v>
      </c>
      <c r="F580" s="9">
        <f t="shared" si="58"/>
        <v>17.004969923201521</v>
      </c>
      <c r="G580" s="9">
        <f t="shared" si="59"/>
        <v>-0.23309719358755751</v>
      </c>
      <c r="H580" s="9">
        <f t="shared" si="60"/>
        <v>3.6763325553211952E-4</v>
      </c>
      <c r="I580" s="9">
        <f t="shared" si="61"/>
        <v>-1.356985190596431E-3</v>
      </c>
      <c r="J580" s="9">
        <f t="shared" si="62"/>
        <v>16.770883377678899</v>
      </c>
    </row>
    <row r="581" spans="2:10" x14ac:dyDescent="0.25">
      <c r="B581" s="1">
        <v>43437</v>
      </c>
      <c r="C581" s="13">
        <v>46.204999999999998</v>
      </c>
      <c r="D581" s="6">
        <f t="shared" si="56"/>
        <v>3.4942322768507061E-2</v>
      </c>
      <c r="E581" s="14">
        <f t="shared" si="57"/>
        <v>3.3644989220237817E-4</v>
      </c>
      <c r="F581" s="9">
        <f t="shared" si="58"/>
        <v>17.04964454615174</v>
      </c>
      <c r="G581" s="9">
        <f t="shared" si="59"/>
        <v>-3.1000093486811853</v>
      </c>
      <c r="H581" s="9">
        <f t="shared" si="60"/>
        <v>0.14603814357035155</v>
      </c>
      <c r="I581" s="9">
        <f t="shared" si="61"/>
        <v>-0.62832440109540533</v>
      </c>
      <c r="J581" s="9">
        <f t="shared" si="62"/>
        <v>13.4673489399455</v>
      </c>
    </row>
    <row r="582" spans="2:10" x14ac:dyDescent="0.25">
      <c r="B582" s="1">
        <v>43434</v>
      </c>
      <c r="C582" s="13">
        <v>44.645000000000003</v>
      </c>
      <c r="D582" s="6">
        <f t="shared" si="56"/>
        <v>-5.4134735341292428E-3</v>
      </c>
      <c r="E582" s="14">
        <f t="shared" si="57"/>
        <v>3.2638755691675845E-4</v>
      </c>
      <c r="F582" s="9">
        <f t="shared" si="58"/>
        <v>17.080008275216883</v>
      </c>
      <c r="G582" s="9">
        <f t="shared" si="59"/>
        <v>-1.7052915301135854</v>
      </c>
      <c r="H582" s="9">
        <f t="shared" si="60"/>
        <v>-6.9899601390028307E-2</v>
      </c>
      <c r="I582" s="9">
        <f t="shared" si="61"/>
        <v>-0.27190907590516694</v>
      </c>
      <c r="J582" s="9">
        <f t="shared" si="62"/>
        <v>15.032908067808101</v>
      </c>
    </row>
    <row r="583" spans="2:10" x14ac:dyDescent="0.25">
      <c r="B583" s="1">
        <v>43433</v>
      </c>
      <c r="C583" s="13">
        <v>44.887999999999998</v>
      </c>
      <c r="D583" s="6">
        <f t="shared" si="56"/>
        <v>-7.6710511771858059E-3</v>
      </c>
      <c r="E583" s="14">
        <f t="shared" si="57"/>
        <v>3.262123429739209E-4</v>
      </c>
      <c r="F583" s="9">
        <f t="shared" si="58"/>
        <v>17.080545247248526</v>
      </c>
      <c r="G583" s="9">
        <f t="shared" si="59"/>
        <v>-7.6207840410392177E-2</v>
      </c>
      <c r="H583" s="9">
        <f t="shared" si="60"/>
        <v>-9.9869377851590727E-4</v>
      </c>
      <c r="I583" s="9">
        <f t="shared" si="61"/>
        <v>-2.0967386987739404E-5</v>
      </c>
      <c r="J583" s="9">
        <f t="shared" si="62"/>
        <v>17.003317745672629</v>
      </c>
    </row>
    <row r="584" spans="2:10" x14ac:dyDescent="0.25">
      <c r="B584" s="1">
        <v>43432</v>
      </c>
      <c r="C584" s="13">
        <v>45.234999999999999</v>
      </c>
      <c r="D584" s="6">
        <f t="shared" si="56"/>
        <v>3.8452708907254385E-2</v>
      </c>
      <c r="E584" s="14">
        <f t="shared" si="57"/>
        <v>3.2640254325905975E-4</v>
      </c>
      <c r="F584" s="9">
        <f t="shared" si="58"/>
        <v>17.079962360481655</v>
      </c>
      <c r="G584" s="9">
        <f t="shared" si="59"/>
        <v>-0.13283612134443429</v>
      </c>
      <c r="H584" s="9">
        <f t="shared" si="60"/>
        <v>-2.0878708383446258E-3</v>
      </c>
      <c r="I584" s="9">
        <f t="shared" si="61"/>
        <v>-5.7605478379839446E-4</v>
      </c>
      <c r="J584" s="9">
        <f t="shared" si="62"/>
        <v>16.944462313515075</v>
      </c>
    </row>
    <row r="585" spans="2:10" x14ac:dyDescent="0.25">
      <c r="B585" s="1">
        <v>43431</v>
      </c>
      <c r="C585" s="13">
        <v>43.56</v>
      </c>
      <c r="D585" s="6">
        <f t="shared" si="56"/>
        <v>-2.1761539342571856E-3</v>
      </c>
      <c r="E585" s="14">
        <f t="shared" si="57"/>
        <v>3.1375691684553032E-4</v>
      </c>
      <c r="F585" s="9">
        <f t="shared" si="58"/>
        <v>17.119475239463064</v>
      </c>
      <c r="G585" s="9">
        <f t="shared" si="59"/>
        <v>-2.167474356930799</v>
      </c>
      <c r="H585" s="9">
        <f t="shared" si="60"/>
        <v>-0.102794553919934</v>
      </c>
      <c r="I585" s="9">
        <f t="shared" si="61"/>
        <v>-0.45008224901053479</v>
      </c>
      <c r="J585" s="9">
        <f t="shared" si="62"/>
        <v>14.399124079601796</v>
      </c>
    </row>
    <row r="586" spans="2:10" x14ac:dyDescent="0.25">
      <c r="B586" s="1">
        <v>43430</v>
      </c>
      <c r="C586" s="13">
        <v>43.655000000000001</v>
      </c>
      <c r="D586" s="6">
        <f t="shared" si="56"/>
        <v>1.3511944837833356E-2</v>
      </c>
      <c r="E586" s="14">
        <f t="shared" si="57"/>
        <v>3.1388327082835024E-4</v>
      </c>
      <c r="F586" s="9">
        <f t="shared" si="58"/>
        <v>17.119072607550677</v>
      </c>
      <c r="G586" s="9">
        <f t="shared" si="59"/>
        <v>-2.3112800452083023E-2</v>
      </c>
      <c r="H586" s="9">
        <f t="shared" si="60"/>
        <v>-8.3089883033804989E-4</v>
      </c>
      <c r="I586" s="9">
        <f t="shared" si="61"/>
        <v>-4.8996262722514122E-4</v>
      </c>
      <c r="J586" s="9">
        <f t="shared" si="62"/>
        <v>17.094638945641034</v>
      </c>
    </row>
    <row r="587" spans="2:10" x14ac:dyDescent="0.25">
      <c r="B587" s="1">
        <v>43427</v>
      </c>
      <c r="C587" s="13">
        <v>43.073</v>
      </c>
      <c r="D587" s="6">
        <f t="shared" si="56"/>
        <v>-2.5387487272315878E-2</v>
      </c>
      <c r="E587" s="14">
        <f t="shared" si="57"/>
        <v>3.1278953192882017E-4</v>
      </c>
      <c r="F587" s="9">
        <f t="shared" si="58"/>
        <v>17.122563232978397</v>
      </c>
      <c r="G587" s="9">
        <f t="shared" si="59"/>
        <v>-0.2264487409949465</v>
      </c>
      <c r="H587" s="9">
        <f t="shared" si="60"/>
        <v>-8.2248999813389675E-4</v>
      </c>
      <c r="I587" s="9">
        <f t="shared" si="61"/>
        <v>-1.9390645129767632E-3</v>
      </c>
      <c r="J587" s="9">
        <f t="shared" si="62"/>
        <v>16.89335293747234</v>
      </c>
    </row>
    <row r="588" spans="2:10" x14ac:dyDescent="0.25">
      <c r="B588" s="1">
        <v>43425</v>
      </c>
      <c r="C588" s="13">
        <v>44.195</v>
      </c>
      <c r="D588" s="6">
        <f t="shared" si="56"/>
        <v>-1.1300711944851605E-3</v>
      </c>
      <c r="E588" s="14">
        <f t="shared" si="57"/>
        <v>3.0833491952101294E-4</v>
      </c>
      <c r="F588" s="9">
        <f t="shared" si="58"/>
        <v>17.136907182165302</v>
      </c>
      <c r="G588" s="9">
        <f t="shared" si="59"/>
        <v>-1.1869576758653733</v>
      </c>
      <c r="H588" s="9">
        <f t="shared" si="60"/>
        <v>2.3670010248535617E-2</v>
      </c>
      <c r="I588" s="9">
        <f t="shared" si="61"/>
        <v>-5.1944041219876745E-2</v>
      </c>
      <c r="J588" s="9">
        <f t="shared" si="62"/>
        <v>15.921675475328588</v>
      </c>
    </row>
    <row r="589" spans="2:10" x14ac:dyDescent="0.25">
      <c r="B589" s="1">
        <v>43424</v>
      </c>
      <c r="C589" s="13">
        <v>44.244999999999997</v>
      </c>
      <c r="D589" s="6">
        <f t="shared" si="56"/>
        <v>-4.7777897342085596E-2</v>
      </c>
      <c r="E589" s="14">
        <f t="shared" si="57"/>
        <v>3.1115025591711443E-4</v>
      </c>
      <c r="F589" s="9">
        <f t="shared" si="58"/>
        <v>17.127817841886056</v>
      </c>
      <c r="G589" s="9">
        <f t="shared" si="59"/>
        <v>-1.2254312539361101E-2</v>
      </c>
      <c r="H589" s="9">
        <f t="shared" si="60"/>
        <v>-2.3697042210137128E-3</v>
      </c>
      <c r="I589" s="9">
        <f t="shared" si="61"/>
        <v>-2.8560265834415947E-2</v>
      </c>
      <c r="J589" s="9">
        <f t="shared" si="62"/>
        <v>17.084633559291266</v>
      </c>
    </row>
    <row r="590" spans="2:10" x14ac:dyDescent="0.25">
      <c r="B590" s="1">
        <v>43423</v>
      </c>
      <c r="C590" s="13">
        <v>46.465000000000003</v>
      </c>
      <c r="D590" s="6">
        <f t="shared" si="56"/>
        <v>-3.9642023024616058E-2</v>
      </c>
      <c r="E590" s="14">
        <f t="shared" si="57"/>
        <v>2.9230265086324739E-4</v>
      </c>
      <c r="F590" s="9">
        <f t="shared" si="58"/>
        <v>17.19030403433144</v>
      </c>
      <c r="G590" s="9">
        <f t="shared" si="59"/>
        <v>-4.1876140959040642</v>
      </c>
      <c r="H590" s="9">
        <f t="shared" si="60"/>
        <v>0.22554368563118954</v>
      </c>
      <c r="I590" s="9">
        <f t="shared" si="61"/>
        <v>-1.0852093451552787</v>
      </c>
      <c r="J590" s="9">
        <f t="shared" si="62"/>
        <v>12.143024278903287</v>
      </c>
    </row>
    <row r="591" spans="2:10" x14ac:dyDescent="0.25">
      <c r="B591" s="1">
        <v>43420</v>
      </c>
      <c r="C591" s="13">
        <v>48.383000000000003</v>
      </c>
      <c r="D591" s="6">
        <f t="shared" si="56"/>
        <v>1.1075585647712716E-2</v>
      </c>
      <c r="E591" s="14">
        <f t="shared" si="57"/>
        <v>2.7910189729586741E-4</v>
      </c>
      <c r="F591" s="9">
        <f t="shared" si="58"/>
        <v>17.236516836962608</v>
      </c>
      <c r="G591" s="9">
        <f t="shared" si="59"/>
        <v>-3.0601745590846745</v>
      </c>
      <c r="H591" s="9">
        <f t="shared" si="60"/>
        <v>0.13557298022540762</v>
      </c>
      <c r="I591" s="9">
        <f t="shared" si="61"/>
        <v>-0.54752995291982742</v>
      </c>
      <c r="J591" s="9">
        <f t="shared" si="62"/>
        <v>13.764385305183513</v>
      </c>
    </row>
    <row r="592" spans="2:10" x14ac:dyDescent="0.25">
      <c r="B592" s="1">
        <v>43419</v>
      </c>
      <c r="C592" s="13">
        <v>47.853000000000002</v>
      </c>
      <c r="D592" s="6">
        <f t="shared" ref="D592:D655" si="63">C592/C593-1</f>
        <v>2.4689507494646712E-2</v>
      </c>
      <c r="E592" s="14">
        <f t="shared" ref="E592:E655" si="64">_xlfn.VAR.S(D592:D712)</f>
        <v>2.7826697369677484E-4</v>
      </c>
      <c r="F592" s="9">
        <f t="shared" si="58"/>
        <v>17.239512785488067</v>
      </c>
      <c r="G592" s="9">
        <f t="shared" si="59"/>
        <v>-0.16087670026968739</v>
      </c>
      <c r="H592" s="9">
        <f t="shared" si="60"/>
        <v>-8.5209563080152671E-5</v>
      </c>
      <c r="I592" s="9">
        <f t="shared" si="61"/>
        <v>-8.1127696996960083E-4</v>
      </c>
      <c r="J592" s="9">
        <f t="shared" si="62"/>
        <v>17.07773959868533</v>
      </c>
    </row>
    <row r="593" spans="2:10" x14ac:dyDescent="0.25">
      <c r="B593" s="1">
        <v>43418</v>
      </c>
      <c r="C593" s="13">
        <v>46.7</v>
      </c>
      <c r="D593" s="6">
        <f t="shared" si="63"/>
        <v>-2.8257522160722415E-2</v>
      </c>
      <c r="E593" s="14">
        <f t="shared" si="64"/>
        <v>2.7329361584519838E-4</v>
      </c>
      <c r="F593" s="9">
        <f t="shared" ref="F593:F656" si="65">LN(2*PI())-LN($C$6)-LN(E593)-0.5*LN(1-POWER($C$7,2))</f>
        <v>17.257547042240304</v>
      </c>
      <c r="G593" s="9">
        <f t="shared" ref="G593:G656" si="66">-POWER(D592-1-$C$3,2)/(2*E593*(1-POWER($C$7,2)))</f>
        <v>-0.97594130194582951</v>
      </c>
      <c r="H593" s="9">
        <f t="shared" ref="H593:H656" si="67">$C$7*(D592-1-$C$3)*(E592-E593-$C$5*$C$4)/(E593*$C$6*(1-POWER($C$7,2)))</f>
        <v>-2.6034433550183939E-2</v>
      </c>
      <c r="I593" s="9">
        <f t="shared" ref="I593:I656" si="68">-POWER(E592-E593-$C$5*$C$4+$C$4*E593,2)/(2*POWER($C$6,2)*E593*(1-POWER($C$7,2)))</f>
        <v>-7.2292342770127999E-2</v>
      </c>
      <c r="J593" s="9">
        <f t="shared" ref="J593:J656" si="69">SUM(F593:I593)</f>
        <v>16.183278963974161</v>
      </c>
    </row>
    <row r="594" spans="2:10" x14ac:dyDescent="0.25">
      <c r="B594" s="1">
        <v>43417</v>
      </c>
      <c r="C594" s="13">
        <v>48.058</v>
      </c>
      <c r="D594" s="6">
        <f t="shared" si="63"/>
        <v>-9.9911418742145708E-3</v>
      </c>
      <c r="E594" s="14">
        <f t="shared" si="64"/>
        <v>2.6656418858101398E-4</v>
      </c>
      <c r="F594" s="9">
        <f t="shared" si="65"/>
        <v>17.28247870306965</v>
      </c>
      <c r="G594" s="9">
        <f t="shared" si="66"/>
        <v>-1.6801739164676619</v>
      </c>
      <c r="H594" s="9">
        <f t="shared" si="67"/>
        <v>4.9145606853442679E-2</v>
      </c>
      <c r="I594" s="9">
        <f t="shared" si="68"/>
        <v>-0.14060154210763129</v>
      </c>
      <c r="J594" s="9">
        <f t="shared" si="69"/>
        <v>15.510848851347799</v>
      </c>
    </row>
    <row r="595" spans="2:10" x14ac:dyDescent="0.25">
      <c r="B595" s="1">
        <v>43416</v>
      </c>
      <c r="C595" s="13">
        <v>48.542999999999999</v>
      </c>
      <c r="D595" s="6">
        <f t="shared" si="63"/>
        <v>-5.037364529128685E-2</v>
      </c>
      <c r="E595" s="14">
        <f t="shared" si="64"/>
        <v>2.6597403709581707E-4</v>
      </c>
      <c r="F595" s="9">
        <f t="shared" si="65"/>
        <v>17.284695076273774</v>
      </c>
      <c r="G595" s="9">
        <f t="shared" si="66"/>
        <v>-0.254515042195191</v>
      </c>
      <c r="H595" s="9">
        <f t="shared" si="67"/>
        <v>-6.809932923485402E-4</v>
      </c>
      <c r="I595" s="9">
        <f t="shared" si="68"/>
        <v>-1.8250449934686908E-4</v>
      </c>
      <c r="J595" s="9">
        <f t="shared" si="69"/>
        <v>17.029316536286888</v>
      </c>
    </row>
    <row r="596" spans="2:10" x14ac:dyDescent="0.25">
      <c r="B596" s="1">
        <v>43413</v>
      </c>
      <c r="C596" s="13">
        <v>51.118000000000002</v>
      </c>
      <c r="D596" s="6">
        <f t="shared" si="63"/>
        <v>-1.9281315350229145E-2</v>
      </c>
      <c r="E596" s="14">
        <f t="shared" si="64"/>
        <v>2.4437479633142431E-4</v>
      </c>
      <c r="F596" s="9">
        <f t="shared" si="65"/>
        <v>17.369390678075973</v>
      </c>
      <c r="G596" s="9">
        <f t="shared" si="66"/>
        <v>-5.5490693379668299</v>
      </c>
      <c r="H596" s="9">
        <f t="shared" si="67"/>
        <v>0.32724772026552446</v>
      </c>
      <c r="I596" s="9">
        <f t="shared" si="68"/>
        <v>-1.6994371942061111</v>
      </c>
      <c r="J596" s="9">
        <f t="shared" si="69"/>
        <v>10.448131866168557</v>
      </c>
    </row>
    <row r="597" spans="2:10" x14ac:dyDescent="0.25">
      <c r="B597" s="1">
        <v>43412</v>
      </c>
      <c r="C597" s="13">
        <v>52.122999999999998</v>
      </c>
      <c r="D597" s="6">
        <f t="shared" si="63"/>
        <v>-6.9539704313367201E-3</v>
      </c>
      <c r="E597" s="14">
        <f t="shared" si="64"/>
        <v>2.4128141027819679E-4</v>
      </c>
      <c r="F597" s="9">
        <f t="shared" si="65"/>
        <v>17.382129845600456</v>
      </c>
      <c r="G597" s="9">
        <f t="shared" si="66"/>
        <v>-0.90861935407118566</v>
      </c>
      <c r="H597" s="9">
        <f t="shared" si="67"/>
        <v>1.4688845012588365E-2</v>
      </c>
      <c r="I597" s="9">
        <f t="shared" si="68"/>
        <v>-2.7738526625799932E-2</v>
      </c>
      <c r="J597" s="9">
        <f t="shared" si="69"/>
        <v>16.460460809916061</v>
      </c>
    </row>
    <row r="598" spans="2:10" x14ac:dyDescent="0.25">
      <c r="B598" s="1">
        <v>43411</v>
      </c>
      <c r="C598" s="13">
        <v>52.488</v>
      </c>
      <c r="D598" s="6">
        <f t="shared" si="63"/>
        <v>3.0328013662328512E-2</v>
      </c>
      <c r="E598" s="14">
        <f t="shared" si="64"/>
        <v>2.4092980877946543E-4</v>
      </c>
      <c r="F598" s="9">
        <f t="shared" si="65"/>
        <v>17.383588134197424</v>
      </c>
      <c r="G598" s="9">
        <f t="shared" si="66"/>
        <v>-0.1532748337008433</v>
      </c>
      <c r="H598" s="9">
        <f t="shared" si="67"/>
        <v>-1.1835164281082599E-3</v>
      </c>
      <c r="I598" s="9">
        <f t="shared" si="68"/>
        <v>-9.8794943987616658E-6</v>
      </c>
      <c r="J598" s="9">
        <f t="shared" si="69"/>
        <v>17.229119904574073</v>
      </c>
    </row>
    <row r="599" spans="2:10" x14ac:dyDescent="0.25">
      <c r="B599" s="1">
        <v>43410</v>
      </c>
      <c r="C599" s="13">
        <v>50.942999999999998</v>
      </c>
      <c r="D599" s="6">
        <f t="shared" si="63"/>
        <v>1.0813921187348585E-2</v>
      </c>
      <c r="E599" s="14">
        <f t="shared" si="64"/>
        <v>2.3416263722846563E-4</v>
      </c>
      <c r="F599" s="9">
        <f t="shared" si="65"/>
        <v>17.412077870562392</v>
      </c>
      <c r="G599" s="9">
        <f t="shared" si="66"/>
        <v>-1.7640853211049277</v>
      </c>
      <c r="H599" s="9">
        <f t="shared" si="67"/>
        <v>-5.4071163078389217E-2</v>
      </c>
      <c r="I599" s="9">
        <f t="shared" si="68"/>
        <v>-0.15926053306845286</v>
      </c>
      <c r="J599" s="9">
        <f t="shared" si="69"/>
        <v>15.434660853310623</v>
      </c>
    </row>
    <row r="600" spans="2:10" x14ac:dyDescent="0.25">
      <c r="B600" s="1">
        <v>43409</v>
      </c>
      <c r="C600" s="13">
        <v>50.398000000000003</v>
      </c>
      <c r="D600" s="6">
        <f t="shared" si="63"/>
        <v>-2.8378638904954623E-2</v>
      </c>
      <c r="E600" s="14">
        <f t="shared" si="64"/>
        <v>2.3393294162215675E-4</v>
      </c>
      <c r="F600" s="9">
        <f t="shared" si="65"/>
        <v>17.413059275365697</v>
      </c>
      <c r="G600" s="9">
        <f t="shared" si="66"/>
        <v>-0.18091263223741966</v>
      </c>
      <c r="H600" s="9">
        <f t="shared" si="67"/>
        <v>1.6588690316534053E-3</v>
      </c>
      <c r="I600" s="9">
        <f t="shared" si="68"/>
        <v>-1.3405130540073283E-4</v>
      </c>
      <c r="J600" s="9">
        <f t="shared" si="69"/>
        <v>17.233671460854531</v>
      </c>
    </row>
    <row r="601" spans="2:10" x14ac:dyDescent="0.25">
      <c r="B601" s="1">
        <v>43406</v>
      </c>
      <c r="C601" s="13">
        <v>51.87</v>
      </c>
      <c r="D601" s="6">
        <f t="shared" si="63"/>
        <v>-6.6330663306633064E-2</v>
      </c>
      <c r="E601" s="14">
        <f t="shared" si="64"/>
        <v>2.2764103047296307E-4</v>
      </c>
      <c r="F601" s="9">
        <f t="shared" si="65"/>
        <v>17.440323814898399</v>
      </c>
      <c r="G601" s="9">
        <f t="shared" si="66"/>
        <v>-1.9834377897492808</v>
      </c>
      <c r="H601" s="9">
        <f t="shared" si="67"/>
        <v>5.3517709536502617E-2</v>
      </c>
      <c r="I601" s="9">
        <f t="shared" si="68"/>
        <v>-0.13971697061518232</v>
      </c>
      <c r="J601" s="9">
        <f t="shared" si="69"/>
        <v>15.370686764070436</v>
      </c>
    </row>
    <row r="602" spans="2:10" x14ac:dyDescent="0.25">
      <c r="B602" s="1">
        <v>43405</v>
      </c>
      <c r="C602" s="13">
        <v>55.555</v>
      </c>
      <c r="D602" s="6">
        <f t="shared" si="63"/>
        <v>1.5352279996344587E-2</v>
      </c>
      <c r="E602" s="14">
        <f t="shared" si="64"/>
        <v>1.8975639220251484E-4</v>
      </c>
      <c r="F602" s="9">
        <f t="shared" si="65"/>
        <v>17.622352672183748</v>
      </c>
      <c r="G602" s="9">
        <f t="shared" si="66"/>
        <v>-12.205011434330494</v>
      </c>
      <c r="H602" s="9">
        <f t="shared" si="67"/>
        <v>0.98202204643175561</v>
      </c>
      <c r="I602" s="9">
        <f t="shared" si="68"/>
        <v>-6.8088758495370261</v>
      </c>
      <c r="J602" s="9">
        <f t="shared" si="69"/>
        <v>-0.40951256525201618</v>
      </c>
    </row>
    <row r="603" spans="2:10" x14ac:dyDescent="0.25">
      <c r="B603" s="1">
        <v>43404</v>
      </c>
      <c r="C603" s="13">
        <v>54.715000000000003</v>
      </c>
      <c r="D603" s="6">
        <f t="shared" si="63"/>
        <v>2.6066572902015972E-2</v>
      </c>
      <c r="E603" s="14">
        <f t="shared" si="64"/>
        <v>1.8879519016921459E-4</v>
      </c>
      <c r="F603" s="9">
        <f t="shared" si="65"/>
        <v>17.627430997800626</v>
      </c>
      <c r="G603" s="9">
        <f t="shared" si="66"/>
        <v>-0.50036013140346702</v>
      </c>
      <c r="H603" s="9">
        <f t="shared" si="67"/>
        <v>-8.6124100594095942E-4</v>
      </c>
      <c r="I603" s="9">
        <f t="shared" si="68"/>
        <v>-1.0928218445671019E-3</v>
      </c>
      <c r="J603" s="9">
        <f t="shared" si="69"/>
        <v>17.125116803546653</v>
      </c>
    </row>
    <row r="604" spans="2:10" x14ac:dyDescent="0.25">
      <c r="B604" s="1">
        <v>43403</v>
      </c>
      <c r="C604" s="13">
        <v>53.325000000000003</v>
      </c>
      <c r="D604" s="6">
        <f t="shared" si="63"/>
        <v>4.9943460233696779E-3</v>
      </c>
      <c r="E604" s="14">
        <f t="shared" si="64"/>
        <v>1.8507567736305146E-4</v>
      </c>
      <c r="F604" s="9">
        <f t="shared" si="65"/>
        <v>17.647328967128253</v>
      </c>
      <c r="G604" s="9">
        <f t="shared" si="66"/>
        <v>-1.6183734756591095</v>
      </c>
      <c r="H604" s="9">
        <f t="shared" si="67"/>
        <v>-2.8496826085072084E-2</v>
      </c>
      <c r="I604" s="9">
        <f t="shared" si="68"/>
        <v>-5.190678594978116E-2</v>
      </c>
      <c r="J604" s="9">
        <f t="shared" si="69"/>
        <v>15.948551879434293</v>
      </c>
    </row>
    <row r="605" spans="2:10" x14ac:dyDescent="0.25">
      <c r="B605" s="1">
        <v>43402</v>
      </c>
      <c r="C605" s="13">
        <v>53.06</v>
      </c>
      <c r="D605" s="6">
        <f t="shared" si="63"/>
        <v>-1.8770226537216828E-2</v>
      </c>
      <c r="E605" s="14">
        <f t="shared" si="64"/>
        <v>1.8523991703331817E-4</v>
      </c>
      <c r="F605" s="9">
        <f t="shared" si="65"/>
        <v>17.646441941663916</v>
      </c>
      <c r="G605" s="9">
        <f t="shared" si="66"/>
        <v>-3.0690517329679298E-2</v>
      </c>
      <c r="H605" s="9">
        <f t="shared" si="67"/>
        <v>1.2972708980051114E-3</v>
      </c>
      <c r="I605" s="9">
        <f t="shared" si="68"/>
        <v>-2.1641080617157953E-3</v>
      </c>
      <c r="J605" s="9">
        <f t="shared" si="69"/>
        <v>17.614884587170526</v>
      </c>
    </row>
    <row r="606" spans="2:10" x14ac:dyDescent="0.25">
      <c r="B606" s="1">
        <v>43399</v>
      </c>
      <c r="C606" s="13">
        <v>54.075000000000003</v>
      </c>
      <c r="D606" s="6">
        <f t="shared" si="63"/>
        <v>-1.5923566878980888E-2</v>
      </c>
      <c r="E606" s="14">
        <f t="shared" si="64"/>
        <v>1.8199488421861054E-4</v>
      </c>
      <c r="F606" s="9">
        <f t="shared" si="65"/>
        <v>17.664115197396075</v>
      </c>
      <c r="G606" s="9">
        <f t="shared" si="66"/>
        <v>-1.1464396128073764</v>
      </c>
      <c r="H606" s="9">
        <f t="shared" si="67"/>
        <v>2.0254600360218949E-2</v>
      </c>
      <c r="I606" s="9">
        <f t="shared" si="68"/>
        <v>-3.8252611364431297E-2</v>
      </c>
      <c r="J606" s="9">
        <f t="shared" si="69"/>
        <v>16.499677573584485</v>
      </c>
    </row>
    <row r="607" spans="2:10" x14ac:dyDescent="0.25">
      <c r="B607" s="1">
        <v>43398</v>
      </c>
      <c r="C607" s="13">
        <v>54.95</v>
      </c>
      <c r="D607" s="6">
        <f t="shared" si="63"/>
        <v>2.1888308258791511E-2</v>
      </c>
      <c r="E607" s="14">
        <f t="shared" si="64"/>
        <v>1.7974921774441979E-4</v>
      </c>
      <c r="F607" s="9">
        <f t="shared" si="65"/>
        <v>17.676531130705825</v>
      </c>
      <c r="G607" s="9">
        <f t="shared" si="66"/>
        <v>-0.85938114886342476</v>
      </c>
      <c r="H607" s="9">
        <f t="shared" si="67"/>
        <v>1.0430367097334999E-2</v>
      </c>
      <c r="I607" s="9">
        <f t="shared" si="68"/>
        <v>-1.5597452433279483E-2</v>
      </c>
      <c r="J607" s="9">
        <f t="shared" si="69"/>
        <v>16.811982896506457</v>
      </c>
    </row>
    <row r="608" spans="2:10" x14ac:dyDescent="0.25">
      <c r="B608" s="1">
        <v>43397</v>
      </c>
      <c r="C608" s="13">
        <v>53.773000000000003</v>
      </c>
      <c r="D608" s="6">
        <f t="shared" si="63"/>
        <v>-3.4301312788463156E-2</v>
      </c>
      <c r="E608" s="14">
        <f t="shared" si="64"/>
        <v>1.8810998266430247E-4</v>
      </c>
      <c r="F608" s="9">
        <f t="shared" si="65"/>
        <v>17.631066969441171</v>
      </c>
      <c r="G608" s="9">
        <f t="shared" si="66"/>
        <v>-1.0943631065472277</v>
      </c>
      <c r="H608" s="9">
        <f t="shared" si="67"/>
        <v>7.2966081005822553E-2</v>
      </c>
      <c r="I608" s="9">
        <f t="shared" si="68"/>
        <v>-0.38468889292239522</v>
      </c>
      <c r="J608" s="9">
        <f t="shared" si="69"/>
        <v>16.224981050977373</v>
      </c>
    </row>
    <row r="609" spans="2:10" x14ac:dyDescent="0.25">
      <c r="B609" s="1">
        <v>43396</v>
      </c>
      <c r="C609" s="13">
        <v>55.683</v>
      </c>
      <c r="D609" s="6">
        <f t="shared" si="63"/>
        <v>9.4266084150609331E-3</v>
      </c>
      <c r="E609" s="14">
        <f t="shared" si="64"/>
        <v>1.7721338699865362E-4</v>
      </c>
      <c r="F609" s="9">
        <f t="shared" si="65"/>
        <v>17.690739192674975</v>
      </c>
      <c r="G609" s="9">
        <f t="shared" si="66"/>
        <v>-3.6529087582306863</v>
      </c>
      <c r="H609" s="9">
        <f t="shared" si="67"/>
        <v>0.15134623012122353</v>
      </c>
      <c r="I609" s="9">
        <f t="shared" si="68"/>
        <v>-0.56262572445484216</v>
      </c>
      <c r="J609" s="9">
        <f t="shared" si="69"/>
        <v>13.62655094011067</v>
      </c>
    </row>
    <row r="610" spans="2:10" x14ac:dyDescent="0.25">
      <c r="B610" s="1">
        <v>43395</v>
      </c>
      <c r="C610" s="13">
        <v>55.162999999999997</v>
      </c>
      <c r="D610" s="6">
        <f t="shared" si="63"/>
        <v>6.1100167797474292E-3</v>
      </c>
      <c r="E610" s="14">
        <f t="shared" si="64"/>
        <v>1.914966807700543E-4</v>
      </c>
      <c r="F610" s="9">
        <f t="shared" si="65"/>
        <v>17.613223299711827</v>
      </c>
      <c r="G610" s="9">
        <f t="shared" si="66"/>
        <v>-0.15929376409560753</v>
      </c>
      <c r="H610" s="9">
        <f t="shared" si="67"/>
        <v>4.5426692341633934E-2</v>
      </c>
      <c r="I610" s="9">
        <f t="shared" si="68"/>
        <v>-1.0520430445876903</v>
      </c>
      <c r="J610" s="9">
        <f t="shared" si="69"/>
        <v>16.447313183370163</v>
      </c>
    </row>
    <row r="611" spans="2:10" x14ac:dyDescent="0.25">
      <c r="B611" s="1">
        <v>43392</v>
      </c>
      <c r="C611" s="13">
        <v>54.828000000000003</v>
      </c>
      <c r="D611" s="6">
        <f t="shared" si="63"/>
        <v>1.523932969169528E-2</v>
      </c>
      <c r="E611" s="14">
        <f t="shared" si="64"/>
        <v>1.9500936833672619E-4</v>
      </c>
      <c r="F611" s="9">
        <f t="shared" si="65"/>
        <v>17.595046175226688</v>
      </c>
      <c r="G611" s="9">
        <f t="shared" si="66"/>
        <v>-5.1673864391767847E-2</v>
      </c>
      <c r="H611" s="9">
        <f t="shared" si="67"/>
        <v>7.3320033033138325E-3</v>
      </c>
      <c r="I611" s="9">
        <f t="shared" si="68"/>
        <v>-7.5456663499948506E-2</v>
      </c>
      <c r="J611" s="9">
        <f t="shared" si="69"/>
        <v>17.475247650638288</v>
      </c>
    </row>
    <row r="612" spans="2:10" x14ac:dyDescent="0.25">
      <c r="B612" s="1">
        <v>43391</v>
      </c>
      <c r="C612" s="13">
        <v>54.005000000000003</v>
      </c>
      <c r="D612" s="6">
        <f t="shared" si="63"/>
        <v>-2.3382400810155857E-2</v>
      </c>
      <c r="E612" s="14">
        <f t="shared" si="64"/>
        <v>1.9569059426825154E-4</v>
      </c>
      <c r="F612" s="9">
        <f t="shared" si="65"/>
        <v>17.591558964133405</v>
      </c>
      <c r="G612" s="9">
        <f t="shared" si="66"/>
        <v>-0.47481669546219468</v>
      </c>
      <c r="H612" s="9">
        <f t="shared" si="67"/>
        <v>7.6235210879907166E-3</v>
      </c>
      <c r="I612" s="9">
        <f t="shared" si="68"/>
        <v>-6.3351746737911165E-3</v>
      </c>
      <c r="J612" s="9">
        <f t="shared" si="69"/>
        <v>17.118030615085409</v>
      </c>
    </row>
    <row r="613" spans="2:10" x14ac:dyDescent="0.25">
      <c r="B613" s="1">
        <v>43390</v>
      </c>
      <c r="C613" s="13">
        <v>55.298000000000002</v>
      </c>
      <c r="D613" s="6">
        <f t="shared" si="63"/>
        <v>-4.3213655515141891E-3</v>
      </c>
      <c r="E613" s="14">
        <f t="shared" si="64"/>
        <v>1.9175581740776964E-4</v>
      </c>
      <c r="F613" s="9">
        <f t="shared" si="65"/>
        <v>17.61187099709964</v>
      </c>
      <c r="G613" s="9">
        <f t="shared" si="66"/>
        <v>-1.635774416700609</v>
      </c>
      <c r="H613" s="9">
        <f t="shared" si="67"/>
        <v>3.0222161745027797E-2</v>
      </c>
      <c r="I613" s="9">
        <f t="shared" si="68"/>
        <v>-5.7377241335868003E-2</v>
      </c>
      <c r="J613" s="9">
        <f t="shared" si="69"/>
        <v>15.948941500808189</v>
      </c>
    </row>
    <row r="614" spans="2:10" x14ac:dyDescent="0.25">
      <c r="B614" s="1">
        <v>43389</v>
      </c>
      <c r="C614" s="13">
        <v>55.537999999999997</v>
      </c>
      <c r="D614" s="6">
        <f t="shared" si="63"/>
        <v>2.2046374677953562E-2</v>
      </c>
      <c r="E614" s="14">
        <f t="shared" si="64"/>
        <v>1.9136409907742787E-4</v>
      </c>
      <c r="F614" s="9">
        <f t="shared" si="65"/>
        <v>17.613915884091867</v>
      </c>
      <c r="G614" s="9">
        <f t="shared" si="66"/>
        <v>-9.2734009697432007E-2</v>
      </c>
      <c r="H614" s="9">
        <f t="shared" si="67"/>
        <v>-9.407247971465405E-4</v>
      </c>
      <c r="I614" s="9">
        <f t="shared" si="68"/>
        <v>-4.1439876042776381E-5</v>
      </c>
      <c r="J614" s="9">
        <f t="shared" si="69"/>
        <v>17.520199709721247</v>
      </c>
    </row>
    <row r="615" spans="2:10" x14ac:dyDescent="0.25">
      <c r="B615" s="1">
        <v>43388</v>
      </c>
      <c r="C615" s="13">
        <v>54.34</v>
      </c>
      <c r="D615" s="6">
        <f t="shared" si="63"/>
        <v>-2.1394611727416746E-2</v>
      </c>
      <c r="E615" s="14">
        <f t="shared" si="64"/>
        <v>1.8822415617997438E-4</v>
      </c>
      <c r="F615" s="9">
        <f t="shared" si="65"/>
        <v>17.630460202701776</v>
      </c>
      <c r="G615" s="9">
        <f t="shared" si="66"/>
        <v>-1.1108309002156198</v>
      </c>
      <c r="H615" s="9">
        <f t="shared" si="67"/>
        <v>-1.8761894371359829E-2</v>
      </c>
      <c r="I615" s="9">
        <f t="shared" si="68"/>
        <v>-3.4476626760633407E-2</v>
      </c>
      <c r="J615" s="9">
        <f t="shared" si="69"/>
        <v>16.466390781354164</v>
      </c>
    </row>
    <row r="616" spans="2:10" x14ac:dyDescent="0.25">
      <c r="B616" s="1">
        <v>43385</v>
      </c>
      <c r="C616" s="13">
        <v>55.527999999999999</v>
      </c>
      <c r="D616" s="6">
        <f t="shared" si="63"/>
        <v>3.5718948762426983E-2</v>
      </c>
      <c r="E616" s="14">
        <f t="shared" si="64"/>
        <v>1.8571179689873279E-4</v>
      </c>
      <c r="F616" s="9">
        <f t="shared" si="65"/>
        <v>17.643897782398859</v>
      </c>
      <c r="G616" s="9">
        <f t="shared" si="66"/>
        <v>-1.4311936155284193</v>
      </c>
      <c r="H616" s="9">
        <f t="shared" si="67"/>
        <v>1.5687093802965683E-2</v>
      </c>
      <c r="I616" s="9">
        <f t="shared" si="68"/>
        <v>-2.0270377654406237E-2</v>
      </c>
      <c r="J616" s="9">
        <f t="shared" si="69"/>
        <v>16.208120883019003</v>
      </c>
    </row>
    <row r="617" spans="2:10" x14ac:dyDescent="0.25">
      <c r="B617" s="1">
        <v>43384</v>
      </c>
      <c r="C617" s="13">
        <v>53.613</v>
      </c>
      <c r="D617" s="6">
        <f t="shared" si="63"/>
        <v>-8.8186356073212124E-3</v>
      </c>
      <c r="E617" s="14">
        <f t="shared" si="64"/>
        <v>1.7668096610341273E-4</v>
      </c>
      <c r="F617" s="9">
        <f t="shared" si="65"/>
        <v>17.693748120578288</v>
      </c>
      <c r="G617" s="9">
        <f t="shared" si="66"/>
        <v>-3.2988173804323848</v>
      </c>
      <c r="H617" s="9">
        <f t="shared" si="67"/>
        <v>-0.11742047286974819</v>
      </c>
      <c r="I617" s="9">
        <f t="shared" si="68"/>
        <v>-0.37974723117188652</v>
      </c>
      <c r="J617" s="9">
        <f t="shared" si="69"/>
        <v>13.897763036104267</v>
      </c>
    </row>
    <row r="618" spans="2:10" x14ac:dyDescent="0.25">
      <c r="B618" s="1">
        <v>43383</v>
      </c>
      <c r="C618" s="13">
        <v>54.09</v>
      </c>
      <c r="D618" s="6">
        <f t="shared" si="63"/>
        <v>-4.6334496985084073E-2</v>
      </c>
      <c r="E618" s="14">
        <f t="shared" si="64"/>
        <v>1.9114058468918432E-4</v>
      </c>
      <c r="F618" s="9">
        <f t="shared" si="65"/>
        <v>17.615084572597755</v>
      </c>
      <c r="G618" s="9">
        <f t="shared" si="66"/>
        <v>-0.28628533976451942</v>
      </c>
      <c r="H618" s="9">
        <f t="shared" si="67"/>
        <v>-6.1668390599256544E-2</v>
      </c>
      <c r="I618" s="9">
        <f t="shared" si="68"/>
        <v>-1.0794081920608951</v>
      </c>
      <c r="J618" s="9">
        <f t="shared" si="69"/>
        <v>16.187722650173086</v>
      </c>
    </row>
    <row r="619" spans="2:10" x14ac:dyDescent="0.25">
      <c r="B619" s="1">
        <v>43382</v>
      </c>
      <c r="C619" s="13">
        <v>56.718000000000004</v>
      </c>
      <c r="D619" s="6">
        <f t="shared" si="63"/>
        <v>1.3853386482669983E-2</v>
      </c>
      <c r="E619" s="14">
        <f t="shared" si="64"/>
        <v>1.7933455862483252E-4</v>
      </c>
      <c r="F619" s="9">
        <f t="shared" si="65"/>
        <v>17.678840671438049</v>
      </c>
      <c r="G619" s="9">
        <f t="shared" si="66"/>
        <v>-6.4325187486391817</v>
      </c>
      <c r="H619" s="9">
        <f t="shared" si="67"/>
        <v>0.2176296508061267</v>
      </c>
      <c r="I619" s="9">
        <f t="shared" si="68"/>
        <v>-0.65797875756313995</v>
      </c>
      <c r="J619" s="9">
        <f t="shared" si="69"/>
        <v>10.805972816041853</v>
      </c>
    </row>
    <row r="620" spans="2:10" x14ac:dyDescent="0.25">
      <c r="B620" s="1">
        <v>43381</v>
      </c>
      <c r="C620" s="13">
        <v>55.942999999999998</v>
      </c>
      <c r="D620" s="6">
        <f t="shared" si="63"/>
        <v>-2.3184063631338514E-3</v>
      </c>
      <c r="E620" s="14">
        <f t="shared" si="64"/>
        <v>1.7832351726396352E-4</v>
      </c>
      <c r="F620" s="9">
        <f t="shared" si="65"/>
        <v>17.684494362055553</v>
      </c>
      <c r="G620" s="9">
        <f t="shared" si="66"/>
        <v>-0.42035489598718989</v>
      </c>
      <c r="H620" s="9">
        <f t="shared" si="67"/>
        <v>-1.0649008253590427E-3</v>
      </c>
      <c r="I620" s="9">
        <f t="shared" si="68"/>
        <v>-1.3216748874034878E-3</v>
      </c>
      <c r="J620" s="9">
        <f t="shared" si="69"/>
        <v>17.261752890355602</v>
      </c>
    </row>
    <row r="621" spans="2:10" x14ac:dyDescent="0.25">
      <c r="B621" s="1">
        <v>43378</v>
      </c>
      <c r="C621" s="13">
        <v>56.073</v>
      </c>
      <c r="D621" s="6">
        <f t="shared" si="63"/>
        <v>-1.6228639601389427E-2</v>
      </c>
      <c r="E621" s="14">
        <f t="shared" si="64"/>
        <v>1.7931170972306578E-4</v>
      </c>
      <c r="F621" s="9">
        <f t="shared" si="65"/>
        <v>17.678968088917689</v>
      </c>
      <c r="G621" s="9">
        <f t="shared" si="66"/>
        <v>-4.354165065860624E-2</v>
      </c>
      <c r="H621" s="9">
        <f t="shared" si="67"/>
        <v>-2.9111806706590545E-3</v>
      </c>
      <c r="I621" s="9">
        <f t="shared" si="68"/>
        <v>-1.1476392636463285E-2</v>
      </c>
      <c r="J621" s="9">
        <f t="shared" si="69"/>
        <v>17.621038864951959</v>
      </c>
    </row>
    <row r="622" spans="2:10" x14ac:dyDescent="0.25">
      <c r="B622" s="1">
        <v>43377</v>
      </c>
      <c r="C622" s="13">
        <v>56.997999999999998</v>
      </c>
      <c r="D622" s="6">
        <f t="shared" si="63"/>
        <v>-1.7580750801475475E-2</v>
      </c>
      <c r="E622" s="14">
        <f t="shared" si="64"/>
        <v>1.7661843871731776E-4</v>
      </c>
      <c r="F622" s="9">
        <f t="shared" si="65"/>
        <v>17.694102083171458</v>
      </c>
      <c r="G622" s="9">
        <f t="shared" si="66"/>
        <v>-0.90528436843645277</v>
      </c>
      <c r="H622" s="9">
        <f t="shared" si="67"/>
        <v>1.4145857877577621E-2</v>
      </c>
      <c r="I622" s="9">
        <f t="shared" si="68"/>
        <v>-2.4960558882984884E-2</v>
      </c>
      <c r="J622" s="9">
        <f t="shared" si="69"/>
        <v>16.778003013729599</v>
      </c>
    </row>
    <row r="623" spans="2:10" x14ac:dyDescent="0.25">
      <c r="B623" s="1">
        <v>43376</v>
      </c>
      <c r="C623" s="13">
        <v>58.018000000000001</v>
      </c>
      <c r="D623" s="6">
        <f t="shared" si="63"/>
        <v>1.2177250523377481E-2</v>
      </c>
      <c r="E623" s="14">
        <f t="shared" si="64"/>
        <v>1.7330863812570655E-4</v>
      </c>
      <c r="F623" s="9">
        <f t="shared" si="65"/>
        <v>17.713019734983341</v>
      </c>
      <c r="G623" s="9">
        <f t="shared" si="66"/>
        <v>-1.067583519812547</v>
      </c>
      <c r="H623" s="9">
        <f t="shared" si="67"/>
        <v>2.0560209740486422E-2</v>
      </c>
      <c r="I623" s="9">
        <f t="shared" si="68"/>
        <v>-4.1658265414481178E-2</v>
      </c>
      <c r="J623" s="9">
        <f t="shared" si="69"/>
        <v>16.624338159496801</v>
      </c>
    </row>
    <row r="624" spans="2:10" x14ac:dyDescent="0.25">
      <c r="B624" s="1">
        <v>43375</v>
      </c>
      <c r="C624" s="13">
        <v>57.32</v>
      </c>
      <c r="D624" s="6">
        <f t="shared" si="63"/>
        <v>8.8884977558743028E-3</v>
      </c>
      <c r="E624" s="14">
        <f t="shared" si="64"/>
        <v>1.7297760155173282E-4</v>
      </c>
      <c r="F624" s="9">
        <f t="shared" si="65"/>
        <v>17.714931660072381</v>
      </c>
      <c r="G624" s="9">
        <f t="shared" si="66"/>
        <v>-0.32267121814362126</v>
      </c>
      <c r="H624" s="9">
        <f t="shared" si="67"/>
        <v>2.1193487217186923E-3</v>
      </c>
      <c r="I624" s="9">
        <f t="shared" si="68"/>
        <v>-1.8032793664091173E-4</v>
      </c>
      <c r="J624" s="9">
        <f t="shared" si="69"/>
        <v>17.394199462713839</v>
      </c>
    </row>
    <row r="625" spans="2:10" x14ac:dyDescent="0.25">
      <c r="B625" s="1">
        <v>43374</v>
      </c>
      <c r="C625" s="13">
        <v>56.814999999999998</v>
      </c>
      <c r="D625" s="6">
        <f t="shared" si="63"/>
        <v>6.7334101178346817E-3</v>
      </c>
      <c r="E625" s="14">
        <f t="shared" si="64"/>
        <v>1.7304218539776351E-4</v>
      </c>
      <c r="F625" s="9">
        <f t="shared" si="65"/>
        <v>17.714558364386896</v>
      </c>
      <c r="G625" s="9">
        <f t="shared" si="66"/>
        <v>-0.15279599541067843</v>
      </c>
      <c r="H625" s="9">
        <f t="shared" si="67"/>
        <v>2.685647500065007E-3</v>
      </c>
      <c r="I625" s="9">
        <f t="shared" si="68"/>
        <v>-1.7913854125202954E-3</v>
      </c>
      <c r="J625" s="9">
        <f t="shared" si="69"/>
        <v>17.562656631063764</v>
      </c>
    </row>
    <row r="626" spans="2:10" x14ac:dyDescent="0.25">
      <c r="B626" s="1">
        <v>43371</v>
      </c>
      <c r="C626" s="13">
        <v>56.435000000000002</v>
      </c>
      <c r="D626" s="6">
        <f t="shared" si="63"/>
        <v>3.502969522387156E-3</v>
      </c>
      <c r="E626" s="14">
        <f t="shared" si="64"/>
        <v>1.7513589483019004E-4</v>
      </c>
      <c r="F626" s="9">
        <f t="shared" si="65"/>
        <v>17.702531560931199</v>
      </c>
      <c r="G626" s="9">
        <f t="shared" si="66"/>
        <v>-7.4653497148244097E-2</v>
      </c>
      <c r="H626" s="9">
        <f t="shared" si="67"/>
        <v>6.240335255473981E-3</v>
      </c>
      <c r="I626" s="9">
        <f t="shared" si="68"/>
        <v>-3.5793192851401361E-2</v>
      </c>
      <c r="J626" s="9">
        <f t="shared" si="69"/>
        <v>17.598325206187027</v>
      </c>
    </row>
    <row r="627" spans="2:10" x14ac:dyDescent="0.25">
      <c r="B627" s="1">
        <v>43370</v>
      </c>
      <c r="C627" s="13">
        <v>56.238</v>
      </c>
      <c r="D627" s="6">
        <f t="shared" si="63"/>
        <v>2.0560747663551426E-2</v>
      </c>
      <c r="E627" s="14">
        <f t="shared" si="64"/>
        <v>1.7559218953432703E-4</v>
      </c>
      <c r="F627" s="9">
        <f t="shared" si="65"/>
        <v>17.699929573910953</v>
      </c>
      <c r="G627" s="9">
        <f t="shared" si="66"/>
        <v>-1.0047039723992282E-2</v>
      </c>
      <c r="H627" s="9">
        <f t="shared" si="67"/>
        <v>9.9303807960286891E-4</v>
      </c>
      <c r="I627" s="9">
        <f t="shared" si="68"/>
        <v>-4.9171655200646227E-3</v>
      </c>
      <c r="J627" s="9">
        <f t="shared" si="69"/>
        <v>17.685958406746497</v>
      </c>
    </row>
    <row r="628" spans="2:10" x14ac:dyDescent="0.25">
      <c r="B628" s="1">
        <v>43369</v>
      </c>
      <c r="C628" s="13">
        <v>55.104999999999997</v>
      </c>
      <c r="D628" s="6">
        <f t="shared" si="63"/>
        <v>-7.9750846115071994E-3</v>
      </c>
      <c r="E628" s="14">
        <f t="shared" si="64"/>
        <v>1.7928449709056404E-4</v>
      </c>
      <c r="F628" s="9">
        <f t="shared" si="65"/>
        <v>17.679119862037631</v>
      </c>
      <c r="G628" s="9">
        <f t="shared" si="66"/>
        <v>-1.0026923529590859</v>
      </c>
      <c r="H628" s="9">
        <f t="shared" si="67"/>
        <v>3.5086894018625796E-2</v>
      </c>
      <c r="I628" s="9">
        <f t="shared" si="68"/>
        <v>-9.0750586167235595E-2</v>
      </c>
      <c r="J628" s="9">
        <f t="shared" si="69"/>
        <v>16.620763816929934</v>
      </c>
    </row>
    <row r="629" spans="2:10" x14ac:dyDescent="0.25">
      <c r="B629" s="1">
        <v>43368</v>
      </c>
      <c r="C629" s="13">
        <v>55.548000000000002</v>
      </c>
      <c r="D629" s="6">
        <f t="shared" si="63"/>
        <v>6.3408094496177902E-3</v>
      </c>
      <c r="E629" s="14">
        <f t="shared" si="64"/>
        <v>1.7861666723886438E-4</v>
      </c>
      <c r="F629" s="9">
        <f t="shared" si="65"/>
        <v>17.682851789694467</v>
      </c>
      <c r="G629" s="9">
        <f t="shared" si="66"/>
        <v>-0.25887725771916231</v>
      </c>
      <c r="H629" s="9">
        <f t="shared" si="67"/>
        <v>-5.2930863928893617E-4</v>
      </c>
      <c r="I629" s="9">
        <f t="shared" si="68"/>
        <v>-1.3635624986185681E-4</v>
      </c>
      <c r="J629" s="9">
        <f t="shared" si="69"/>
        <v>17.423308867086153</v>
      </c>
    </row>
    <row r="630" spans="2:10" x14ac:dyDescent="0.25">
      <c r="B630" s="1">
        <v>43367</v>
      </c>
      <c r="C630" s="13">
        <v>55.198</v>
      </c>
      <c r="D630" s="6">
        <f t="shared" si="63"/>
        <v>1.438941468345134E-2</v>
      </c>
      <c r="E630" s="14">
        <f t="shared" si="64"/>
        <v>1.8084350678834035E-4</v>
      </c>
      <c r="F630" s="9">
        <f t="shared" si="65"/>
        <v>17.670461721487456</v>
      </c>
      <c r="G630" s="9">
        <f t="shared" si="66"/>
        <v>-6.1607008707994279E-2</v>
      </c>
      <c r="H630" s="9">
        <f t="shared" si="67"/>
        <v>5.8352842115019562E-3</v>
      </c>
      <c r="I630" s="9">
        <f t="shared" si="68"/>
        <v>-3.803344706868142E-2</v>
      </c>
      <c r="J630" s="9">
        <f t="shared" si="69"/>
        <v>17.576656549922284</v>
      </c>
    </row>
    <row r="631" spans="2:10" x14ac:dyDescent="0.25">
      <c r="B631" s="1">
        <v>43364</v>
      </c>
      <c r="C631" s="13">
        <v>54.414999999999999</v>
      </c>
      <c r="D631" s="6">
        <f t="shared" si="63"/>
        <v>-1.078025014543349E-2</v>
      </c>
      <c r="E631" s="14">
        <f t="shared" si="64"/>
        <v>1.8015598766622003E-4</v>
      </c>
      <c r="F631" s="9">
        <f t="shared" si="65"/>
        <v>17.674270701632359</v>
      </c>
      <c r="G631" s="9">
        <f t="shared" si="66"/>
        <v>-0.45336348224216549</v>
      </c>
      <c r="H631" s="9">
        <f t="shared" si="67"/>
        <v>5.9433153684192359E-4</v>
      </c>
      <c r="I631" s="9">
        <f t="shared" si="68"/>
        <v>-1.747546359403134E-4</v>
      </c>
      <c r="J631" s="9">
        <f t="shared" si="69"/>
        <v>17.221326796291098</v>
      </c>
    </row>
    <row r="632" spans="2:10" x14ac:dyDescent="0.25">
      <c r="B632" s="1">
        <v>43363</v>
      </c>
      <c r="C632" s="13">
        <v>55.008000000000003</v>
      </c>
      <c r="D632" s="6">
        <f t="shared" si="63"/>
        <v>7.6017071785758894E-3</v>
      </c>
      <c r="E632" s="14">
        <f t="shared" si="64"/>
        <v>1.7938282829560367E-4</v>
      </c>
      <c r="F632" s="9">
        <f t="shared" si="65"/>
        <v>17.67857154776118</v>
      </c>
      <c r="G632" s="9">
        <f t="shared" si="66"/>
        <v>-0.43037585635776621</v>
      </c>
      <c r="H632" s="9">
        <f t="shared" si="67"/>
        <v>-1.4230923999379919E-4</v>
      </c>
      <c r="I632" s="9">
        <f t="shared" si="68"/>
        <v>-3.7256541347012429E-4</v>
      </c>
      <c r="J632" s="9">
        <f t="shared" si="69"/>
        <v>17.247680816749948</v>
      </c>
    </row>
    <row r="633" spans="2:10" x14ac:dyDescent="0.25">
      <c r="B633" s="1">
        <v>43362</v>
      </c>
      <c r="C633" s="13">
        <v>54.593000000000004</v>
      </c>
      <c r="D633" s="6">
        <f t="shared" si="63"/>
        <v>6.0483870967753539E-4</v>
      </c>
      <c r="E633" s="14">
        <f t="shared" si="64"/>
        <v>1.7940136820581909E-4</v>
      </c>
      <c r="F633" s="9">
        <f t="shared" si="65"/>
        <v>17.678468199227922</v>
      </c>
      <c r="G633" s="9">
        <f t="shared" si="66"/>
        <v>-9.9772317872051208E-2</v>
      </c>
      <c r="H633" s="9">
        <f t="shared" si="67"/>
        <v>2.0180024668784726E-3</v>
      </c>
      <c r="I633" s="9">
        <f t="shared" si="68"/>
        <v>-1.4069070765067439E-3</v>
      </c>
      <c r="J633" s="9">
        <f t="shared" si="69"/>
        <v>17.579306976746242</v>
      </c>
    </row>
    <row r="634" spans="2:10" x14ac:dyDescent="0.25">
      <c r="B634" s="1">
        <v>43361</v>
      </c>
      <c r="C634" s="13">
        <v>54.56</v>
      </c>
      <c r="D634" s="6">
        <f t="shared" si="63"/>
        <v>1.6522856618321757E-3</v>
      </c>
      <c r="E634" s="14">
        <f t="shared" si="64"/>
        <v>1.8085949619792041E-4</v>
      </c>
      <c r="F634" s="9">
        <f t="shared" si="65"/>
        <v>17.670373309671913</v>
      </c>
      <c r="G634" s="9">
        <f t="shared" si="66"/>
        <v>-2.8989929950902515E-3</v>
      </c>
      <c r="H634" s="9">
        <f t="shared" si="67"/>
        <v>-9.4440557643838557E-4</v>
      </c>
      <c r="I634" s="9">
        <f t="shared" si="68"/>
        <v>-1.9620061787647695E-2</v>
      </c>
      <c r="J634" s="9">
        <f t="shared" si="69"/>
        <v>17.646909849312738</v>
      </c>
    </row>
    <row r="635" spans="2:10" x14ac:dyDescent="0.25">
      <c r="B635" s="1">
        <v>43360</v>
      </c>
      <c r="C635" s="13">
        <v>54.47</v>
      </c>
      <c r="D635" s="6">
        <f t="shared" si="63"/>
        <v>-2.6626161543960025E-2</v>
      </c>
      <c r="E635" s="14">
        <f t="shared" si="64"/>
        <v>1.8728702624259603E-4</v>
      </c>
      <c r="F635" s="9">
        <f t="shared" si="65"/>
        <v>17.635451435595805</v>
      </c>
      <c r="G635" s="9">
        <f t="shared" si="66"/>
        <v>-1.6650563714072011E-6</v>
      </c>
      <c r="H635" s="9">
        <f t="shared" si="67"/>
        <v>7.1166808483548517E-5</v>
      </c>
      <c r="I635" s="9">
        <f t="shared" si="68"/>
        <v>-0.23611222160923237</v>
      </c>
      <c r="J635" s="9">
        <f t="shared" si="69"/>
        <v>17.399408715738684</v>
      </c>
    </row>
    <row r="636" spans="2:10" x14ac:dyDescent="0.25">
      <c r="B636" s="1">
        <v>43357</v>
      </c>
      <c r="C636" s="13">
        <v>55.96</v>
      </c>
      <c r="D636" s="6">
        <f t="shared" si="63"/>
        <v>-1.1359821917566237E-2</v>
      </c>
      <c r="E636" s="14">
        <f t="shared" si="64"/>
        <v>1.9730599427384611E-4</v>
      </c>
      <c r="F636" s="9">
        <f t="shared" si="65"/>
        <v>17.583337981302051</v>
      </c>
      <c r="G636" s="9">
        <f t="shared" si="66"/>
        <v>-2.0288868215582543</v>
      </c>
      <c r="H636" s="9">
        <f t="shared" si="67"/>
        <v>-0.11456499497369541</v>
      </c>
      <c r="I636" s="9">
        <f t="shared" si="68"/>
        <v>-0.51556696117913081</v>
      </c>
      <c r="J636" s="9">
        <f t="shared" si="69"/>
        <v>14.92431920359097</v>
      </c>
    </row>
    <row r="637" spans="2:10" x14ac:dyDescent="0.25">
      <c r="B637" s="1">
        <v>43356</v>
      </c>
      <c r="C637" s="13">
        <v>56.603000000000002</v>
      </c>
      <c r="D637" s="6">
        <f t="shared" si="63"/>
        <v>2.415502641673295E-2</v>
      </c>
      <c r="E637" s="14">
        <f t="shared" si="64"/>
        <v>2.0121042706464903E-4</v>
      </c>
      <c r="F637" s="9">
        <f t="shared" si="65"/>
        <v>17.563742514129132</v>
      </c>
      <c r="G637" s="9">
        <f t="shared" si="66"/>
        <v>-0.42037016829437562</v>
      </c>
      <c r="H637" s="9">
        <f t="shared" si="67"/>
        <v>-2.2457253575362244E-2</v>
      </c>
      <c r="I637" s="9">
        <f t="shared" si="68"/>
        <v>-8.777996538555384E-2</v>
      </c>
      <c r="J637" s="9">
        <f t="shared" si="69"/>
        <v>17.033135126873841</v>
      </c>
    </row>
    <row r="638" spans="2:10" x14ac:dyDescent="0.25">
      <c r="B638" s="1">
        <v>43355</v>
      </c>
      <c r="C638" s="13">
        <v>55.268000000000001</v>
      </c>
      <c r="D638" s="6">
        <f t="shared" si="63"/>
        <v>-1.2418919643335746E-2</v>
      </c>
      <c r="E638" s="14">
        <f t="shared" si="64"/>
        <v>1.9952283443271481E-4</v>
      </c>
      <c r="F638" s="9">
        <f t="shared" si="65"/>
        <v>17.572165087299446</v>
      </c>
      <c r="G638" s="9">
        <f t="shared" si="66"/>
        <v>-1.2755383224701786</v>
      </c>
      <c r="H638" s="9">
        <f t="shared" si="67"/>
        <v>-7.402018423760327E-3</v>
      </c>
      <c r="I638" s="9">
        <f t="shared" si="68"/>
        <v>-6.8544834358513591E-3</v>
      </c>
      <c r="J638" s="9">
        <f t="shared" si="69"/>
        <v>16.282370262969653</v>
      </c>
    </row>
    <row r="639" spans="2:10" x14ac:dyDescent="0.25">
      <c r="B639" s="1">
        <v>43354</v>
      </c>
      <c r="C639" s="13">
        <v>55.963000000000001</v>
      </c>
      <c r="D639" s="6">
        <f t="shared" si="63"/>
        <v>2.5282597145631414E-2</v>
      </c>
      <c r="E639" s="14">
        <f t="shared" si="64"/>
        <v>2.0287956848040586E-4</v>
      </c>
      <c r="F639" s="9">
        <f t="shared" si="65"/>
        <v>17.55548123111187</v>
      </c>
      <c r="G639" s="9">
        <f t="shared" si="66"/>
        <v>-0.4876821818814665</v>
      </c>
      <c r="H639" s="9">
        <f t="shared" si="67"/>
        <v>-2.128492707305207E-2</v>
      </c>
      <c r="I639" s="9">
        <f t="shared" si="68"/>
        <v>-6.6517913036490572E-2</v>
      </c>
      <c r="J639" s="9">
        <f t="shared" si="69"/>
        <v>16.979996209120859</v>
      </c>
    </row>
    <row r="640" spans="2:10" x14ac:dyDescent="0.25">
      <c r="B640" s="1">
        <v>43353</v>
      </c>
      <c r="C640" s="13">
        <v>54.582999999999998</v>
      </c>
      <c r="D640" s="6">
        <f t="shared" si="63"/>
        <v>-1.3411658382286529E-2</v>
      </c>
      <c r="E640" s="14">
        <f t="shared" si="64"/>
        <v>1.9841621411053698E-4</v>
      </c>
      <c r="F640" s="9">
        <f t="shared" si="65"/>
        <v>17.577726859529875</v>
      </c>
      <c r="G640" s="9">
        <f t="shared" si="66"/>
        <v>-1.4142661176087141</v>
      </c>
      <c r="H640" s="9">
        <f t="shared" si="67"/>
        <v>-3.2285466116557873E-2</v>
      </c>
      <c r="I640" s="9">
        <f t="shared" si="68"/>
        <v>-7.4147245320768426E-2</v>
      </c>
      <c r="J640" s="9">
        <f t="shared" si="69"/>
        <v>16.057028030483831</v>
      </c>
    </row>
    <row r="641" spans="2:10" x14ac:dyDescent="0.25">
      <c r="B641" s="1">
        <v>43350</v>
      </c>
      <c r="C641" s="13">
        <v>55.325000000000003</v>
      </c>
      <c r="D641" s="6">
        <f t="shared" si="63"/>
        <v>-8.0681308830120591E-3</v>
      </c>
      <c r="E641" s="14">
        <f t="shared" si="64"/>
        <v>1.9892203738657878E-4</v>
      </c>
      <c r="F641" s="9">
        <f t="shared" si="65"/>
        <v>17.575180799353781</v>
      </c>
      <c r="G641" s="9">
        <f t="shared" si="66"/>
        <v>-0.57017570386174998</v>
      </c>
      <c r="H641" s="9">
        <f t="shared" si="67"/>
        <v>-7.3053718477728222E-3</v>
      </c>
      <c r="I641" s="9">
        <f t="shared" si="68"/>
        <v>-4.4391638288261131E-3</v>
      </c>
      <c r="J641" s="9">
        <f t="shared" si="69"/>
        <v>16.993260559815429</v>
      </c>
    </row>
    <row r="642" spans="2:10" x14ac:dyDescent="0.25">
      <c r="B642" s="1">
        <v>43349</v>
      </c>
      <c r="C642" s="13">
        <v>55.774999999999999</v>
      </c>
      <c r="D642" s="6">
        <f t="shared" si="63"/>
        <v>-1.6626115166261224E-2</v>
      </c>
      <c r="E642" s="14">
        <f t="shared" si="64"/>
        <v>1.9833914015604935E-4</v>
      </c>
      <c r="F642" s="9">
        <f t="shared" si="65"/>
        <v>17.578115380842206</v>
      </c>
      <c r="G642" s="9">
        <f t="shared" si="66"/>
        <v>-0.2376749700682414</v>
      </c>
      <c r="H642" s="9">
        <f t="shared" si="67"/>
        <v>-7.8828808130912962E-4</v>
      </c>
      <c r="I642" s="9">
        <f t="shared" si="68"/>
        <v>-5.6429252818026345E-5</v>
      </c>
      <c r="J642" s="9">
        <f t="shared" si="69"/>
        <v>17.339595693439836</v>
      </c>
    </row>
    <row r="643" spans="2:10" x14ac:dyDescent="0.25">
      <c r="B643" s="1">
        <v>43348</v>
      </c>
      <c r="C643" s="13">
        <v>56.718000000000004</v>
      </c>
      <c r="D643" s="6">
        <f t="shared" si="63"/>
        <v>-6.5160273252758971E-3</v>
      </c>
      <c r="E643" s="14">
        <f t="shared" si="64"/>
        <v>1.9545084201235809E-4</v>
      </c>
      <c r="F643" s="9">
        <f t="shared" si="65"/>
        <v>17.592784875088785</v>
      </c>
      <c r="G643" s="9">
        <f t="shared" si="66"/>
        <v>-0.85488227467440303</v>
      </c>
      <c r="H643" s="9">
        <f t="shared" si="67"/>
        <v>1.4414181815073802E-2</v>
      </c>
      <c r="I643" s="9">
        <f t="shared" si="68"/>
        <v>-2.7468167462942839E-2</v>
      </c>
      <c r="J643" s="9">
        <f t="shared" si="69"/>
        <v>16.724848614766515</v>
      </c>
    </row>
    <row r="644" spans="2:10" x14ac:dyDescent="0.25">
      <c r="B644" s="1">
        <v>43347</v>
      </c>
      <c r="C644" s="13">
        <v>57.09</v>
      </c>
      <c r="D644" s="6">
        <f t="shared" si="63"/>
        <v>3.1981443733746229E-3</v>
      </c>
      <c r="E644" s="14">
        <f t="shared" si="64"/>
        <v>1.9576988980179072E-4</v>
      </c>
      <c r="F644" s="9">
        <f t="shared" si="65"/>
        <v>17.591153837496872</v>
      </c>
      <c r="G644" s="9">
        <f t="shared" si="66"/>
        <v>-0.16986987426188574</v>
      </c>
      <c r="H644" s="9">
        <f t="shared" si="67"/>
        <v>-3.4449543442966767E-3</v>
      </c>
      <c r="I644" s="9">
        <f t="shared" si="68"/>
        <v>-2.9909078826421348E-3</v>
      </c>
      <c r="J644" s="9">
        <f t="shared" si="69"/>
        <v>17.414848101008051</v>
      </c>
    </row>
    <row r="645" spans="2:10" x14ac:dyDescent="0.25">
      <c r="B645" s="1">
        <v>43343</v>
      </c>
      <c r="C645" s="13">
        <v>56.908000000000001</v>
      </c>
      <c r="D645" s="6">
        <f t="shared" si="63"/>
        <v>1.1553912332468164E-2</v>
      </c>
      <c r="E645" s="14">
        <f t="shared" si="64"/>
        <v>1.9688579616283929E-4</v>
      </c>
      <c r="F645" s="9">
        <f t="shared" si="65"/>
        <v>17.585469929659975</v>
      </c>
      <c r="G645" s="9">
        <f t="shared" si="66"/>
        <v>-6.2846083733713622E-3</v>
      </c>
      <c r="H645" s="9">
        <f t="shared" si="67"/>
        <v>1.1308293004236875E-3</v>
      </c>
      <c r="I645" s="9">
        <f t="shared" si="68"/>
        <v>-1.1879172709198823E-2</v>
      </c>
      <c r="J645" s="9">
        <f t="shared" si="69"/>
        <v>17.568436977877827</v>
      </c>
    </row>
    <row r="646" spans="2:10" x14ac:dyDescent="0.25">
      <c r="B646" s="1">
        <v>43342</v>
      </c>
      <c r="C646" s="13">
        <v>56.258000000000003</v>
      </c>
      <c r="D646" s="6">
        <f t="shared" si="63"/>
        <v>9.2026190689749043E-3</v>
      </c>
      <c r="E646" s="14">
        <f t="shared" si="64"/>
        <v>1.9661360983567677E-4</v>
      </c>
      <c r="F646" s="9">
        <f t="shared" si="65"/>
        <v>17.586853344051068</v>
      </c>
      <c r="G646" s="9">
        <f t="shared" si="66"/>
        <v>-0.25132607433167481</v>
      </c>
      <c r="H646" s="9">
        <f t="shared" si="67"/>
        <v>1.9741014758768403E-3</v>
      </c>
      <c r="I646" s="9">
        <f t="shared" si="68"/>
        <v>-1.9457481743673723E-4</v>
      </c>
      <c r="J646" s="9">
        <f t="shared" si="69"/>
        <v>17.337306796377835</v>
      </c>
    </row>
    <row r="647" spans="2:10" x14ac:dyDescent="0.25">
      <c r="B647" s="1">
        <v>43341</v>
      </c>
      <c r="C647" s="13">
        <v>55.744999999999997</v>
      </c>
      <c r="D647" s="6">
        <f t="shared" si="63"/>
        <v>1.492944924897599E-2</v>
      </c>
      <c r="E647" s="14">
        <f t="shared" si="64"/>
        <v>1.9810478484034248E-4</v>
      </c>
      <c r="F647" s="9">
        <f t="shared" si="65"/>
        <v>17.579297668314553</v>
      </c>
      <c r="G647" s="9">
        <f t="shared" si="66"/>
        <v>-0.14526285328788388</v>
      </c>
      <c r="H647" s="9">
        <f t="shared" si="67"/>
        <v>6.4810056536912276E-3</v>
      </c>
      <c r="I647" s="9">
        <f t="shared" si="68"/>
        <v>-1.7994721250291151E-2</v>
      </c>
      <c r="J647" s="9">
        <f t="shared" si="69"/>
        <v>17.422521099430067</v>
      </c>
    </row>
    <row r="648" spans="2:10" x14ac:dyDescent="0.25">
      <c r="B648" s="1">
        <v>43340</v>
      </c>
      <c r="C648" s="13">
        <v>54.924999999999997</v>
      </c>
      <c r="D648" s="6">
        <f t="shared" si="63"/>
        <v>8.0756171423326251E-3</v>
      </c>
      <c r="E648" s="14">
        <f t="shared" si="64"/>
        <v>1.9737150110734876E-4</v>
      </c>
      <c r="F648" s="9">
        <f t="shared" si="65"/>
        <v>17.583006030102045</v>
      </c>
      <c r="G648" s="9">
        <f t="shared" si="66"/>
        <v>-0.4495823712724849</v>
      </c>
      <c r="H648" s="9">
        <f t="shared" si="67"/>
        <v>3.3738175806806718E-4</v>
      </c>
      <c r="I648" s="9">
        <f t="shared" si="68"/>
        <v>-3.1362494988364378E-4</v>
      </c>
      <c r="J648" s="9">
        <f t="shared" si="69"/>
        <v>17.133447415637747</v>
      </c>
    </row>
    <row r="649" spans="2:10" x14ac:dyDescent="0.25">
      <c r="B649" s="1">
        <v>43339</v>
      </c>
      <c r="C649" s="13">
        <v>54.484999999999999</v>
      </c>
      <c r="D649" s="6">
        <f t="shared" si="63"/>
        <v>8.2346410066618247E-3</v>
      </c>
      <c r="E649" s="14">
        <f t="shared" si="64"/>
        <v>1.9809740796246928E-4</v>
      </c>
      <c r="F649" s="9">
        <f t="shared" si="65"/>
        <v>17.579334906260272</v>
      </c>
      <c r="G649" s="9">
        <f t="shared" si="66"/>
        <v>-0.10525934971282701</v>
      </c>
      <c r="H649" s="9">
        <f t="shared" si="67"/>
        <v>3.6750801075839967E-3</v>
      </c>
      <c r="I649" s="9">
        <f t="shared" si="68"/>
        <v>-6.7056621667728033E-3</v>
      </c>
      <c r="J649" s="9">
        <f t="shared" si="69"/>
        <v>17.471044974488255</v>
      </c>
    </row>
    <row r="650" spans="2:10" x14ac:dyDescent="0.25">
      <c r="B650" s="1">
        <v>43336</v>
      </c>
      <c r="C650" s="13">
        <v>54.04</v>
      </c>
      <c r="D650" s="6">
        <f t="shared" si="63"/>
        <v>3.0998830583037762E-3</v>
      </c>
      <c r="E650" s="14">
        <f t="shared" si="64"/>
        <v>1.9780976722445551E-4</v>
      </c>
      <c r="F650" s="9">
        <f t="shared" si="65"/>
        <v>17.58078797812485</v>
      </c>
      <c r="G650" s="9">
        <f t="shared" si="66"/>
        <v>-0.11067577380665487</v>
      </c>
      <c r="H650" s="9">
        <f t="shared" si="67"/>
        <v>1.267880259065996E-3</v>
      </c>
      <c r="I650" s="9">
        <f t="shared" si="68"/>
        <v>-1.6168098511736703E-4</v>
      </c>
      <c r="J650" s="9">
        <f t="shared" si="69"/>
        <v>17.471218403592147</v>
      </c>
    </row>
    <row r="651" spans="2:10" x14ac:dyDescent="0.25">
      <c r="B651" s="1">
        <v>43335</v>
      </c>
      <c r="C651" s="13">
        <v>53.872999999999998</v>
      </c>
      <c r="D651" s="6">
        <f t="shared" si="63"/>
        <v>2.0460167773375115E-3</v>
      </c>
      <c r="E651" s="14">
        <f t="shared" si="64"/>
        <v>1.9781861643989465E-4</v>
      </c>
      <c r="F651" s="9">
        <f t="shared" si="65"/>
        <v>17.580743243137139</v>
      </c>
      <c r="G651" s="9">
        <f t="shared" si="66"/>
        <v>-5.4968884387707308E-3</v>
      </c>
      <c r="H651" s="9">
        <f t="shared" si="67"/>
        <v>4.4574694595123326E-4</v>
      </c>
      <c r="I651" s="9">
        <f t="shared" si="68"/>
        <v>-1.0873805198397014E-3</v>
      </c>
      <c r="J651" s="9">
        <f t="shared" si="69"/>
        <v>17.574604721124476</v>
      </c>
    </row>
    <row r="652" spans="2:10" x14ac:dyDescent="0.25">
      <c r="B652" s="1">
        <v>43334</v>
      </c>
      <c r="C652" s="13">
        <v>53.762999999999998</v>
      </c>
      <c r="D652" s="6">
        <f t="shared" si="63"/>
        <v>5.5803571428647558E-5</v>
      </c>
      <c r="E652" s="14">
        <f t="shared" si="64"/>
        <v>1.9803852279309591E-4</v>
      </c>
      <c r="F652" s="9">
        <f t="shared" si="65"/>
        <v>17.579632204057493</v>
      </c>
      <c r="G652" s="9">
        <f t="shared" si="66"/>
        <v>-4.4385699497316111E-4</v>
      </c>
      <c r="H652" s="9">
        <f t="shared" si="67"/>
        <v>1.5958559522018866E-4</v>
      </c>
      <c r="I652" s="9">
        <f t="shared" si="68"/>
        <v>-2.2417741249254517E-3</v>
      </c>
      <c r="J652" s="9">
        <f t="shared" si="69"/>
        <v>17.577106158532814</v>
      </c>
    </row>
    <row r="653" spans="2:10" x14ac:dyDescent="0.25">
      <c r="B653" s="1">
        <v>43333</v>
      </c>
      <c r="C653" s="13">
        <v>53.76</v>
      </c>
      <c r="D653" s="6">
        <f t="shared" si="63"/>
        <v>-1.9493177387914784E-3</v>
      </c>
      <c r="E653" s="14">
        <f t="shared" si="64"/>
        <v>2.0110184153907939E-4</v>
      </c>
      <c r="F653" s="9">
        <f t="shared" si="65"/>
        <v>17.564282321322104</v>
      </c>
      <c r="G653" s="9">
        <f t="shared" si="66"/>
        <v>-6.1587276200207978E-3</v>
      </c>
      <c r="H653" s="9">
        <f t="shared" si="67"/>
        <v>-2.2329369660090996E-3</v>
      </c>
      <c r="I653" s="9">
        <f t="shared" si="68"/>
        <v>-5.7293488261303337E-2</v>
      </c>
      <c r="J653" s="9">
        <f t="shared" si="69"/>
        <v>17.498597168474767</v>
      </c>
    </row>
    <row r="654" spans="2:10" x14ac:dyDescent="0.25">
      <c r="B654" s="1">
        <v>43332</v>
      </c>
      <c r="C654" s="13">
        <v>53.865000000000002</v>
      </c>
      <c r="D654" s="6">
        <f t="shared" si="63"/>
        <v>-9.7435426050188623E-3</v>
      </c>
      <c r="E654" s="14">
        <f t="shared" si="64"/>
        <v>2.0107781245974881E-4</v>
      </c>
      <c r="F654" s="9">
        <f t="shared" si="65"/>
        <v>17.564401815578563</v>
      </c>
      <c r="G654" s="9">
        <f t="shared" si="66"/>
        <v>-3.1904065289262457E-2</v>
      </c>
      <c r="H654" s="9">
        <f t="shared" si="67"/>
        <v>-1.0218912279681151E-3</v>
      </c>
      <c r="I654" s="9">
        <f t="shared" si="68"/>
        <v>-9.0679758855180146E-4</v>
      </c>
      <c r="J654" s="9">
        <f t="shared" si="69"/>
        <v>17.530569061472782</v>
      </c>
    </row>
    <row r="655" spans="2:10" x14ac:dyDescent="0.25">
      <c r="B655" s="1">
        <v>43329</v>
      </c>
      <c r="C655" s="13">
        <v>54.395000000000003</v>
      </c>
      <c r="D655" s="6">
        <f t="shared" si="63"/>
        <v>1.9969998124882871E-2</v>
      </c>
      <c r="E655" s="14">
        <f t="shared" si="64"/>
        <v>2.0019132871460283E-4</v>
      </c>
      <c r="F655" s="9">
        <f t="shared" si="65"/>
        <v>17.568820222559651</v>
      </c>
      <c r="G655" s="9">
        <f t="shared" si="66"/>
        <v>-0.32388962332888199</v>
      </c>
      <c r="H655" s="9">
        <f t="shared" si="67"/>
        <v>3.5909368219047105E-4</v>
      </c>
      <c r="I655" s="9">
        <f t="shared" si="68"/>
        <v>-8.0135910151615656E-4</v>
      </c>
      <c r="J655" s="9">
        <f t="shared" si="69"/>
        <v>17.244488333811447</v>
      </c>
    </row>
    <row r="656" spans="2:10" x14ac:dyDescent="0.25">
      <c r="B656" s="1">
        <v>43328</v>
      </c>
      <c r="C656" s="13">
        <v>53.33</v>
      </c>
      <c r="D656" s="6">
        <f t="shared" ref="D656:D719" si="70">C656/C657-1</f>
        <v>1.4649923896499217E-2</v>
      </c>
      <c r="E656" s="14">
        <f t="shared" ref="E656:E719" si="71">_xlfn.VAR.S(D656:D776)</f>
        <v>2.001348640963045E-4</v>
      </c>
      <c r="F656" s="9">
        <f t="shared" si="65"/>
        <v>17.569102315611204</v>
      </c>
      <c r="G656" s="9">
        <f t="shared" si="66"/>
        <v>-0.84305255280802815</v>
      </c>
      <c r="H656" s="9">
        <f t="shared" si="67"/>
        <v>5.0455657868222013E-3</v>
      </c>
      <c r="I656" s="9">
        <f t="shared" si="68"/>
        <v>-7.8883665404512514E-4</v>
      </c>
      <c r="J656" s="9">
        <f t="shared" si="69"/>
        <v>16.730306491935952</v>
      </c>
    </row>
    <row r="657" spans="2:10" x14ac:dyDescent="0.25">
      <c r="B657" s="1">
        <v>43327</v>
      </c>
      <c r="C657" s="13">
        <v>52.56</v>
      </c>
      <c r="D657" s="6">
        <f t="shared" si="70"/>
        <v>2.326557076928859E-3</v>
      </c>
      <c r="E657" s="14">
        <f t="shared" si="71"/>
        <v>2.0078807588525452E-4</v>
      </c>
      <c r="F657" s="9">
        <f t="shared" ref="F657:F720" si="72">LN(2*PI())-LN($C$6)-LN(E657)-0.5*LN(1-POWER($C$7,2))</f>
        <v>17.565843772376091</v>
      </c>
      <c r="G657" s="9">
        <f t="shared" ref="G657:G720" si="73">-POWER(D656-1-$C$3,2)/(2*E657*(1-POWER($C$7,2)))</f>
        <v>-0.42355429967438679</v>
      </c>
      <c r="H657" s="9">
        <f t="shared" ref="H657:H720" si="74">$C$7*(D656-1-$C$3)*(E656-E657-$C$5*$C$4)/(E657*$C$6*(1-POWER($C$7,2)))</f>
        <v>6.9739100972661273E-3</v>
      </c>
      <c r="I657" s="9">
        <f t="shared" ref="I657:I720" si="75">-POWER(E656-E657-$C$5*$C$4+$C$4*E657,2)/(2*POWER($C$6,2)*E657*(1-POWER($C$7,2)))</f>
        <v>-5.791925359764841E-3</v>
      </c>
      <c r="J657" s="9">
        <f t="shared" ref="J657:J720" si="76">SUM(F657:I657)</f>
        <v>17.143471457439205</v>
      </c>
    </row>
    <row r="658" spans="2:10" x14ac:dyDescent="0.25">
      <c r="B658" s="1">
        <v>43326</v>
      </c>
      <c r="C658" s="13">
        <v>52.438000000000002</v>
      </c>
      <c r="D658" s="6">
        <f t="shared" si="70"/>
        <v>4.2131065915966825E-3</v>
      </c>
      <c r="E658" s="14">
        <f t="shared" si="71"/>
        <v>2.0114700050126102E-4</v>
      </c>
      <c r="F658" s="9">
        <f t="shared" si="72"/>
        <v>17.564057788855372</v>
      </c>
      <c r="G658" s="9">
        <f t="shared" si="73"/>
        <v>-1.2188571921409055E-3</v>
      </c>
      <c r="H658" s="9">
        <f t="shared" si="74"/>
        <v>2.981338518091709E-4</v>
      </c>
      <c r="I658" s="9">
        <f t="shared" si="75"/>
        <v>-3.1419145558108331E-3</v>
      </c>
      <c r="J658" s="9">
        <f t="shared" si="76"/>
        <v>17.559995150959232</v>
      </c>
    </row>
    <row r="659" spans="2:10" x14ac:dyDescent="0.25">
      <c r="B659" s="1">
        <v>43325</v>
      </c>
      <c r="C659" s="13">
        <v>52.218000000000004</v>
      </c>
      <c r="D659" s="6">
        <f t="shared" si="70"/>
        <v>6.4568355723455539E-3</v>
      </c>
      <c r="E659" s="14">
        <f t="shared" si="71"/>
        <v>2.0142584646180126E-4</v>
      </c>
      <c r="F659" s="9">
        <f t="shared" si="72"/>
        <v>17.562672469367293</v>
      </c>
      <c r="G659" s="9">
        <f t="shared" si="73"/>
        <v>-1.6646148189192765E-2</v>
      </c>
      <c r="H659" s="9">
        <f t="shared" si="74"/>
        <v>1.0249968759189661E-3</v>
      </c>
      <c r="I659" s="9">
        <f t="shared" si="75"/>
        <v>-2.5562713272367257E-3</v>
      </c>
      <c r="J659" s="9">
        <f t="shared" si="76"/>
        <v>17.544495046726784</v>
      </c>
    </row>
    <row r="660" spans="2:10" x14ac:dyDescent="0.25">
      <c r="B660" s="1">
        <v>43322</v>
      </c>
      <c r="C660" s="13">
        <v>51.883000000000003</v>
      </c>
      <c r="D660" s="6">
        <f t="shared" si="70"/>
        <v>-6.453466104940575E-3</v>
      </c>
      <c r="E660" s="14">
        <f t="shared" si="71"/>
        <v>2.0144638605539626E-4</v>
      </c>
      <c r="F660" s="9">
        <f t="shared" si="72"/>
        <v>17.562570503572903</v>
      </c>
      <c r="G660" s="9">
        <f t="shared" si="73"/>
        <v>-5.8062502788784463E-2</v>
      </c>
      <c r="H660" s="9">
        <f t="shared" si="74"/>
        <v>1.4563175548380218E-3</v>
      </c>
      <c r="I660" s="9">
        <f t="shared" si="75"/>
        <v>-1.0931210935049491E-3</v>
      </c>
      <c r="J660" s="9">
        <f t="shared" si="76"/>
        <v>17.50487119724545</v>
      </c>
    </row>
    <row r="661" spans="2:10" x14ac:dyDescent="0.25">
      <c r="B661" s="1">
        <v>43321</v>
      </c>
      <c r="C661" s="13">
        <v>52.22</v>
      </c>
      <c r="D661" s="6">
        <f t="shared" si="70"/>
        <v>7.8551714820604968E-3</v>
      </c>
      <c r="E661" s="14">
        <f t="shared" si="71"/>
        <v>2.0109848179919752E-4</v>
      </c>
      <c r="F661" s="9">
        <f t="shared" si="72"/>
        <v>17.564299028120615</v>
      </c>
      <c r="G661" s="9">
        <f t="shared" si="73"/>
        <v>-0.16283763991297606</v>
      </c>
      <c r="H661" s="9">
        <f t="shared" si="74"/>
        <v>-1.3462187137797733E-3</v>
      </c>
      <c r="I661" s="9">
        <f t="shared" si="75"/>
        <v>-6.6547369385853649E-5</v>
      </c>
      <c r="J661" s="9">
        <f t="shared" si="76"/>
        <v>17.400048622124473</v>
      </c>
    </row>
    <row r="662" spans="2:10" x14ac:dyDescent="0.25">
      <c r="B662" s="1">
        <v>43320</v>
      </c>
      <c r="C662" s="13">
        <v>51.813000000000002</v>
      </c>
      <c r="D662" s="6">
        <f t="shared" si="70"/>
        <v>6.759627641084176E-4</v>
      </c>
      <c r="E662" s="14">
        <f t="shared" si="71"/>
        <v>2.0922350076280015E-4</v>
      </c>
      <c r="F662" s="9">
        <f t="shared" si="72"/>
        <v>17.524690713165093</v>
      </c>
      <c r="G662" s="9">
        <f t="shared" si="73"/>
        <v>-9.2964103276708218E-2</v>
      </c>
      <c r="H662" s="9">
        <f t="shared" si="74"/>
        <v>1.9646141701241855E-2</v>
      </c>
      <c r="I662" s="9">
        <f t="shared" si="75"/>
        <v>-0.32503636846205686</v>
      </c>
      <c r="J662" s="9">
        <f t="shared" si="76"/>
        <v>17.126336383127569</v>
      </c>
    </row>
    <row r="663" spans="2:10" x14ac:dyDescent="0.25">
      <c r="B663" s="1">
        <v>43319</v>
      </c>
      <c r="C663" s="13">
        <v>51.777999999999999</v>
      </c>
      <c r="D663" s="6">
        <f t="shared" si="70"/>
        <v>-9.3747608479375355E-3</v>
      </c>
      <c r="E663" s="14">
        <f t="shared" si="71"/>
        <v>2.1148034531758318E-4</v>
      </c>
      <c r="F663" s="9">
        <f t="shared" si="72"/>
        <v>17.513961711161286</v>
      </c>
      <c r="G663" s="9">
        <f t="shared" si="73"/>
        <v>-2.1463315665019209E-3</v>
      </c>
      <c r="H663" s="9">
        <f t="shared" si="74"/>
        <v>-1.0171719667275982E-3</v>
      </c>
      <c r="I663" s="9">
        <f t="shared" si="75"/>
        <v>-3.2032379050716084E-2</v>
      </c>
      <c r="J663" s="9">
        <f t="shared" si="76"/>
        <v>17.478765828577345</v>
      </c>
    </row>
    <row r="664" spans="2:10" x14ac:dyDescent="0.25">
      <c r="B664" s="1">
        <v>43318</v>
      </c>
      <c r="C664" s="13">
        <v>52.268000000000001</v>
      </c>
      <c r="D664" s="6">
        <f t="shared" si="70"/>
        <v>5.1925074041310193E-3</v>
      </c>
      <c r="E664" s="14">
        <f t="shared" si="71"/>
        <v>2.1090465101432547E-4</v>
      </c>
      <c r="F664" s="9">
        <f t="shared" si="72"/>
        <v>17.516687634973636</v>
      </c>
      <c r="G664" s="9">
        <f t="shared" si="73"/>
        <v>-0.28781873044106987</v>
      </c>
      <c r="H664" s="9">
        <f t="shared" si="74"/>
        <v>-8.6901225054836933E-4</v>
      </c>
      <c r="I664" s="9">
        <f t="shared" si="75"/>
        <v>-6.6977148863062074E-5</v>
      </c>
      <c r="J664" s="9">
        <f t="shared" si="76"/>
        <v>17.227932915133156</v>
      </c>
    </row>
    <row r="665" spans="2:10" x14ac:dyDescent="0.25">
      <c r="B665" s="1">
        <v>43315</v>
      </c>
      <c r="C665" s="13">
        <v>51.997999999999998</v>
      </c>
      <c r="D665" s="6">
        <f t="shared" si="70"/>
        <v>2.8930720567812429E-3</v>
      </c>
      <c r="E665" s="14">
        <f t="shared" si="71"/>
        <v>2.2284120551991702E-4</v>
      </c>
      <c r="F665" s="9">
        <f t="shared" si="72"/>
        <v>17.461634340450498</v>
      </c>
      <c r="G665" s="9">
        <f t="shared" si="73"/>
        <v>-2.8603256566637127E-2</v>
      </c>
      <c r="H665" s="9">
        <f t="shared" si="74"/>
        <v>1.5068267948829532E-2</v>
      </c>
      <c r="I665" s="9">
        <f t="shared" si="75"/>
        <v>-0.63423010891893816</v>
      </c>
      <c r="J665" s="9">
        <f t="shared" si="76"/>
        <v>16.813869242913754</v>
      </c>
    </row>
    <row r="666" spans="2:10" x14ac:dyDescent="0.25">
      <c r="B666" s="1">
        <v>43314</v>
      </c>
      <c r="C666" s="13">
        <v>51.847999999999999</v>
      </c>
      <c r="D666" s="6">
        <f t="shared" si="70"/>
        <v>2.9240694789081756E-2</v>
      </c>
      <c r="E666" s="14">
        <f t="shared" si="71"/>
        <v>2.2310415416143767E-4</v>
      </c>
      <c r="F666" s="9">
        <f t="shared" si="72"/>
        <v>17.460455053946959</v>
      </c>
      <c r="G666" s="9">
        <f t="shared" si="73"/>
        <v>-3.601000077833942E-3</v>
      </c>
      <c r="H666" s="9">
        <f t="shared" si="74"/>
        <v>4.4631322942846873E-4</v>
      </c>
      <c r="I666" s="9">
        <f t="shared" si="75"/>
        <v>-1.9989398116691732E-3</v>
      </c>
      <c r="J666" s="9">
        <f t="shared" si="76"/>
        <v>17.455301427286884</v>
      </c>
    </row>
    <row r="667" spans="2:10" x14ac:dyDescent="0.25">
      <c r="B667" s="1">
        <v>43313</v>
      </c>
      <c r="C667" s="13">
        <v>50.375</v>
      </c>
      <c r="D667" s="6">
        <f t="shared" si="70"/>
        <v>5.8898955289765187E-2</v>
      </c>
      <c r="E667" s="14">
        <f t="shared" si="71"/>
        <v>2.24435864360523E-4</v>
      </c>
      <c r="F667" s="9">
        <f t="shared" si="72"/>
        <v>17.454503791157222</v>
      </c>
      <c r="G667" s="9">
        <f t="shared" si="73"/>
        <v>-1.7037233815515713</v>
      </c>
      <c r="H667" s="9">
        <f t="shared" si="74"/>
        <v>1.9402150083951363E-2</v>
      </c>
      <c r="I667" s="9">
        <f t="shared" si="75"/>
        <v>-1.2769935141503036E-2</v>
      </c>
      <c r="J667" s="9">
        <f t="shared" si="76"/>
        <v>15.757412624548101</v>
      </c>
    </row>
    <row r="668" spans="2:10" x14ac:dyDescent="0.25">
      <c r="B668" s="1">
        <v>43312</v>
      </c>
      <c r="C668" s="13">
        <v>47.573</v>
      </c>
      <c r="D668" s="6">
        <f t="shared" si="70"/>
        <v>2.0009267450187274E-3</v>
      </c>
      <c r="E668" s="14">
        <f t="shared" si="71"/>
        <v>2.0163907682914413E-4</v>
      </c>
      <c r="F668" s="9">
        <f t="shared" si="72"/>
        <v>17.56161442449703</v>
      </c>
      <c r="G668" s="9">
        <f t="shared" si="73"/>
        <v>-8.157504132155184</v>
      </c>
      <c r="H668" s="9">
        <f t="shared" si="74"/>
        <v>-0.46195424040169941</v>
      </c>
      <c r="I668" s="9">
        <f t="shared" si="75"/>
        <v>-2.2843586325841496</v>
      </c>
      <c r="J668" s="9">
        <f t="shared" si="76"/>
        <v>6.6577974193559974</v>
      </c>
    </row>
    <row r="669" spans="2:10" x14ac:dyDescent="0.25">
      <c r="B669" s="1">
        <v>43311</v>
      </c>
      <c r="C669" s="13">
        <v>47.478000000000002</v>
      </c>
      <c r="D669" s="6">
        <f t="shared" si="70"/>
        <v>-5.592208608231175E-3</v>
      </c>
      <c r="E669" s="14">
        <f t="shared" si="71"/>
        <v>2.1513697704852116E-4</v>
      </c>
      <c r="F669" s="9">
        <f t="shared" si="72"/>
        <v>17.496818847573607</v>
      </c>
      <c r="G669" s="9">
        <f t="shared" si="73"/>
        <v>-3.2531242582026562E-4</v>
      </c>
      <c r="H669" s="9">
        <f t="shared" si="74"/>
        <v>1.8359581500901074E-3</v>
      </c>
      <c r="I669" s="9">
        <f t="shared" si="75"/>
        <v>-0.83479063660097774</v>
      </c>
      <c r="J669" s="9">
        <f t="shared" si="76"/>
        <v>16.663538856696899</v>
      </c>
    </row>
    <row r="670" spans="2:10" x14ac:dyDescent="0.25">
      <c r="B670" s="1">
        <v>43308</v>
      </c>
      <c r="C670" s="13">
        <v>47.744999999999997</v>
      </c>
      <c r="D670" s="6">
        <f t="shared" si="70"/>
        <v>-1.6641608139558839E-2</v>
      </c>
      <c r="E670" s="14">
        <f t="shared" si="71"/>
        <v>2.2059851384759614E-4</v>
      </c>
      <c r="F670" s="9">
        <f t="shared" si="72"/>
        <v>17.471749405457082</v>
      </c>
      <c r="G670" s="9">
        <f t="shared" si="73"/>
        <v>-0.11848730975814815</v>
      </c>
      <c r="H670" s="9">
        <f t="shared" si="74"/>
        <v>-1.5154850210459975E-2</v>
      </c>
      <c r="I670" s="9">
        <f t="shared" si="75"/>
        <v>-0.14565414973086438</v>
      </c>
      <c r="J670" s="9">
        <f t="shared" si="76"/>
        <v>17.19245309575761</v>
      </c>
    </row>
    <row r="671" spans="2:10" x14ac:dyDescent="0.25">
      <c r="B671" s="1">
        <v>43307</v>
      </c>
      <c r="C671" s="13">
        <v>48.552999999999997</v>
      </c>
      <c r="D671" s="6">
        <f t="shared" si="70"/>
        <v>-3.1208294836259087E-3</v>
      </c>
      <c r="E671" s="14">
        <f t="shared" si="71"/>
        <v>2.3462018163469979E-4</v>
      </c>
      <c r="F671" s="9">
        <f t="shared" si="72"/>
        <v>17.410125817146128</v>
      </c>
      <c r="G671" s="9">
        <f t="shared" si="73"/>
        <v>-0.71337093384519812</v>
      </c>
      <c r="H671" s="9">
        <f t="shared" si="74"/>
        <v>-8.5343168080925902E-2</v>
      </c>
      <c r="I671" s="9">
        <f t="shared" si="75"/>
        <v>-0.82039003235407248</v>
      </c>
      <c r="J671" s="9">
        <f t="shared" si="76"/>
        <v>15.791021682865932</v>
      </c>
    </row>
    <row r="672" spans="2:10" x14ac:dyDescent="0.25">
      <c r="B672" s="1">
        <v>43306</v>
      </c>
      <c r="C672" s="13">
        <v>48.704999999999998</v>
      </c>
      <c r="D672" s="6">
        <f t="shared" si="70"/>
        <v>9.4300518134715627E-3</v>
      </c>
      <c r="E672" s="14">
        <f t="shared" si="71"/>
        <v>2.3445827249528249E-4</v>
      </c>
      <c r="F672" s="9">
        <f t="shared" si="72"/>
        <v>17.410816145786985</v>
      </c>
      <c r="G672" s="9">
        <f t="shared" si="73"/>
        <v>-4.8221614566809685E-2</v>
      </c>
      <c r="H672" s="9">
        <f t="shared" si="74"/>
        <v>-9.5699079050563449E-4</v>
      </c>
      <c r="I672" s="9">
        <f t="shared" si="75"/>
        <v>-2.4855233109341291E-4</v>
      </c>
      <c r="J672" s="9">
        <f t="shared" si="76"/>
        <v>17.361388988098575</v>
      </c>
    </row>
    <row r="673" spans="2:10" x14ac:dyDescent="0.25">
      <c r="B673" s="1">
        <v>43305</v>
      </c>
      <c r="C673" s="13">
        <v>48.25</v>
      </c>
      <c r="D673" s="6">
        <f t="shared" si="70"/>
        <v>7.2438051896541733E-3</v>
      </c>
      <c r="E673" s="14">
        <f t="shared" si="71"/>
        <v>2.3392967715069683E-4</v>
      </c>
      <c r="F673" s="9">
        <f t="shared" si="72"/>
        <v>17.413073230194868</v>
      </c>
      <c r="G673" s="9">
        <f t="shared" si="73"/>
        <v>-0.13051430173361658</v>
      </c>
      <c r="H673" s="9">
        <f t="shared" si="74"/>
        <v>6.7180537941425743E-4</v>
      </c>
      <c r="I673" s="9">
        <f t="shared" si="75"/>
        <v>-5.1911434424149463E-5</v>
      </c>
      <c r="J673" s="9">
        <f t="shared" si="76"/>
        <v>17.283178822406242</v>
      </c>
    </row>
    <row r="674" spans="2:10" x14ac:dyDescent="0.25">
      <c r="B674" s="1">
        <v>43304</v>
      </c>
      <c r="C674" s="13">
        <v>47.902999999999999</v>
      </c>
      <c r="D674" s="6">
        <f t="shared" si="70"/>
        <v>8.9845382365227877E-4</v>
      </c>
      <c r="E674" s="14">
        <f t="shared" si="71"/>
        <v>2.3405625803829213E-4</v>
      </c>
      <c r="F674" s="9">
        <f t="shared" si="72"/>
        <v>17.41253226996011</v>
      </c>
      <c r="G674" s="9">
        <f t="shared" si="73"/>
        <v>-6.7586163675607672E-2</v>
      </c>
      <c r="H674" s="9">
        <f t="shared" si="74"/>
        <v>1.6458148193768233E-3</v>
      </c>
      <c r="I674" s="9">
        <f t="shared" si="75"/>
        <v>-1.1522783926236992E-3</v>
      </c>
      <c r="J674" s="9">
        <f t="shared" si="76"/>
        <v>17.345439642711256</v>
      </c>
    </row>
    <row r="675" spans="2:10" x14ac:dyDescent="0.25">
      <c r="B675" s="1">
        <v>43301</v>
      </c>
      <c r="C675" s="13">
        <v>47.86</v>
      </c>
      <c r="D675" s="6">
        <f t="shared" si="70"/>
        <v>-2.2930998540754421E-3</v>
      </c>
      <c r="E675" s="14">
        <f t="shared" si="71"/>
        <v>2.3802554837597532E-4</v>
      </c>
      <c r="F675" s="9">
        <f t="shared" si="72"/>
        <v>17.395715761361025</v>
      </c>
      <c r="G675" s="9">
        <f t="shared" si="73"/>
        <v>-1.1193338044047751E-3</v>
      </c>
      <c r="H675" s="9">
        <f t="shared" si="74"/>
        <v>-1.0801379389659134E-3</v>
      </c>
      <c r="I675" s="9">
        <f t="shared" si="75"/>
        <v>-7.4337144481347608E-2</v>
      </c>
      <c r="J675" s="9">
        <f t="shared" si="76"/>
        <v>17.319179145136307</v>
      </c>
    </row>
    <row r="676" spans="2:10" x14ac:dyDescent="0.25">
      <c r="B676" s="1">
        <v>43300</v>
      </c>
      <c r="C676" s="13">
        <v>47.97</v>
      </c>
      <c r="D676" s="6">
        <f t="shared" si="70"/>
        <v>7.7731092436974514E-3</v>
      </c>
      <c r="E676" s="14">
        <f t="shared" si="71"/>
        <v>2.3794656562539873E-4</v>
      </c>
      <c r="F676" s="9">
        <f t="shared" si="72"/>
        <v>17.396047641103465</v>
      </c>
      <c r="G676" s="9">
        <f t="shared" si="73"/>
        <v>-3.2392567573505289E-2</v>
      </c>
      <c r="H676" s="9">
        <f t="shared" si="74"/>
        <v>-8.7960731965717174E-4</v>
      </c>
      <c r="I676" s="9">
        <f t="shared" si="75"/>
        <v>-4.1848964032116634E-4</v>
      </c>
      <c r="J676" s="9">
        <f t="shared" si="76"/>
        <v>17.362356976569981</v>
      </c>
    </row>
    <row r="677" spans="2:10" x14ac:dyDescent="0.25">
      <c r="B677" s="1">
        <v>43299</v>
      </c>
      <c r="C677" s="13">
        <v>47.6</v>
      </c>
      <c r="D677" s="6">
        <f t="shared" si="70"/>
        <v>-5.4948498840440285E-3</v>
      </c>
      <c r="E677" s="14">
        <f t="shared" si="71"/>
        <v>2.4050447433261724E-4</v>
      </c>
      <c r="F677" s="9">
        <f t="shared" si="72"/>
        <v>17.385355081722476</v>
      </c>
      <c r="G677" s="9">
        <f t="shared" si="73"/>
        <v>-7.8755585852316734E-2</v>
      </c>
      <c r="H677" s="9">
        <f t="shared" si="74"/>
        <v>6.34662856673997E-3</v>
      </c>
      <c r="I677" s="9">
        <f t="shared" si="75"/>
        <v>-3.367674548670755E-2</v>
      </c>
      <c r="J677" s="9">
        <f t="shared" si="76"/>
        <v>17.27926937895019</v>
      </c>
    </row>
    <row r="678" spans="2:10" x14ac:dyDescent="0.25">
      <c r="B678" s="1">
        <v>43298</v>
      </c>
      <c r="C678" s="13">
        <v>47.863</v>
      </c>
      <c r="D678" s="6">
        <f t="shared" si="70"/>
        <v>2.8285283271873851E-3</v>
      </c>
      <c r="E678" s="14">
        <f t="shared" si="71"/>
        <v>2.4250805361525953E-4</v>
      </c>
      <c r="F678" s="9">
        <f t="shared" si="72"/>
        <v>17.377058854778213</v>
      </c>
      <c r="G678" s="9">
        <f t="shared" si="73"/>
        <v>-0.10489511817963347</v>
      </c>
      <c r="H678" s="9">
        <f t="shared" si="74"/>
        <v>-6.0904257200632764E-3</v>
      </c>
      <c r="I678" s="9">
        <f t="shared" si="75"/>
        <v>-2.2003136092364137E-2</v>
      </c>
      <c r="J678" s="9">
        <f t="shared" si="76"/>
        <v>17.244070174786149</v>
      </c>
    </row>
    <row r="679" spans="2:10" x14ac:dyDescent="0.25">
      <c r="B679" s="1">
        <v>43297</v>
      </c>
      <c r="C679" s="13">
        <v>47.728000000000002</v>
      </c>
      <c r="D679" s="6">
        <f t="shared" si="70"/>
        <v>-2.195137248343082E-3</v>
      </c>
      <c r="E679" s="14">
        <f t="shared" si="71"/>
        <v>2.4247460501846264E-4</v>
      </c>
      <c r="F679" s="9">
        <f t="shared" si="72"/>
        <v>17.377196792068361</v>
      </c>
      <c r="G679" s="9">
        <f t="shared" si="73"/>
        <v>-2.9840276964565472E-3</v>
      </c>
      <c r="H679" s="9">
        <f t="shared" si="74"/>
        <v>2.8114775843827511E-4</v>
      </c>
      <c r="I679" s="9">
        <f t="shared" si="75"/>
        <v>-5.1135981744312639E-4</v>
      </c>
      <c r="J679" s="9">
        <f t="shared" si="76"/>
        <v>17.373982552312899</v>
      </c>
    </row>
    <row r="680" spans="2:10" x14ac:dyDescent="0.25">
      <c r="B680" s="1">
        <v>43294</v>
      </c>
      <c r="C680" s="13">
        <v>47.832999999999998</v>
      </c>
      <c r="D680" s="6">
        <f t="shared" si="70"/>
        <v>1.570417521671752E-3</v>
      </c>
      <c r="E680" s="14">
        <f t="shared" si="71"/>
        <v>2.4306409838257685E-4</v>
      </c>
      <c r="F680" s="9">
        <f t="shared" si="72"/>
        <v>17.374768587479799</v>
      </c>
      <c r="G680" s="9">
        <f t="shared" si="73"/>
        <v>-3.0145623807594977E-2</v>
      </c>
      <c r="H680" s="9">
        <f t="shared" si="74"/>
        <v>-1.6169013666759971E-3</v>
      </c>
      <c r="I680" s="9">
        <f t="shared" si="75"/>
        <v>-3.7124583293845852E-3</v>
      </c>
      <c r="J680" s="9">
        <f t="shared" si="76"/>
        <v>17.339293603976142</v>
      </c>
    </row>
    <row r="681" spans="2:10" x14ac:dyDescent="0.25">
      <c r="B681" s="1">
        <v>43293</v>
      </c>
      <c r="C681" s="13">
        <v>47.758000000000003</v>
      </c>
      <c r="D681" s="6">
        <f t="shared" si="70"/>
        <v>1.6776665956993897E-2</v>
      </c>
      <c r="E681" s="14">
        <f t="shared" si="71"/>
        <v>2.4327698542175237E-4</v>
      </c>
      <c r="F681" s="9">
        <f t="shared" si="72"/>
        <v>17.373893123490177</v>
      </c>
      <c r="G681" s="9">
        <f t="shared" si="73"/>
        <v>-6.6811961237951413E-6</v>
      </c>
      <c r="H681" s="9">
        <f t="shared" si="74"/>
        <v>-1.7543943024267617E-5</v>
      </c>
      <c r="I681" s="9">
        <f t="shared" si="75"/>
        <v>-1.4193327273035843E-3</v>
      </c>
      <c r="J681" s="9">
        <f t="shared" si="76"/>
        <v>17.372449565623729</v>
      </c>
    </row>
    <row r="682" spans="2:10" x14ac:dyDescent="0.25">
      <c r="B682" s="1">
        <v>43292</v>
      </c>
      <c r="C682" s="13">
        <v>46.97</v>
      </c>
      <c r="D682" s="6">
        <f t="shared" si="70"/>
        <v>-1.2986467176599237E-2</v>
      </c>
      <c r="E682" s="14">
        <f t="shared" si="71"/>
        <v>2.4109180999215776E-4</v>
      </c>
      <c r="F682" s="9">
        <f t="shared" si="72"/>
        <v>17.382915960118574</v>
      </c>
      <c r="G682" s="9">
        <f t="shared" si="73"/>
        <v>-0.47737198666788805</v>
      </c>
      <c r="H682" s="9">
        <f t="shared" si="74"/>
        <v>-6.4313356025922546E-3</v>
      </c>
      <c r="I682" s="9">
        <f t="shared" si="75"/>
        <v>-1.2182722773444116E-2</v>
      </c>
      <c r="J682" s="9">
        <f t="shared" si="76"/>
        <v>16.886929915074649</v>
      </c>
    </row>
    <row r="683" spans="2:10" x14ac:dyDescent="0.25">
      <c r="B683" s="1">
        <v>43291</v>
      </c>
      <c r="C683" s="13">
        <v>47.588000000000001</v>
      </c>
      <c r="D683" s="6">
        <f t="shared" si="70"/>
        <v>-1.1963479903452923E-3</v>
      </c>
      <c r="E683" s="14">
        <f t="shared" si="71"/>
        <v>2.4164353871446525E-4</v>
      </c>
      <c r="F683" s="9">
        <f t="shared" si="72"/>
        <v>17.38063011565319</v>
      </c>
      <c r="G683" s="9">
        <f t="shared" si="73"/>
        <v>-0.4432057171398347</v>
      </c>
      <c r="H683" s="9">
        <f t="shared" si="74"/>
        <v>-6.0490689497268825E-3</v>
      </c>
      <c r="I683" s="9">
        <f t="shared" si="75"/>
        <v>-3.4714587858306516E-3</v>
      </c>
      <c r="J683" s="9">
        <f t="shared" si="76"/>
        <v>16.927903870777794</v>
      </c>
    </row>
    <row r="684" spans="2:10" x14ac:dyDescent="0.25">
      <c r="B684" s="1">
        <v>43290</v>
      </c>
      <c r="C684" s="13">
        <v>47.645000000000003</v>
      </c>
      <c r="D684" s="6">
        <f t="shared" si="70"/>
        <v>1.3874406826548613E-2</v>
      </c>
      <c r="E684" s="14">
        <f t="shared" si="71"/>
        <v>2.4189492549764891E-4</v>
      </c>
      <c r="F684" s="9">
        <f t="shared" si="72"/>
        <v>17.37959033567936</v>
      </c>
      <c r="G684" s="9">
        <f t="shared" si="73"/>
        <v>-1.6529611137195366E-2</v>
      </c>
      <c r="H684" s="9">
        <f t="shared" si="74"/>
        <v>-9.083529113967059E-4</v>
      </c>
      <c r="I684" s="9">
        <f t="shared" si="75"/>
        <v>-1.6242549103697834E-3</v>
      </c>
      <c r="J684" s="9">
        <f t="shared" si="76"/>
        <v>17.360528116720399</v>
      </c>
    </row>
    <row r="685" spans="2:10" x14ac:dyDescent="0.25">
      <c r="B685" s="1">
        <v>43287</v>
      </c>
      <c r="C685" s="13">
        <v>46.993000000000002</v>
      </c>
      <c r="D685" s="6">
        <f t="shared" si="70"/>
        <v>1.3872707659115413E-2</v>
      </c>
      <c r="E685" s="14">
        <f t="shared" si="71"/>
        <v>2.4122329535007064E-4</v>
      </c>
      <c r="F685" s="9">
        <f t="shared" si="72"/>
        <v>17.382370734146122</v>
      </c>
      <c r="G685" s="9">
        <f t="shared" si="73"/>
        <v>-0.31181541169885502</v>
      </c>
      <c r="H685" s="9">
        <f t="shared" si="74"/>
        <v>4.8560915963008331E-4</v>
      </c>
      <c r="I685" s="9">
        <f t="shared" si="75"/>
        <v>-2.786774424343961E-4</v>
      </c>
      <c r="J685" s="9">
        <f t="shared" si="76"/>
        <v>17.07076225416446</v>
      </c>
    </row>
    <row r="686" spans="2:10" x14ac:dyDescent="0.25">
      <c r="B686" s="1">
        <v>43286</v>
      </c>
      <c r="C686" s="13">
        <v>46.35</v>
      </c>
      <c r="D686" s="6">
        <f t="shared" si="70"/>
        <v>8.0469769464985852E-3</v>
      </c>
      <c r="E686" s="14">
        <f t="shared" si="71"/>
        <v>2.399779977620615E-4</v>
      </c>
      <c r="F686" s="9">
        <f t="shared" si="72"/>
        <v>17.387546532240783</v>
      </c>
      <c r="G686" s="9">
        <f t="shared" si="73"/>
        <v>-0.3133465230874119</v>
      </c>
      <c r="H686" s="9">
        <f t="shared" si="74"/>
        <v>-1.6764245117789837E-3</v>
      </c>
      <c r="I686" s="9">
        <f t="shared" si="75"/>
        <v>-2.7250715570083274E-3</v>
      </c>
      <c r="J686" s="9">
        <f t="shared" si="76"/>
        <v>17.069798513084585</v>
      </c>
    </row>
    <row r="687" spans="2:10" x14ac:dyDescent="0.25">
      <c r="B687" s="1">
        <v>43284</v>
      </c>
      <c r="C687" s="13">
        <v>45.98</v>
      </c>
      <c r="D687" s="6">
        <f t="shared" si="70"/>
        <v>-1.7416390640025758E-2</v>
      </c>
      <c r="E687" s="14">
        <f t="shared" si="71"/>
        <v>2.3952091666733715E-4</v>
      </c>
      <c r="F687" s="9">
        <f t="shared" si="72"/>
        <v>17.389453027623425</v>
      </c>
      <c r="G687" s="9">
        <f t="shared" si="73"/>
        <v>-8.6283861138151813E-2</v>
      </c>
      <c r="H687" s="9">
        <f t="shared" si="74"/>
        <v>6.815487527374232E-4</v>
      </c>
      <c r="I687" s="9">
        <f t="shared" si="75"/>
        <v>-1.0585603967392159E-5</v>
      </c>
      <c r="J687" s="9">
        <f t="shared" si="76"/>
        <v>17.303840129634043</v>
      </c>
    </row>
    <row r="688" spans="2:10" x14ac:dyDescent="0.25">
      <c r="B688" s="1">
        <v>43283</v>
      </c>
      <c r="C688" s="13">
        <v>46.795000000000002</v>
      </c>
      <c r="D688" s="6">
        <f t="shared" si="70"/>
        <v>1.1171615022256942E-2</v>
      </c>
      <c r="E688" s="14">
        <f t="shared" si="71"/>
        <v>2.3681089769961029E-4</v>
      </c>
      <c r="F688" s="9">
        <f t="shared" si="72"/>
        <v>17.400831852747007</v>
      </c>
      <c r="G688" s="9">
        <f t="shared" si="73"/>
        <v>-0.76799085716955529</v>
      </c>
      <c r="H688" s="9">
        <f t="shared" si="74"/>
        <v>1.1351646539637791E-2</v>
      </c>
      <c r="I688" s="9">
        <f t="shared" si="75"/>
        <v>-2.0651725654121857E-2</v>
      </c>
      <c r="J688" s="9">
        <f t="shared" si="76"/>
        <v>16.623540916462968</v>
      </c>
    </row>
    <row r="689" spans="2:10" x14ac:dyDescent="0.25">
      <c r="B689" s="1">
        <v>43280</v>
      </c>
      <c r="C689" s="13">
        <v>46.277999999999999</v>
      </c>
      <c r="D689" s="6">
        <f t="shared" si="70"/>
        <v>-2.0916442048517503E-3</v>
      </c>
      <c r="E689" s="14">
        <f t="shared" si="71"/>
        <v>2.3604439068258118E-4</v>
      </c>
      <c r="F689" s="9">
        <f t="shared" si="72"/>
        <v>17.404073891938474</v>
      </c>
      <c r="G689" s="9">
        <f t="shared" si="73"/>
        <v>-0.1935283869231062</v>
      </c>
      <c r="H689" s="9">
        <f t="shared" si="74"/>
        <v>1.0308001866120829E-4</v>
      </c>
      <c r="I689" s="9">
        <f t="shared" si="75"/>
        <v>-4.9618456050991636E-4</v>
      </c>
      <c r="J689" s="9">
        <f t="shared" si="76"/>
        <v>17.210152400473518</v>
      </c>
    </row>
    <row r="690" spans="2:10" x14ac:dyDescent="0.25">
      <c r="B690" s="1">
        <v>43279</v>
      </c>
      <c r="C690" s="13">
        <v>46.375</v>
      </c>
      <c r="D690" s="6">
        <f t="shared" si="70"/>
        <v>7.2762814943527765E-3</v>
      </c>
      <c r="E690" s="14">
        <f t="shared" si="71"/>
        <v>2.3694304757394385E-4</v>
      </c>
      <c r="F690" s="9">
        <f t="shared" si="72"/>
        <v>17.400273968726921</v>
      </c>
      <c r="G690" s="9">
        <f t="shared" si="73"/>
        <v>-2.9272514286866624E-2</v>
      </c>
      <c r="H690" s="9">
        <f t="shared" si="74"/>
        <v>-1.9725729179304813E-3</v>
      </c>
      <c r="I690" s="9">
        <f t="shared" si="75"/>
        <v>-6.6665261508099278E-3</v>
      </c>
      <c r="J690" s="9">
        <f t="shared" si="76"/>
        <v>17.362362355371314</v>
      </c>
    </row>
    <row r="691" spans="2:10" x14ac:dyDescent="0.25">
      <c r="B691" s="1">
        <v>43278</v>
      </c>
      <c r="C691" s="13">
        <v>46.04</v>
      </c>
      <c r="D691" s="6">
        <f t="shared" si="70"/>
        <v>-1.4747982996442532E-3</v>
      </c>
      <c r="E691" s="14">
        <f t="shared" si="71"/>
        <v>2.3671152226020363E-4</v>
      </c>
      <c r="F691" s="9">
        <f t="shared" si="72"/>
        <v>17.401251581303363</v>
      </c>
      <c r="G691" s="9">
        <f t="shared" si="73"/>
        <v>-6.7603109644479326E-2</v>
      </c>
      <c r="H691" s="9">
        <f t="shared" si="74"/>
        <v>1.004855937629937E-3</v>
      </c>
      <c r="I691" s="9">
        <f t="shared" si="75"/>
        <v>-1.2339653594368254E-4</v>
      </c>
      <c r="J691" s="9">
        <f t="shared" si="76"/>
        <v>17.334529931060569</v>
      </c>
    </row>
    <row r="692" spans="2:10" x14ac:dyDescent="0.25">
      <c r="B692" s="1">
        <v>43277</v>
      </c>
      <c r="C692" s="13">
        <v>46.107999999999997</v>
      </c>
      <c r="D692" s="6">
        <f t="shared" si="70"/>
        <v>1.2405858199942887E-2</v>
      </c>
      <c r="E692" s="14">
        <f t="shared" si="71"/>
        <v>2.3667883311555198E-4</v>
      </c>
      <c r="F692" s="9">
        <f t="shared" si="72"/>
        <v>17.401389687812433</v>
      </c>
      <c r="G692" s="9">
        <f t="shared" si="73"/>
        <v>-2.0390065922087371E-2</v>
      </c>
      <c r="H692" s="9">
        <f t="shared" si="74"/>
        <v>-7.4460413574984979E-4</v>
      </c>
      <c r="I692" s="9">
        <f t="shared" si="75"/>
        <v>-5.5389667268611342E-4</v>
      </c>
      <c r="J692" s="9">
        <f t="shared" si="76"/>
        <v>17.379701121081911</v>
      </c>
    </row>
    <row r="693" spans="2:10" x14ac:dyDescent="0.25">
      <c r="B693" s="1">
        <v>43276</v>
      </c>
      <c r="C693" s="13">
        <v>45.542999999999999</v>
      </c>
      <c r="D693" s="6">
        <f t="shared" si="70"/>
        <v>-1.4860480207657289E-2</v>
      </c>
      <c r="E693" s="14">
        <f t="shared" si="71"/>
        <v>2.3799978037502973E-4</v>
      </c>
      <c r="F693" s="9">
        <f t="shared" si="72"/>
        <v>17.395824024511803</v>
      </c>
      <c r="G693" s="9">
        <f t="shared" si="73"/>
        <v>-0.2447902551222903</v>
      </c>
      <c r="H693" s="9">
        <f t="shared" si="74"/>
        <v>7.1057177745221106E-3</v>
      </c>
      <c r="I693" s="9">
        <f t="shared" si="75"/>
        <v>-1.159240875295782E-2</v>
      </c>
      <c r="J693" s="9">
        <f t="shared" si="76"/>
        <v>17.146547078411079</v>
      </c>
    </row>
    <row r="694" spans="2:10" x14ac:dyDescent="0.25">
      <c r="B694" s="1">
        <v>43273</v>
      </c>
      <c r="C694" s="13">
        <v>46.23</v>
      </c>
      <c r="D694" s="6">
        <f t="shared" si="70"/>
        <v>-2.9116790682628402E-3</v>
      </c>
      <c r="E694" s="14">
        <f t="shared" si="71"/>
        <v>2.3708155931165186E-4</v>
      </c>
      <c r="F694" s="9">
        <f t="shared" si="72"/>
        <v>17.399689561336931</v>
      </c>
      <c r="G694" s="9">
        <f t="shared" si="73"/>
        <v>-0.57501933378614389</v>
      </c>
      <c r="H694" s="9">
        <f t="shared" si="74"/>
        <v>6.0287119506523398E-4</v>
      </c>
      <c r="I694" s="9">
        <f t="shared" si="75"/>
        <v>-1.0114916043825243E-3</v>
      </c>
      <c r="J694" s="9">
        <f t="shared" si="76"/>
        <v>16.824261607141469</v>
      </c>
    </row>
    <row r="695" spans="2:10" x14ac:dyDescent="0.25">
      <c r="B695" s="1">
        <v>43272</v>
      </c>
      <c r="C695" s="13">
        <v>46.365000000000002</v>
      </c>
      <c r="D695" s="6">
        <f t="shared" si="70"/>
        <v>-5.5764075067024077E-3</v>
      </c>
      <c r="E695" s="14">
        <f t="shared" si="71"/>
        <v>2.3700207553337447E-4</v>
      </c>
      <c r="F695" s="9">
        <f t="shared" si="72"/>
        <v>17.40002487676729</v>
      </c>
      <c r="G695" s="9">
        <f t="shared" si="73"/>
        <v>-4.3594010302521385E-2</v>
      </c>
      <c r="H695" s="9">
        <f t="shared" si="74"/>
        <v>-1.0217431265545174E-3</v>
      </c>
      <c r="I695" s="9">
        <f t="shared" si="75"/>
        <v>-4.2287904941220764E-4</v>
      </c>
      <c r="J695" s="9">
        <f t="shared" si="76"/>
        <v>17.354986244288803</v>
      </c>
    </row>
    <row r="696" spans="2:10" x14ac:dyDescent="0.25">
      <c r="B696" s="1">
        <v>43271</v>
      </c>
      <c r="C696" s="13">
        <v>46.625</v>
      </c>
      <c r="D696" s="6">
        <f t="shared" si="70"/>
        <v>4.351291385735534E-3</v>
      </c>
      <c r="E696" s="14">
        <f t="shared" si="71"/>
        <v>2.3666362700068089E-4</v>
      </c>
      <c r="F696" s="9">
        <f t="shared" si="72"/>
        <v>17.401453937763186</v>
      </c>
      <c r="G696" s="9">
        <f t="shared" si="73"/>
        <v>-0.10996127897839167</v>
      </c>
      <c r="H696" s="9">
        <f t="shared" si="74"/>
        <v>-1.0410393457428821E-3</v>
      </c>
      <c r="I696" s="9">
        <f t="shared" si="75"/>
        <v>-1.9661578051465293E-5</v>
      </c>
      <c r="J696" s="9">
        <f t="shared" si="76"/>
        <v>17.290431957860999</v>
      </c>
    </row>
    <row r="697" spans="2:10" x14ac:dyDescent="0.25">
      <c r="B697" s="1">
        <v>43270</v>
      </c>
      <c r="C697" s="13">
        <v>46.423000000000002</v>
      </c>
      <c r="D697" s="6">
        <f t="shared" si="70"/>
        <v>-1.6149199957613658E-2</v>
      </c>
      <c r="E697" s="14">
        <f t="shared" si="71"/>
        <v>2.4223206216074624E-4</v>
      </c>
      <c r="F697" s="9">
        <f t="shared" si="72"/>
        <v>17.37819757416765</v>
      </c>
      <c r="G697" s="9">
        <f t="shared" si="73"/>
        <v>-1.5360931146241166E-2</v>
      </c>
      <c r="H697" s="9">
        <f t="shared" si="74"/>
        <v>5.2961542624517062E-3</v>
      </c>
      <c r="I697" s="9">
        <f t="shared" si="75"/>
        <v>-0.13586374119760619</v>
      </c>
      <c r="J697" s="9">
        <f t="shared" si="76"/>
        <v>17.232269056086256</v>
      </c>
    </row>
    <row r="698" spans="2:10" x14ac:dyDescent="0.25">
      <c r="B698" s="1">
        <v>43269</v>
      </c>
      <c r="C698" s="13">
        <v>47.185000000000002</v>
      </c>
      <c r="D698" s="6">
        <f t="shared" si="70"/>
        <v>-5.2954882440159334E-4</v>
      </c>
      <c r="E698" s="14">
        <f t="shared" si="71"/>
        <v>2.3987677068242899E-4</v>
      </c>
      <c r="F698" s="9">
        <f t="shared" si="72"/>
        <v>17.387968439400158</v>
      </c>
      <c r="G698" s="9">
        <f t="shared" si="73"/>
        <v>-0.66063256168593509</v>
      </c>
      <c r="H698" s="9">
        <f t="shared" si="74"/>
        <v>8.5170777796948604E-3</v>
      </c>
      <c r="I698" s="9">
        <f t="shared" si="75"/>
        <v>-1.4662030168836482E-2</v>
      </c>
      <c r="J698" s="9">
        <f t="shared" si="76"/>
        <v>16.721190925325079</v>
      </c>
    </row>
    <row r="699" spans="2:10" x14ac:dyDescent="0.25">
      <c r="B699" s="1">
        <v>43266</v>
      </c>
      <c r="C699" s="13">
        <v>47.21</v>
      </c>
      <c r="D699" s="6">
        <f t="shared" si="70"/>
        <v>-1.0272536687631062E-2</v>
      </c>
      <c r="E699" s="14">
        <f t="shared" si="71"/>
        <v>2.3993913983772115E-4</v>
      </c>
      <c r="F699" s="9">
        <f t="shared" si="72"/>
        <v>17.387708468214228</v>
      </c>
      <c r="G699" s="9">
        <f t="shared" si="73"/>
        <v>-9.7232452808761385E-3</v>
      </c>
      <c r="H699" s="9">
        <f t="shared" si="74"/>
        <v>-5.7386727132100086E-4</v>
      </c>
      <c r="I699" s="9">
        <f t="shared" si="75"/>
        <v>-8.3742039294285942E-4</v>
      </c>
      <c r="J699" s="9">
        <f t="shared" si="76"/>
        <v>17.376573935269086</v>
      </c>
    </row>
    <row r="700" spans="2:10" x14ac:dyDescent="0.25">
      <c r="B700" s="1">
        <v>43265</v>
      </c>
      <c r="C700" s="13">
        <v>47.7</v>
      </c>
      <c r="D700" s="6">
        <f t="shared" si="70"/>
        <v>5.2438384897746104E-4</v>
      </c>
      <c r="E700" s="14">
        <f t="shared" si="71"/>
        <v>2.389442934807113E-4</v>
      </c>
      <c r="F700" s="9">
        <f t="shared" si="72"/>
        <v>17.39186333229577</v>
      </c>
      <c r="G700" s="9">
        <f t="shared" si="73"/>
        <v>-0.29719546219634496</v>
      </c>
      <c r="H700" s="9">
        <f t="shared" si="74"/>
        <v>7.1389400106781648E-4</v>
      </c>
      <c r="I700" s="9">
        <f t="shared" si="75"/>
        <v>-1.3421863743063767E-3</v>
      </c>
      <c r="J700" s="9">
        <f t="shared" si="76"/>
        <v>17.094039577726186</v>
      </c>
    </row>
    <row r="701" spans="2:10" x14ac:dyDescent="0.25">
      <c r="B701" s="1">
        <v>43264</v>
      </c>
      <c r="C701" s="13">
        <v>47.674999999999997</v>
      </c>
      <c r="D701" s="6">
        <f t="shared" si="70"/>
        <v>-8.2171832743915818E-3</v>
      </c>
      <c r="E701" s="14">
        <f t="shared" si="71"/>
        <v>2.400389528498007E-4</v>
      </c>
      <c r="F701" s="9">
        <f t="shared" si="72"/>
        <v>17.387292561675828</v>
      </c>
      <c r="G701" s="9">
        <f t="shared" si="73"/>
        <v>-2.5415284645868546E-3</v>
      </c>
      <c r="H701" s="9">
        <f t="shared" si="74"/>
        <v>-6.4406711616724261E-4</v>
      </c>
      <c r="I701" s="9">
        <f t="shared" si="75"/>
        <v>-8.6419715550475618E-3</v>
      </c>
      <c r="J701" s="9">
        <f t="shared" si="76"/>
        <v>17.375464994540028</v>
      </c>
    </row>
    <row r="702" spans="2:10" x14ac:dyDescent="0.25">
      <c r="B702" s="1">
        <v>43263</v>
      </c>
      <c r="C702" s="13">
        <v>48.07</v>
      </c>
      <c r="D702" s="6">
        <f t="shared" si="70"/>
        <v>5.4802543507361801E-3</v>
      </c>
      <c r="E702" s="14">
        <f t="shared" si="71"/>
        <v>2.4080894119377772E-4</v>
      </c>
      <c r="F702" s="9">
        <f t="shared" si="72"/>
        <v>17.384089931440144</v>
      </c>
      <c r="G702" s="9">
        <f t="shared" si="73"/>
        <v>-0.20182307607939518</v>
      </c>
      <c r="H702" s="9">
        <f t="shared" si="74"/>
        <v>-4.7488178982389483E-3</v>
      </c>
      <c r="I702" s="9">
        <f t="shared" si="75"/>
        <v>-5.2744120313653964E-3</v>
      </c>
      <c r="J702" s="9">
        <f t="shared" si="76"/>
        <v>17.172243625431143</v>
      </c>
    </row>
    <row r="703" spans="2:10" x14ac:dyDescent="0.25">
      <c r="B703" s="1">
        <v>43262</v>
      </c>
      <c r="C703" s="13">
        <v>47.808</v>
      </c>
      <c r="D703" s="6">
        <f t="shared" si="70"/>
        <v>-2.4413145539905479E-3</v>
      </c>
      <c r="E703" s="14">
        <f t="shared" si="71"/>
        <v>2.4134555458972946E-4</v>
      </c>
      <c r="F703" s="9">
        <f t="shared" si="72"/>
        <v>17.381864032388265</v>
      </c>
      <c r="G703" s="9">
        <f t="shared" si="73"/>
        <v>-3.0845420326984261E-2</v>
      </c>
      <c r="H703" s="9">
        <f t="shared" si="74"/>
        <v>1.5789522132454521E-3</v>
      </c>
      <c r="I703" s="9">
        <f t="shared" si="75"/>
        <v>-3.3698933555804454E-3</v>
      </c>
      <c r="J703" s="9">
        <f t="shared" si="76"/>
        <v>17.34922767091895</v>
      </c>
    </row>
    <row r="704" spans="2:10" x14ac:dyDescent="0.25">
      <c r="B704" s="1">
        <v>43259</v>
      </c>
      <c r="C704" s="13">
        <v>47.924999999999997</v>
      </c>
      <c r="D704" s="6">
        <f t="shared" si="70"/>
        <v>-9.0974878527861902E-3</v>
      </c>
      <c r="E704" s="14">
        <f t="shared" si="71"/>
        <v>2.4126120487793896E-4</v>
      </c>
      <c r="F704" s="9">
        <f t="shared" si="72"/>
        <v>17.382213591158404</v>
      </c>
      <c r="G704" s="9">
        <f t="shared" si="73"/>
        <v>-3.4408781687360231E-2</v>
      </c>
      <c r="H704" s="9">
        <f t="shared" si="74"/>
        <v>-8.9362725366506121E-4</v>
      </c>
      <c r="I704" s="9">
        <f t="shared" si="75"/>
        <v>-3.8590808313474238E-4</v>
      </c>
      <c r="J704" s="9">
        <f t="shared" si="76"/>
        <v>17.346525274134244</v>
      </c>
    </row>
    <row r="705" spans="2:10" x14ac:dyDescent="0.25">
      <c r="B705" s="1">
        <v>43258</v>
      </c>
      <c r="C705" s="13">
        <v>48.365000000000002</v>
      </c>
      <c r="D705" s="6">
        <f t="shared" si="70"/>
        <v>-2.6806887307968541E-3</v>
      </c>
      <c r="E705" s="14">
        <f t="shared" si="71"/>
        <v>2.4044562148467716E-4</v>
      </c>
      <c r="F705" s="9">
        <f t="shared" si="72"/>
        <v>17.385599817501699</v>
      </c>
      <c r="G705" s="9">
        <f t="shared" si="73"/>
        <v>-0.23989310866065808</v>
      </c>
      <c r="H705" s="9">
        <f t="shared" si="74"/>
        <v>4.8150253142124956E-5</v>
      </c>
      <c r="I705" s="9">
        <f t="shared" si="75"/>
        <v>-6.5350459813362483E-4</v>
      </c>
      <c r="J705" s="9">
        <f t="shared" si="76"/>
        <v>17.145101354496049</v>
      </c>
    </row>
    <row r="706" spans="2:10" x14ac:dyDescent="0.25">
      <c r="B706" s="1">
        <v>43257</v>
      </c>
      <c r="C706" s="13">
        <v>48.494999999999997</v>
      </c>
      <c r="D706" s="6">
        <f t="shared" si="70"/>
        <v>3.4555537162719308E-3</v>
      </c>
      <c r="E706" s="14">
        <f t="shared" si="71"/>
        <v>2.4070352796748046E-4</v>
      </c>
      <c r="F706" s="9">
        <f t="shared" si="72"/>
        <v>17.384527773592666</v>
      </c>
      <c r="G706" s="9">
        <f t="shared" si="73"/>
        <v>-3.8666046960145493E-2</v>
      </c>
      <c r="H706" s="9">
        <f t="shared" si="74"/>
        <v>-1.40133701732963E-3</v>
      </c>
      <c r="I706" s="9">
        <f t="shared" si="75"/>
        <v>-1.6750754336737257E-3</v>
      </c>
      <c r="J706" s="9">
        <f t="shared" si="76"/>
        <v>17.342785314181516</v>
      </c>
    </row>
    <row r="707" spans="2:10" x14ac:dyDescent="0.25">
      <c r="B707" s="1">
        <v>43256</v>
      </c>
      <c r="C707" s="13">
        <v>48.328000000000003</v>
      </c>
      <c r="D707" s="6">
        <f t="shared" si="70"/>
        <v>7.7150840318613856E-3</v>
      </c>
      <c r="E707" s="14">
        <f t="shared" si="71"/>
        <v>2.4346098233044022E-4</v>
      </c>
      <c r="F707" s="9">
        <f t="shared" si="72"/>
        <v>17.373137082541483</v>
      </c>
      <c r="G707" s="9">
        <f t="shared" si="73"/>
        <v>-6.8845196512142132E-3</v>
      </c>
      <c r="H707" s="9">
        <f t="shared" si="74"/>
        <v>1.9758293446316107E-3</v>
      </c>
      <c r="I707" s="9">
        <f t="shared" si="75"/>
        <v>-3.7785601402032548E-2</v>
      </c>
      <c r="J707" s="9">
        <f t="shared" si="76"/>
        <v>17.330442790832866</v>
      </c>
    </row>
    <row r="708" spans="2:10" x14ac:dyDescent="0.25">
      <c r="B708" s="1">
        <v>43255</v>
      </c>
      <c r="C708" s="13">
        <v>47.957999999999998</v>
      </c>
      <c r="D708" s="6">
        <f t="shared" si="70"/>
        <v>8.3683767872160253E-3</v>
      </c>
      <c r="E708" s="14">
        <f t="shared" si="71"/>
        <v>2.4311180755803594E-4</v>
      </c>
      <c r="F708" s="9">
        <f t="shared" si="72"/>
        <v>17.374572324460473</v>
      </c>
      <c r="G708" s="9">
        <f t="shared" si="73"/>
        <v>-7.6446697827086962E-2</v>
      </c>
      <c r="H708" s="9">
        <f t="shared" si="74"/>
        <v>8.3656445818176166E-4</v>
      </c>
      <c r="I708" s="9">
        <f t="shared" si="75"/>
        <v>-9.3396127282703991E-6</v>
      </c>
      <c r="J708" s="9">
        <f t="shared" si="76"/>
        <v>17.298952851478841</v>
      </c>
    </row>
    <row r="709" spans="2:10" x14ac:dyDescent="0.25">
      <c r="B709" s="1">
        <v>43252</v>
      </c>
      <c r="C709" s="13">
        <v>47.56</v>
      </c>
      <c r="D709" s="6">
        <f t="shared" si="70"/>
        <v>1.8023031807868461E-2</v>
      </c>
      <c r="E709" s="14">
        <f t="shared" si="71"/>
        <v>2.4267867593579033E-4</v>
      </c>
      <c r="F709" s="9">
        <f t="shared" si="72"/>
        <v>17.376355528338422</v>
      </c>
      <c r="G709" s="9">
        <f t="shared" si="73"/>
        <v>-9.3901799502086714E-2</v>
      </c>
      <c r="H709" s="9">
        <f t="shared" si="74"/>
        <v>7.5554915436389406E-4</v>
      </c>
      <c r="I709" s="9">
        <f t="shared" si="75"/>
        <v>-4.3139815549938317E-6</v>
      </c>
      <c r="J709" s="9">
        <f t="shared" si="76"/>
        <v>17.283204964009141</v>
      </c>
    </row>
    <row r="710" spans="2:10" x14ac:dyDescent="0.25">
      <c r="B710" s="1">
        <v>43251</v>
      </c>
      <c r="C710" s="13">
        <v>46.718000000000004</v>
      </c>
      <c r="D710" s="6">
        <f t="shared" si="70"/>
        <v>-3.3493333333332043E-3</v>
      </c>
      <c r="E710" s="14">
        <f t="shared" si="71"/>
        <v>2.4045113205754307E-4</v>
      </c>
      <c r="F710" s="9">
        <f t="shared" si="72"/>
        <v>17.385576899597488</v>
      </c>
      <c r="G710" s="9">
        <f t="shared" si="73"/>
        <v>-0.56064179673253256</v>
      </c>
      <c r="H710" s="9">
        <f t="shared" si="74"/>
        <v>-7.1926199001217375E-3</v>
      </c>
      <c r="I710" s="9">
        <f t="shared" si="75"/>
        <v>-1.2787714560388352E-2</v>
      </c>
      <c r="J710" s="9">
        <f t="shared" si="76"/>
        <v>16.804954768404446</v>
      </c>
    </row>
    <row r="711" spans="2:10" x14ac:dyDescent="0.25">
      <c r="B711" s="1">
        <v>43250</v>
      </c>
      <c r="C711" s="13">
        <v>46.875</v>
      </c>
      <c r="D711" s="6">
        <f t="shared" si="70"/>
        <v>-2.1287919105907882E-3</v>
      </c>
      <c r="E711" s="14">
        <f t="shared" si="71"/>
        <v>2.4032779100020479E-4</v>
      </c>
      <c r="F711" s="9">
        <f t="shared" si="72"/>
        <v>17.386089988063432</v>
      </c>
      <c r="G711" s="9">
        <f t="shared" si="73"/>
        <v>-5.1680782913571838E-2</v>
      </c>
      <c r="H711" s="9">
        <f t="shared" si="74"/>
        <v>-1.0376034085574869E-3</v>
      </c>
      <c r="I711" s="9">
        <f t="shared" si="75"/>
        <v>-3.0140259244950735E-4</v>
      </c>
      <c r="J711" s="9">
        <f t="shared" si="76"/>
        <v>17.333070199148853</v>
      </c>
    </row>
    <row r="712" spans="2:10" x14ac:dyDescent="0.25">
      <c r="B712" s="1">
        <v>43249</v>
      </c>
      <c r="C712" s="13">
        <v>46.975000000000001</v>
      </c>
      <c r="D712" s="6">
        <f t="shared" si="70"/>
        <v>-3.6058967016651122E-3</v>
      </c>
      <c r="E712" s="14">
        <f t="shared" si="71"/>
        <v>2.4081582063800245E-4</v>
      </c>
      <c r="F712" s="9">
        <f t="shared" si="72"/>
        <v>17.384061363788437</v>
      </c>
      <c r="G712" s="9">
        <f t="shared" si="73"/>
        <v>-2.9380011755002256E-2</v>
      </c>
      <c r="H712" s="9">
        <f t="shared" si="74"/>
        <v>-1.4866504495879673E-3</v>
      </c>
      <c r="I712" s="9">
        <f t="shared" si="75"/>
        <v>-3.0425983328531436E-3</v>
      </c>
      <c r="J712" s="9">
        <f t="shared" si="76"/>
        <v>17.350152103250991</v>
      </c>
    </row>
    <row r="713" spans="2:10" x14ac:dyDescent="0.25">
      <c r="B713" s="1">
        <v>43245</v>
      </c>
      <c r="C713" s="13">
        <v>47.145000000000003</v>
      </c>
      <c r="D713" s="6">
        <f t="shared" si="70"/>
        <v>2.2747565797867075E-3</v>
      </c>
      <c r="E713" s="14">
        <f t="shared" si="71"/>
        <v>2.4090364351824338E-4</v>
      </c>
      <c r="F713" s="9">
        <f t="shared" si="72"/>
        <v>17.383696741273681</v>
      </c>
      <c r="G713" s="9">
        <f t="shared" si="73"/>
        <v>-5.7010141958986064E-2</v>
      </c>
      <c r="H713" s="9">
        <f t="shared" si="74"/>
        <v>-1.427676092363958E-3</v>
      </c>
      <c r="I713" s="9">
        <f t="shared" si="75"/>
        <v>-9.2158669790617443E-4</v>
      </c>
      <c r="J713" s="9">
        <f t="shared" si="76"/>
        <v>17.324337336524422</v>
      </c>
    </row>
    <row r="714" spans="2:10" x14ac:dyDescent="0.25">
      <c r="B714" s="1">
        <v>43244</v>
      </c>
      <c r="C714" s="13">
        <v>47.037999999999997</v>
      </c>
      <c r="D714" s="6">
        <f t="shared" si="70"/>
        <v>-1.1042684221704846E-3</v>
      </c>
      <c r="E714" s="14">
        <f t="shared" si="71"/>
        <v>2.4231011508364647E-4</v>
      </c>
      <c r="F714" s="9">
        <f t="shared" si="72"/>
        <v>17.3778754023228</v>
      </c>
      <c r="G714" s="9">
        <f t="shared" si="73"/>
        <v>-8.6743620976683505E-4</v>
      </c>
      <c r="H714" s="9">
        <f t="shared" si="74"/>
        <v>4.3610677124095686E-4</v>
      </c>
      <c r="I714" s="9">
        <f t="shared" si="75"/>
        <v>-1.2442630004906604E-2</v>
      </c>
      <c r="J714" s="9">
        <f t="shared" si="76"/>
        <v>17.365001442879368</v>
      </c>
    </row>
    <row r="715" spans="2:10" x14ac:dyDescent="0.25">
      <c r="B715" s="1">
        <v>43243</v>
      </c>
      <c r="C715" s="13">
        <v>47.09</v>
      </c>
      <c r="D715" s="6">
        <f t="shared" si="70"/>
        <v>6.4116264159008729E-3</v>
      </c>
      <c r="E715" s="14">
        <f t="shared" si="71"/>
        <v>2.4618513192911748E-4</v>
      </c>
      <c r="F715" s="9">
        <f t="shared" si="72"/>
        <v>17.362009953676868</v>
      </c>
      <c r="G715" s="9">
        <f t="shared" si="73"/>
        <v>-1.5199564266766457E-2</v>
      </c>
      <c r="H715" s="9">
        <f t="shared" si="74"/>
        <v>-3.8364282635430227E-3</v>
      </c>
      <c r="I715" s="9">
        <f t="shared" si="75"/>
        <v>-6.8377020348203033E-2</v>
      </c>
      <c r="J715" s="9">
        <f t="shared" si="76"/>
        <v>17.274596940798354</v>
      </c>
    </row>
    <row r="716" spans="2:10" x14ac:dyDescent="0.25">
      <c r="B716" s="1">
        <v>43242</v>
      </c>
      <c r="C716" s="13">
        <v>46.79</v>
      </c>
      <c r="D716" s="6">
        <f t="shared" si="70"/>
        <v>-2.5155623774196778E-3</v>
      </c>
      <c r="E716" s="14">
        <f t="shared" si="71"/>
        <v>2.4628626268486206E-4</v>
      </c>
      <c r="F716" s="9">
        <f t="shared" si="72"/>
        <v>17.361599246544341</v>
      </c>
      <c r="G716" s="9">
        <f t="shared" si="73"/>
        <v>-4.6606428871317031E-2</v>
      </c>
      <c r="H716" s="9">
        <f t="shared" si="74"/>
        <v>1.2957836834530864E-3</v>
      </c>
      <c r="I716" s="9">
        <f t="shared" si="75"/>
        <v>-9.1770791180453349E-4</v>
      </c>
      <c r="J716" s="9">
        <f t="shared" si="76"/>
        <v>17.315370893444673</v>
      </c>
    </row>
    <row r="717" spans="2:10" x14ac:dyDescent="0.25">
      <c r="B717" s="1">
        <v>43241</v>
      </c>
      <c r="C717" s="13">
        <v>46.908000000000001</v>
      </c>
      <c r="D717" s="6">
        <f t="shared" si="70"/>
        <v>7.08488986216671E-3</v>
      </c>
      <c r="E717" s="14">
        <f t="shared" si="71"/>
        <v>2.4647405325037096E-4</v>
      </c>
      <c r="F717" s="9">
        <f t="shared" si="72"/>
        <v>17.360837048093991</v>
      </c>
      <c r="G717" s="9">
        <f t="shared" si="73"/>
        <v>-3.4921533864448892E-2</v>
      </c>
      <c r="H717" s="9">
        <f t="shared" si="74"/>
        <v>-1.2289274163427414E-3</v>
      </c>
      <c r="I717" s="9">
        <f t="shared" si="75"/>
        <v>-1.2651255805092606E-3</v>
      </c>
      <c r="J717" s="9">
        <f t="shared" si="76"/>
        <v>17.323421461232691</v>
      </c>
    </row>
    <row r="718" spans="2:10" x14ac:dyDescent="0.25">
      <c r="B718" s="1">
        <v>43238</v>
      </c>
      <c r="C718" s="13">
        <v>46.578000000000003</v>
      </c>
      <c r="D718" s="6">
        <f t="shared" si="70"/>
        <v>-3.6365192093777976E-3</v>
      </c>
      <c r="E718" s="14">
        <f t="shared" si="71"/>
        <v>2.4613418573750839E-4</v>
      </c>
      <c r="F718" s="9">
        <f t="shared" si="72"/>
        <v>17.362216917693765</v>
      </c>
      <c r="G718" s="9">
        <f t="shared" si="73"/>
        <v>-6.0684161817439498E-2</v>
      </c>
      <c r="H718" s="9">
        <f t="shared" si="74"/>
        <v>7.5601485958557042E-4</v>
      </c>
      <c r="I718" s="9">
        <f t="shared" si="75"/>
        <v>-1.0897271276629125E-5</v>
      </c>
      <c r="J718" s="9">
        <f t="shared" si="76"/>
        <v>17.302277873464636</v>
      </c>
    </row>
    <row r="719" spans="2:10" x14ac:dyDescent="0.25">
      <c r="B719" s="1">
        <v>43237</v>
      </c>
      <c r="C719" s="13">
        <v>46.747999999999998</v>
      </c>
      <c r="D719" s="6">
        <f t="shared" si="70"/>
        <v>-6.313104474439446E-3</v>
      </c>
      <c r="E719" s="14">
        <f t="shared" si="71"/>
        <v>2.4677976412277398E-4</v>
      </c>
      <c r="F719" s="9">
        <f t="shared" si="72"/>
        <v>17.359597479738795</v>
      </c>
      <c r="G719" s="9">
        <f t="shared" si="73"/>
        <v>-5.6305874793359162E-2</v>
      </c>
      <c r="H719" s="9">
        <f t="shared" si="74"/>
        <v>-2.2815349415756261E-3</v>
      </c>
      <c r="I719" s="9">
        <f t="shared" si="75"/>
        <v>-4.0354093843803836E-3</v>
      </c>
      <c r="J719" s="9">
        <f t="shared" si="76"/>
        <v>17.29697466061948</v>
      </c>
    </row>
    <row r="720" spans="2:10" x14ac:dyDescent="0.25">
      <c r="B720" s="1">
        <v>43236</v>
      </c>
      <c r="C720" s="13">
        <v>47.045000000000002</v>
      </c>
      <c r="D720" s="6">
        <f t="shared" ref="D720:D783" si="77">C720/C721-1</f>
        <v>9.3327612100408963E-3</v>
      </c>
      <c r="E720" s="14">
        <f t="shared" ref="E720:E783" si="78">_xlfn.VAR.S(D720:D840)</f>
        <v>2.4897022021600141E-4</v>
      </c>
      <c r="F720" s="9">
        <f t="shared" si="72"/>
        <v>17.350760483602606</v>
      </c>
      <c r="G720" s="9">
        <f t="shared" si="73"/>
        <v>-0.12699787625223918</v>
      </c>
      <c r="H720" s="9">
        <f t="shared" si="74"/>
        <v>-7.0546047694185193E-3</v>
      </c>
      <c r="I720" s="9">
        <f t="shared" si="75"/>
        <v>-2.46895215759643E-2</v>
      </c>
      <c r="J720" s="9">
        <f t="shared" si="76"/>
        <v>17.192018481004983</v>
      </c>
    </row>
    <row r="721" spans="2:10" x14ac:dyDescent="0.25">
      <c r="B721" s="1">
        <v>43235</v>
      </c>
      <c r="C721" s="13">
        <v>46.61</v>
      </c>
      <c r="D721" s="6">
        <f t="shared" si="77"/>
        <v>-9.099026319146164E-3</v>
      </c>
      <c r="E721" s="14">
        <f t="shared" si="78"/>
        <v>2.4841173595085682E-4</v>
      </c>
      <c r="F721" s="9">
        <f t="shared" ref="F721:F784" si="79">LN(2*PI())-LN($C$6)-LN(E721)-0.5*LN(1-POWER($C$7,2))</f>
        <v>17.353006180266632</v>
      </c>
      <c r="G721" s="9">
        <f t="shared" ref="G721:G784" si="80">-POWER(D720-1-$C$3,2)/(2*E721*(1-POWER($C$7,2)))</f>
        <v>-0.11985963137806947</v>
      </c>
      <c r="H721" s="9">
        <f t="shared" ref="H721:H784" si="81">$C$7*(D720-1-$C$3)*(E720-E721-$C$5*$C$4)/(E721*$C$6*(1-POWER($C$7,2)))</f>
        <v>5.5619845951293014E-4</v>
      </c>
      <c r="I721" s="9">
        <f t="shared" ref="I721:I784" si="82">-POWER(E720-E721-$C$5*$C$4+$C$4*E721,2)/(2*POWER($C$6,2)*E721*(1-POWER($C$7,2)))</f>
        <v>-1.0558968941207801E-4</v>
      </c>
      <c r="J721" s="9">
        <f t="shared" ref="J721:J784" si="83">SUM(F721:I721)</f>
        <v>17.233597157658664</v>
      </c>
    </row>
    <row r="722" spans="2:10" x14ac:dyDescent="0.25">
      <c r="B722" s="1">
        <v>43234</v>
      </c>
      <c r="C722" s="13">
        <v>47.037999999999997</v>
      </c>
      <c r="D722" s="6">
        <f t="shared" si="77"/>
        <v>-2.3330788156444848E-3</v>
      </c>
      <c r="E722" s="14">
        <f t="shared" si="78"/>
        <v>2.4792464054477169E-4</v>
      </c>
      <c r="F722" s="9">
        <f t="shared" si="79"/>
        <v>17.35496894417243</v>
      </c>
      <c r="G722" s="9">
        <f t="shared" si="80"/>
        <v>-0.23272312622352304</v>
      </c>
      <c r="H722" s="9">
        <f t="shared" si="81"/>
        <v>-1.0041613408034488E-3</v>
      </c>
      <c r="I722" s="9">
        <f t="shared" si="82"/>
        <v>-3.4560589086776607E-5</v>
      </c>
      <c r="J722" s="9">
        <f t="shared" si="83"/>
        <v>17.12120709601902</v>
      </c>
    </row>
    <row r="723" spans="2:10" x14ac:dyDescent="0.25">
      <c r="B723" s="1">
        <v>43231</v>
      </c>
      <c r="C723" s="13">
        <v>47.148000000000003</v>
      </c>
      <c r="D723" s="6">
        <f t="shared" si="77"/>
        <v>-7.6194485371499088E-3</v>
      </c>
      <c r="E723" s="14">
        <f t="shared" si="78"/>
        <v>2.488385483613865E-4</v>
      </c>
      <c r="F723" s="9">
        <f t="shared" si="79"/>
        <v>17.351289489381521</v>
      </c>
      <c r="G723" s="9">
        <f t="shared" si="80"/>
        <v>-3.1609656380390878E-2</v>
      </c>
      <c r="H723" s="9">
        <f t="shared" si="81"/>
        <v>-2.0181602696059536E-3</v>
      </c>
      <c r="I723" s="9">
        <f t="shared" si="82"/>
        <v>-6.3048968884527185E-3</v>
      </c>
      <c r="J723" s="9">
        <f t="shared" si="83"/>
        <v>17.311356775843073</v>
      </c>
    </row>
    <row r="724" spans="2:10" x14ac:dyDescent="0.25">
      <c r="B724" s="1">
        <v>43230</v>
      </c>
      <c r="C724" s="13">
        <v>47.51</v>
      </c>
      <c r="D724" s="6">
        <f t="shared" si="77"/>
        <v>1.4304013663535287E-2</v>
      </c>
      <c r="E724" s="14">
        <f t="shared" si="78"/>
        <v>2.498977079296002E-4</v>
      </c>
      <c r="F724" s="9">
        <f t="shared" si="79"/>
        <v>17.347042109540396</v>
      </c>
      <c r="G724" s="9">
        <f t="shared" si="80"/>
        <v>-0.17158277151421505</v>
      </c>
      <c r="H724" s="9">
        <f t="shared" si="81"/>
        <v>-5.0894403807132602E-3</v>
      </c>
      <c r="I724" s="9">
        <f t="shared" si="82"/>
        <v>-7.7369334602278477E-3</v>
      </c>
      <c r="J724" s="9">
        <f t="shared" si="83"/>
        <v>17.162632964185239</v>
      </c>
    </row>
    <row r="725" spans="2:10" x14ac:dyDescent="0.25">
      <c r="B725" s="1">
        <v>43229</v>
      </c>
      <c r="C725" s="13">
        <v>46.84</v>
      </c>
      <c r="D725" s="6">
        <f t="shared" si="77"/>
        <v>7.0302926063681159E-3</v>
      </c>
      <c r="E725" s="14">
        <f t="shared" si="78"/>
        <v>2.5052110316782533E-4</v>
      </c>
      <c r="F725" s="9">
        <f t="shared" si="79"/>
        <v>17.344550614229348</v>
      </c>
      <c r="G725" s="9">
        <f t="shared" si="80"/>
        <v>-0.32167623284497049</v>
      </c>
      <c r="H725" s="9">
        <f t="shared" si="81"/>
        <v>5.3294309339685375E-3</v>
      </c>
      <c r="I725" s="9">
        <f t="shared" si="82"/>
        <v>-3.76084940743616E-3</v>
      </c>
      <c r="J725" s="9">
        <f t="shared" si="83"/>
        <v>17.024442962910911</v>
      </c>
    </row>
    <row r="726" spans="2:10" x14ac:dyDescent="0.25">
      <c r="B726" s="1">
        <v>43228</v>
      </c>
      <c r="C726" s="13">
        <v>46.512999999999998</v>
      </c>
      <c r="D726" s="6">
        <f t="shared" si="77"/>
        <v>4.8174551739035287E-3</v>
      </c>
      <c r="E726" s="14">
        <f t="shared" si="78"/>
        <v>2.5037020902359409E-4</v>
      </c>
      <c r="F726" s="9">
        <f t="shared" si="79"/>
        <v>17.345153116788779</v>
      </c>
      <c r="G726" s="9">
        <f t="shared" si="80"/>
        <v>-5.8469788177295708E-2</v>
      </c>
      <c r="H726" s="9">
        <f t="shared" si="81"/>
        <v>1.0373271691613206E-3</v>
      </c>
      <c r="I726" s="9">
        <f t="shared" si="82"/>
        <v>-2.0524168819081363E-4</v>
      </c>
      <c r="J726" s="9">
        <f t="shared" si="83"/>
        <v>17.287515414092454</v>
      </c>
    </row>
    <row r="727" spans="2:10" x14ac:dyDescent="0.25">
      <c r="B727" s="1">
        <v>43227</v>
      </c>
      <c r="C727" s="13">
        <v>46.29</v>
      </c>
      <c r="D727" s="6">
        <f t="shared" si="77"/>
        <v>7.2239871186736693E-3</v>
      </c>
      <c r="E727" s="14">
        <f t="shared" si="78"/>
        <v>2.5068624760737619E-4</v>
      </c>
      <c r="F727" s="9">
        <f t="shared" si="79"/>
        <v>17.343891627703027</v>
      </c>
      <c r="G727" s="9">
        <f t="shared" si="80"/>
        <v>-2.0357905324197161E-2</v>
      </c>
      <c r="H727" s="9">
        <f t="shared" si="81"/>
        <v>1.0510687671121466E-3</v>
      </c>
      <c r="I727" s="9">
        <f t="shared" si="82"/>
        <v>-1.817384077740378E-3</v>
      </c>
      <c r="J727" s="9">
        <f t="shared" si="83"/>
        <v>17.322767407068202</v>
      </c>
    </row>
    <row r="728" spans="2:10" x14ac:dyDescent="0.25">
      <c r="B728" s="1">
        <v>43224</v>
      </c>
      <c r="C728" s="13">
        <v>45.957999999999998</v>
      </c>
      <c r="D728" s="6">
        <f t="shared" si="77"/>
        <v>3.9232978314451827E-2</v>
      </c>
      <c r="E728" s="14">
        <f t="shared" si="78"/>
        <v>2.5036500541920253E-4</v>
      </c>
      <c r="F728" s="9">
        <f t="shared" si="79"/>
        <v>17.345173900645165</v>
      </c>
      <c r="G728" s="9">
        <f t="shared" si="80"/>
        <v>-6.2738499678101842E-2</v>
      </c>
      <c r="H728" s="9">
        <f t="shared" si="81"/>
        <v>7.9296823023274488E-4</v>
      </c>
      <c r="I728" s="9">
        <f t="shared" si="82"/>
        <v>-1.5834544796151823E-5</v>
      </c>
      <c r="J728" s="9">
        <f t="shared" si="83"/>
        <v>17.283212534652499</v>
      </c>
    </row>
    <row r="729" spans="2:10" x14ac:dyDescent="0.25">
      <c r="B729" s="1">
        <v>43223</v>
      </c>
      <c r="C729" s="13">
        <v>44.222999999999999</v>
      </c>
      <c r="D729" s="6">
        <f t="shared" si="77"/>
        <v>1.8122918696055201E-3</v>
      </c>
      <c r="E729" s="14">
        <f t="shared" si="78"/>
        <v>2.3827230042328243E-4</v>
      </c>
      <c r="F729" s="9">
        <f t="shared" si="79"/>
        <v>17.394679636297667</v>
      </c>
      <c r="G729" s="9">
        <f t="shared" si="80"/>
        <v>-2.9763598708542189</v>
      </c>
      <c r="H729" s="9">
        <f t="shared" si="81"/>
        <v>-0.13177526624055128</v>
      </c>
      <c r="I729" s="9">
        <f t="shared" si="82"/>
        <v>-0.52946638247146216</v>
      </c>
      <c r="J729" s="9">
        <f t="shared" si="83"/>
        <v>13.757078116731435</v>
      </c>
    </row>
    <row r="730" spans="2:10" x14ac:dyDescent="0.25">
      <c r="B730" s="1">
        <v>43222</v>
      </c>
      <c r="C730" s="13">
        <v>44.143000000000001</v>
      </c>
      <c r="D730" s="6">
        <f t="shared" si="77"/>
        <v>4.4186871673566053E-2</v>
      </c>
      <c r="E730" s="14">
        <f t="shared" si="78"/>
        <v>2.3832582562465795E-4</v>
      </c>
      <c r="F730" s="9">
        <f t="shared" si="79"/>
        <v>17.394455022734689</v>
      </c>
      <c r="G730" s="9">
        <f t="shared" si="80"/>
        <v>-7.197111939056298E-5</v>
      </c>
      <c r="H730" s="9">
        <f t="shared" si="81"/>
        <v>4.9031843746249685E-5</v>
      </c>
      <c r="I730" s="9">
        <f t="shared" si="82"/>
        <v>-8.2091211998291534E-4</v>
      </c>
      <c r="J730" s="9">
        <f t="shared" si="83"/>
        <v>17.393611171339064</v>
      </c>
    </row>
    <row r="731" spans="2:10" x14ac:dyDescent="0.25">
      <c r="B731" s="1">
        <v>43221</v>
      </c>
      <c r="C731" s="13">
        <v>42.274999999999999</v>
      </c>
      <c r="D731" s="6">
        <f t="shared" si="77"/>
        <v>2.3236112791964247E-2</v>
      </c>
      <c r="E731" s="14">
        <f t="shared" si="78"/>
        <v>2.2296391003256879E-4</v>
      </c>
      <c r="F731" s="9">
        <f t="shared" si="79"/>
        <v>17.461083855444969</v>
      </c>
      <c r="G731" s="9">
        <f t="shared" si="80"/>
        <v>-4.073917230772885</v>
      </c>
      <c r="H731" s="9">
        <f t="shared" si="81"/>
        <v>-0.20551607629923063</v>
      </c>
      <c r="I731" s="9">
        <f t="shared" si="82"/>
        <v>-0.9235475433257484</v>
      </c>
      <c r="J731" s="9">
        <f t="shared" si="83"/>
        <v>12.258103005047104</v>
      </c>
    </row>
    <row r="732" spans="2:10" x14ac:dyDescent="0.25">
      <c r="B732" s="1">
        <v>43220</v>
      </c>
      <c r="C732" s="13">
        <v>41.314999999999998</v>
      </c>
      <c r="D732" s="6">
        <f t="shared" si="77"/>
        <v>1.8112370625924079E-2</v>
      </c>
      <c r="E732" s="14">
        <f t="shared" si="78"/>
        <v>2.2414408242118076E-4</v>
      </c>
      <c r="F732" s="9">
        <f t="shared" si="79"/>
        <v>17.455804705219862</v>
      </c>
      <c r="G732" s="9">
        <f t="shared" si="80"/>
        <v>-1.0446861731767534</v>
      </c>
      <c r="H732" s="9">
        <f t="shared" si="81"/>
        <v>1.4122640534373739E-2</v>
      </c>
      <c r="I732" s="9">
        <f t="shared" si="82"/>
        <v>-1.0687440711658685E-2</v>
      </c>
      <c r="J732" s="9">
        <f t="shared" si="83"/>
        <v>16.414553731865823</v>
      </c>
    </row>
    <row r="733" spans="2:10" x14ac:dyDescent="0.25">
      <c r="B733" s="1">
        <v>43217</v>
      </c>
      <c r="C733" s="13">
        <v>40.58</v>
      </c>
      <c r="D733" s="6">
        <f t="shared" si="77"/>
        <v>-1.1569845329436168E-2</v>
      </c>
      <c r="E733" s="14">
        <f t="shared" si="78"/>
        <v>2.2184208448567695E-4</v>
      </c>
      <c r="F733" s="9">
        <f t="shared" si="79"/>
        <v>17.466127977778221</v>
      </c>
      <c r="G733" s="9">
        <f t="shared" si="80"/>
        <v>-0.6143111350400251</v>
      </c>
      <c r="H733" s="9">
        <f t="shared" si="81"/>
        <v>-8.2475457546448225E-3</v>
      </c>
      <c r="I733" s="9">
        <f t="shared" si="82"/>
        <v>-1.4531812647211467E-2</v>
      </c>
      <c r="J733" s="9">
        <f t="shared" si="83"/>
        <v>16.82903748433634</v>
      </c>
    </row>
    <row r="734" spans="2:10" x14ac:dyDescent="0.25">
      <c r="B734" s="1">
        <v>43216</v>
      </c>
      <c r="C734" s="13">
        <v>41.055</v>
      </c>
      <c r="D734" s="6">
        <f t="shared" si="77"/>
        <v>3.4707794588517693E-3</v>
      </c>
      <c r="E734" s="14">
        <f t="shared" si="78"/>
        <v>2.2206979386196367E-4</v>
      </c>
      <c r="F734" s="9">
        <f t="shared" si="79"/>
        <v>17.465102056160141</v>
      </c>
      <c r="G734" s="9">
        <f t="shared" si="80"/>
        <v>-0.39330275950009086</v>
      </c>
      <c r="H734" s="9">
        <f t="shared" si="81"/>
        <v>-4.5203554652438428E-3</v>
      </c>
      <c r="I734" s="9">
        <f t="shared" si="82"/>
        <v>-1.8191095400944945E-3</v>
      </c>
      <c r="J734" s="9">
        <f t="shared" si="83"/>
        <v>17.065459831654714</v>
      </c>
    </row>
    <row r="735" spans="2:10" x14ac:dyDescent="0.25">
      <c r="B735" s="1">
        <v>43215</v>
      </c>
      <c r="C735" s="13">
        <v>40.912999999999997</v>
      </c>
      <c r="D735" s="6">
        <f t="shared" si="77"/>
        <v>4.3697066404810858E-3</v>
      </c>
      <c r="E735" s="14">
        <f t="shared" si="78"/>
        <v>2.2359803816524677E-4</v>
      </c>
      <c r="F735" s="9">
        <f t="shared" si="79"/>
        <v>17.458243808004873</v>
      </c>
      <c r="G735" s="9">
        <f t="shared" si="80"/>
        <v>-7.6214725979847683E-3</v>
      </c>
      <c r="H735" s="9">
        <f t="shared" si="81"/>
        <v>1.4199248734038258E-3</v>
      </c>
      <c r="I735" s="9">
        <f t="shared" si="82"/>
        <v>-1.5860241323990359E-2</v>
      </c>
      <c r="J735" s="9">
        <f t="shared" si="83"/>
        <v>17.436182018956298</v>
      </c>
    </row>
    <row r="736" spans="2:10" x14ac:dyDescent="0.25">
      <c r="B736" s="1">
        <v>43214</v>
      </c>
      <c r="C736" s="13">
        <v>40.734999999999999</v>
      </c>
      <c r="D736" s="6">
        <f t="shared" si="77"/>
        <v>-1.3919147906076068E-2</v>
      </c>
      <c r="E736" s="14">
        <f t="shared" si="78"/>
        <v>2.2764639390437922E-4</v>
      </c>
      <c r="F736" s="9">
        <f t="shared" si="79"/>
        <v>17.440300254258993</v>
      </c>
      <c r="G736" s="9">
        <f t="shared" si="80"/>
        <v>-1.6566880601486735E-2</v>
      </c>
      <c r="H736" s="9">
        <f t="shared" si="81"/>
        <v>4.3195692073006433E-3</v>
      </c>
      <c r="I736" s="9">
        <f t="shared" si="82"/>
        <v>-8.1182401038127128E-2</v>
      </c>
      <c r="J736" s="9">
        <f t="shared" si="83"/>
        <v>17.346870541826679</v>
      </c>
    </row>
    <row r="737" spans="2:10" x14ac:dyDescent="0.25">
      <c r="B737" s="1">
        <v>43213</v>
      </c>
      <c r="C737" s="13">
        <v>41.31</v>
      </c>
      <c r="D737" s="6">
        <f t="shared" si="77"/>
        <v>-2.8964518464880129E-3</v>
      </c>
      <c r="E737" s="14">
        <f t="shared" si="78"/>
        <v>2.3647056954149124E-4</v>
      </c>
      <c r="F737" s="9">
        <f t="shared" si="79"/>
        <v>17.40227001688541</v>
      </c>
      <c r="G737" s="9">
        <f t="shared" si="80"/>
        <v>-0.51255591947198631</v>
      </c>
      <c r="H737" s="9">
        <f t="shared" si="81"/>
        <v>-4.6790518113884801E-2</v>
      </c>
      <c r="I737" s="9">
        <f t="shared" si="82"/>
        <v>-0.33310318314965165</v>
      </c>
      <c r="J737" s="9">
        <f t="shared" si="83"/>
        <v>16.509820396149888</v>
      </c>
    </row>
    <row r="738" spans="2:10" x14ac:dyDescent="0.25">
      <c r="B738" s="1">
        <v>43210</v>
      </c>
      <c r="C738" s="13">
        <v>41.43</v>
      </c>
      <c r="D738" s="6">
        <f t="shared" si="77"/>
        <v>-4.0972222222222299E-2</v>
      </c>
      <c r="E738" s="14">
        <f t="shared" si="78"/>
        <v>2.3665509692619673E-4</v>
      </c>
      <c r="F738" s="9">
        <f t="shared" si="79"/>
        <v>17.401489981443916</v>
      </c>
      <c r="G738" s="9">
        <f t="shared" si="80"/>
        <v>-4.3365496954548305E-2</v>
      </c>
      <c r="H738" s="9">
        <f t="shared" si="81"/>
        <v>-1.3929764465781878E-3</v>
      </c>
      <c r="I738" s="9">
        <f t="shared" si="82"/>
        <v>-1.3771607968158885E-3</v>
      </c>
      <c r="J738" s="9">
        <f t="shared" si="83"/>
        <v>17.355354347245971</v>
      </c>
    </row>
    <row r="739" spans="2:10" x14ac:dyDescent="0.25">
      <c r="B739" s="1">
        <v>43209</v>
      </c>
      <c r="C739" s="13">
        <v>43.2</v>
      </c>
      <c r="D739" s="6">
        <f t="shared" si="77"/>
        <v>-2.8340080971659853E-2</v>
      </c>
      <c r="E739" s="14">
        <f t="shared" si="78"/>
        <v>2.2237043706389834E-4</v>
      </c>
      <c r="F739" s="9">
        <f t="shared" si="79"/>
        <v>17.463749148718954</v>
      </c>
      <c r="G739" s="9">
        <f t="shared" si="80"/>
        <v>-4.0924810225132902</v>
      </c>
      <c r="H739" s="9">
        <f t="shared" si="81"/>
        <v>0.19099893221432251</v>
      </c>
      <c r="I739" s="9">
        <f t="shared" si="82"/>
        <v>-0.79708833857464367</v>
      </c>
      <c r="J739" s="9">
        <f t="shared" si="83"/>
        <v>12.765178719845341</v>
      </c>
    </row>
    <row r="740" spans="2:10" x14ac:dyDescent="0.25">
      <c r="B740" s="1">
        <v>43208</v>
      </c>
      <c r="C740" s="13">
        <v>44.46</v>
      </c>
      <c r="D740" s="6">
        <f t="shared" si="77"/>
        <v>-2.244165170556589E-3</v>
      </c>
      <c r="E740" s="14">
        <f t="shared" si="78"/>
        <v>2.1537795350663194E-4</v>
      </c>
      <c r="F740" s="9">
        <f t="shared" si="79"/>
        <v>17.495699367313229</v>
      </c>
      <c r="G740" s="9">
        <f t="shared" si="80"/>
        <v>-2.0909854884562322</v>
      </c>
      <c r="H740" s="9">
        <f t="shared" si="81"/>
        <v>6.3699870589274912E-2</v>
      </c>
      <c r="I740" s="9">
        <f t="shared" si="82"/>
        <v>-0.18389919745758623</v>
      </c>
      <c r="J740" s="9">
        <f t="shared" si="83"/>
        <v>15.284514551988686</v>
      </c>
    </row>
    <row r="741" spans="2:10" x14ac:dyDescent="0.25">
      <c r="B741" s="1">
        <v>43207</v>
      </c>
      <c r="C741" s="13">
        <v>44.56</v>
      </c>
      <c r="D741" s="6">
        <f t="shared" si="77"/>
        <v>1.3764076896826349E-2</v>
      </c>
      <c r="E741" s="14">
        <f t="shared" si="78"/>
        <v>2.1530387355552021E-4</v>
      </c>
      <c r="F741" s="9">
        <f t="shared" si="79"/>
        <v>17.496043379747409</v>
      </c>
      <c r="G741" s="9">
        <f t="shared" si="80"/>
        <v>-3.4911064538445287E-2</v>
      </c>
      <c r="H741" s="9">
        <f t="shared" si="81"/>
        <v>-9.664972682467168E-4</v>
      </c>
      <c r="I741" s="9">
        <f t="shared" si="82"/>
        <v>-5.8956353711820005E-4</v>
      </c>
      <c r="J741" s="9">
        <f t="shared" si="83"/>
        <v>17.459576254403597</v>
      </c>
    </row>
    <row r="742" spans="2:10" x14ac:dyDescent="0.25">
      <c r="B742" s="1">
        <v>43206</v>
      </c>
      <c r="C742" s="13">
        <v>43.954999999999998</v>
      </c>
      <c r="D742" s="6">
        <f t="shared" si="77"/>
        <v>6.2266785706108774E-3</v>
      </c>
      <c r="E742" s="14">
        <f t="shared" si="78"/>
        <v>2.1397993937788214E-4</v>
      </c>
      <c r="F742" s="9">
        <f t="shared" si="79"/>
        <v>17.502211505985841</v>
      </c>
      <c r="G742" s="9">
        <f t="shared" si="80"/>
        <v>-0.34521007037704765</v>
      </c>
      <c r="H742" s="9">
        <f t="shared" si="81"/>
        <v>-2.1932251387727646E-3</v>
      </c>
      <c r="I742" s="9">
        <f t="shared" si="82"/>
        <v>-3.3204288380223128E-3</v>
      </c>
      <c r="J742" s="9">
        <f t="shared" si="83"/>
        <v>17.151487781631999</v>
      </c>
    </row>
    <row r="743" spans="2:10" x14ac:dyDescent="0.25">
      <c r="B743" s="1">
        <v>43203</v>
      </c>
      <c r="C743" s="13">
        <v>43.683</v>
      </c>
      <c r="D743" s="6">
        <f t="shared" si="77"/>
        <v>3.3995635695418525E-3</v>
      </c>
      <c r="E743" s="14">
        <f t="shared" si="78"/>
        <v>2.188063030013436E-4</v>
      </c>
      <c r="F743" s="9">
        <f t="shared" si="79"/>
        <v>17.479906898120014</v>
      </c>
      <c r="G743" s="9">
        <f t="shared" si="80"/>
        <v>-4.848222487182486E-2</v>
      </c>
      <c r="H743" s="9">
        <f t="shared" si="81"/>
        <v>8.7464726110153251E-3</v>
      </c>
      <c r="I743" s="9">
        <f t="shared" si="82"/>
        <v>-0.11705104612996185</v>
      </c>
      <c r="J743" s="9">
        <f t="shared" si="83"/>
        <v>17.323120099729241</v>
      </c>
    </row>
    <row r="744" spans="2:10" x14ac:dyDescent="0.25">
      <c r="B744" s="1">
        <v>43202</v>
      </c>
      <c r="C744" s="13">
        <v>43.534999999999997</v>
      </c>
      <c r="D744" s="6">
        <f t="shared" si="77"/>
        <v>9.8585015077707894E-3</v>
      </c>
      <c r="E744" s="14">
        <f t="shared" si="78"/>
        <v>2.1898067152382745E-4</v>
      </c>
      <c r="F744" s="9">
        <f t="shared" si="79"/>
        <v>17.479110307349384</v>
      </c>
      <c r="G744" s="9">
        <f t="shared" si="80"/>
        <v>-7.1925052716302019E-3</v>
      </c>
      <c r="H744" s="9">
        <f t="shared" si="81"/>
        <v>5.8366911068414901E-4</v>
      </c>
      <c r="I744" s="9">
        <f t="shared" si="82"/>
        <v>-1.5854891640636616E-3</v>
      </c>
      <c r="J744" s="9">
        <f t="shared" si="83"/>
        <v>17.470915982024376</v>
      </c>
    </row>
    <row r="745" spans="2:10" x14ac:dyDescent="0.25">
      <c r="B745" s="1">
        <v>43201</v>
      </c>
      <c r="C745" s="13">
        <v>43.11</v>
      </c>
      <c r="D745" s="6">
        <f t="shared" si="77"/>
        <v>-4.6868145822270835E-3</v>
      </c>
      <c r="E745" s="14">
        <f t="shared" si="78"/>
        <v>2.18362833900351E-4</v>
      </c>
      <c r="F745" s="9">
        <f t="shared" si="79"/>
        <v>17.481935720448369</v>
      </c>
      <c r="G745" s="9">
        <f t="shared" si="80"/>
        <v>-0.15559508259445068</v>
      </c>
      <c r="H745" s="9">
        <f t="shared" si="81"/>
        <v>5.1047572092620917E-4</v>
      </c>
      <c r="I745" s="9">
        <f t="shared" si="82"/>
        <v>-1.3425248961334326E-4</v>
      </c>
      <c r="J745" s="9">
        <f t="shared" si="83"/>
        <v>17.326716861085231</v>
      </c>
    </row>
    <row r="746" spans="2:10" x14ac:dyDescent="0.25">
      <c r="B746" s="1">
        <v>43200</v>
      </c>
      <c r="C746" s="13">
        <v>43.313000000000002</v>
      </c>
      <c r="D746" s="6">
        <f t="shared" si="77"/>
        <v>1.881777338696411E-2</v>
      </c>
      <c r="E746" s="14">
        <f t="shared" si="78"/>
        <v>2.2068110475807108E-4</v>
      </c>
      <c r="F746" s="9">
        <f t="shared" si="79"/>
        <v>17.471375080843131</v>
      </c>
      <c r="G746" s="9">
        <f t="shared" si="80"/>
        <v>-9.0598238600358386E-2</v>
      </c>
      <c r="H746" s="9">
        <f t="shared" si="81"/>
        <v>-6.5992717387366208E-3</v>
      </c>
      <c r="I746" s="9">
        <f t="shared" si="82"/>
        <v>-3.175332106166235E-2</v>
      </c>
      <c r="J746" s="9">
        <f t="shared" si="83"/>
        <v>17.342424249442377</v>
      </c>
    </row>
    <row r="747" spans="2:10" x14ac:dyDescent="0.25">
      <c r="B747" s="1">
        <v>43199</v>
      </c>
      <c r="C747" s="13">
        <v>42.512999999999998</v>
      </c>
      <c r="D747" s="6">
        <f t="shared" si="77"/>
        <v>9.9299204181018119E-3</v>
      </c>
      <c r="E747" s="14">
        <f t="shared" si="78"/>
        <v>2.1824832342938889E-4</v>
      </c>
      <c r="F747" s="9">
        <f t="shared" si="79"/>
        <v>17.482460262580034</v>
      </c>
      <c r="G747" s="9">
        <f t="shared" si="80"/>
        <v>-0.6790090498591127</v>
      </c>
      <c r="H747" s="9">
        <f t="shared" si="81"/>
        <v>-9.5037790017410851E-3</v>
      </c>
      <c r="I747" s="9">
        <f t="shared" si="82"/>
        <v>-1.6811296222266122E-2</v>
      </c>
      <c r="J747" s="9">
        <f t="shared" si="83"/>
        <v>16.777136137496917</v>
      </c>
    </row>
    <row r="748" spans="2:10" x14ac:dyDescent="0.25">
      <c r="B748" s="1">
        <v>43196</v>
      </c>
      <c r="C748" s="13">
        <v>42.094999999999999</v>
      </c>
      <c r="D748" s="6">
        <f t="shared" si="77"/>
        <v>-2.5578703703703742E-2</v>
      </c>
      <c r="E748" s="14">
        <f t="shared" si="78"/>
        <v>2.1770186867856652E-4</v>
      </c>
      <c r="F748" s="9">
        <f t="shared" si="79"/>
        <v>17.484967223452692</v>
      </c>
      <c r="G748" s="9">
        <f t="shared" si="80"/>
        <v>-0.15878752358523868</v>
      </c>
      <c r="H748" s="9">
        <f t="shared" si="81"/>
        <v>7.1776601692636797E-4</v>
      </c>
      <c r="I748" s="9">
        <f t="shared" si="82"/>
        <v>-4.7376426906622962E-5</v>
      </c>
      <c r="J748" s="9">
        <f t="shared" si="83"/>
        <v>17.326850089457473</v>
      </c>
    </row>
    <row r="749" spans="2:10" x14ac:dyDescent="0.25">
      <c r="B749" s="1">
        <v>43195</v>
      </c>
      <c r="C749" s="13">
        <v>43.2</v>
      </c>
      <c r="D749" s="6">
        <f t="shared" si="77"/>
        <v>6.9225928256766434E-3</v>
      </c>
      <c r="E749" s="14">
        <f t="shared" si="78"/>
        <v>2.1198234254154322E-4</v>
      </c>
      <c r="F749" s="9">
        <f t="shared" si="79"/>
        <v>17.511590794084025</v>
      </c>
      <c r="G749" s="9">
        <f t="shared" si="80"/>
        <v>-1.7509939640355185</v>
      </c>
      <c r="H749" s="9">
        <f t="shared" si="81"/>
        <v>4.6676328963883552E-2</v>
      </c>
      <c r="I749" s="9">
        <f t="shared" si="82"/>
        <v>-0.12100002760700197</v>
      </c>
      <c r="J749" s="9">
        <f t="shared" si="83"/>
        <v>15.686273131405388</v>
      </c>
    </row>
    <row r="750" spans="2:10" x14ac:dyDescent="0.25">
      <c r="B750" s="1">
        <v>43194</v>
      </c>
      <c r="C750" s="13">
        <v>42.902999999999999</v>
      </c>
      <c r="D750" s="6">
        <f t="shared" si="77"/>
        <v>1.9122048553375404E-2</v>
      </c>
      <c r="E750" s="14">
        <f t="shared" si="78"/>
        <v>2.116854120307012E-4</v>
      </c>
      <c r="F750" s="9">
        <f t="shared" si="79"/>
        <v>17.512992508310589</v>
      </c>
      <c r="G750" s="9">
        <f t="shared" si="80"/>
        <v>-6.6425418387858481E-2</v>
      </c>
      <c r="H750" s="9">
        <f t="shared" si="81"/>
        <v>9.3232272088130492E-4</v>
      </c>
      <c r="I750" s="9">
        <f t="shared" si="82"/>
        <v>-1.0325180989606734E-4</v>
      </c>
      <c r="J750" s="9">
        <f t="shared" si="83"/>
        <v>17.447396160833716</v>
      </c>
    </row>
    <row r="751" spans="2:10" x14ac:dyDescent="0.25">
      <c r="B751" s="1">
        <v>43193</v>
      </c>
      <c r="C751" s="13">
        <v>42.097999999999999</v>
      </c>
      <c r="D751" s="6">
        <f t="shared" si="77"/>
        <v>1.0271178305735429E-2</v>
      </c>
      <c r="E751" s="14">
        <f t="shared" si="78"/>
        <v>2.0895730602109281E-4</v>
      </c>
      <c r="F751" s="9">
        <f t="shared" si="79"/>
        <v>17.525963821702561</v>
      </c>
      <c r="G751" s="9">
        <f t="shared" si="80"/>
        <v>-0.73452857948798711</v>
      </c>
      <c r="H751" s="9">
        <f t="shared" si="81"/>
        <v>-1.1930333230923228E-2</v>
      </c>
      <c r="I751" s="9">
        <f t="shared" si="82"/>
        <v>-2.283843971480291E-2</v>
      </c>
      <c r="J751" s="9">
        <f t="shared" si="83"/>
        <v>16.756666469268851</v>
      </c>
    </row>
    <row r="752" spans="2:10" x14ac:dyDescent="0.25">
      <c r="B752" s="1">
        <v>43192</v>
      </c>
      <c r="C752" s="13">
        <v>41.67</v>
      </c>
      <c r="D752" s="6">
        <f t="shared" si="77"/>
        <v>-6.556204553582079E-3</v>
      </c>
      <c r="E752" s="14">
        <f t="shared" si="78"/>
        <v>2.0821279397017681E-4</v>
      </c>
      <c r="F752" s="9">
        <f t="shared" si="79"/>
        <v>17.529533170710895</v>
      </c>
      <c r="G752" s="9">
        <f t="shared" si="80"/>
        <v>-0.17995264887230952</v>
      </c>
      <c r="H752" s="9">
        <f t="shared" si="81"/>
        <v>1.7335133371818929E-4</v>
      </c>
      <c r="I752" s="9">
        <f t="shared" si="82"/>
        <v>-3.6806231184640021E-4</v>
      </c>
      <c r="J752" s="9">
        <f t="shared" si="83"/>
        <v>17.349385810860458</v>
      </c>
    </row>
    <row r="753" spans="2:10" x14ac:dyDescent="0.25">
      <c r="B753" s="1">
        <v>43188</v>
      </c>
      <c r="C753" s="13">
        <v>41.945</v>
      </c>
      <c r="D753" s="6">
        <f t="shared" si="77"/>
        <v>7.8087457952908945E-3</v>
      </c>
      <c r="E753" s="14">
        <f t="shared" si="78"/>
        <v>2.0890666713672425E-4</v>
      </c>
      <c r="F753" s="9">
        <f t="shared" si="79"/>
        <v>17.526206191889365</v>
      </c>
      <c r="G753" s="9">
        <f t="shared" si="80"/>
        <v>-0.1607625213090883</v>
      </c>
      <c r="H753" s="9">
        <f t="shared" si="81"/>
        <v>-4.3299593995569556E-3</v>
      </c>
      <c r="I753" s="9">
        <f t="shared" si="82"/>
        <v>-5.8403145907465325E-3</v>
      </c>
      <c r="J753" s="9">
        <f t="shared" si="83"/>
        <v>17.355273396589975</v>
      </c>
    </row>
    <row r="754" spans="2:10" x14ac:dyDescent="0.25">
      <c r="B754" s="1">
        <v>43187</v>
      </c>
      <c r="C754" s="13">
        <v>41.62</v>
      </c>
      <c r="D754" s="6">
        <f t="shared" si="77"/>
        <v>-1.1049067363668841E-2</v>
      </c>
      <c r="E754" s="14">
        <f t="shared" si="78"/>
        <v>2.0893356154037858E-4</v>
      </c>
      <c r="F754" s="9">
        <f t="shared" si="79"/>
        <v>17.52607746132756</v>
      </c>
      <c r="G754" s="9">
        <f t="shared" si="80"/>
        <v>-9.1710347111334245E-2</v>
      </c>
      <c r="H754" s="9">
        <f t="shared" si="81"/>
        <v>1.8110878876609669E-3</v>
      </c>
      <c r="I754" s="9">
        <f t="shared" si="82"/>
        <v>-1.0280632162102462E-3</v>
      </c>
      <c r="J754" s="9">
        <f t="shared" si="83"/>
        <v>17.435150138887675</v>
      </c>
    </row>
    <row r="755" spans="2:10" x14ac:dyDescent="0.25">
      <c r="B755" s="1">
        <v>43186</v>
      </c>
      <c r="C755" s="13">
        <v>42.085000000000001</v>
      </c>
      <c r="D755" s="6">
        <f t="shared" si="77"/>
        <v>-2.5652304771606405E-2</v>
      </c>
      <c r="E755" s="14">
        <f t="shared" si="78"/>
        <v>2.0787193940957938E-4</v>
      </c>
      <c r="F755" s="9">
        <f t="shared" si="79"/>
        <v>17.53117156120927</v>
      </c>
      <c r="G755" s="9">
        <f t="shared" si="80"/>
        <v>-0.38765945577953054</v>
      </c>
      <c r="H755" s="9">
        <f t="shared" si="81"/>
        <v>1.1752568325335865E-3</v>
      </c>
      <c r="I755" s="9">
        <f t="shared" si="82"/>
        <v>-1.6243349166841143E-3</v>
      </c>
      <c r="J755" s="9">
        <f t="shared" si="83"/>
        <v>17.143063027345587</v>
      </c>
    </row>
    <row r="756" spans="2:10" x14ac:dyDescent="0.25">
      <c r="B756" s="1">
        <v>43185</v>
      </c>
      <c r="C756" s="13">
        <v>43.192999999999998</v>
      </c>
      <c r="D756" s="6">
        <f t="shared" si="77"/>
        <v>4.7483933551594415E-2</v>
      </c>
      <c r="E756" s="14">
        <f t="shared" si="78"/>
        <v>2.0204835848131733E-4</v>
      </c>
      <c r="F756" s="9">
        <f t="shared" si="79"/>
        <v>17.559586708216521</v>
      </c>
      <c r="G756" s="9">
        <f t="shared" si="80"/>
        <v>-1.8470372224830207</v>
      </c>
      <c r="H756" s="9">
        <f t="shared" si="81"/>
        <v>5.0142536845456019E-2</v>
      </c>
      <c r="I756" s="9">
        <f t="shared" si="82"/>
        <v>-0.1312061496375232</v>
      </c>
      <c r="J756" s="9">
        <f t="shared" si="83"/>
        <v>15.631485872941434</v>
      </c>
    </row>
    <row r="757" spans="2:10" x14ac:dyDescent="0.25">
      <c r="B757" s="1">
        <v>43182</v>
      </c>
      <c r="C757" s="13">
        <v>41.234999999999999</v>
      </c>
      <c r="D757" s="6">
        <f t="shared" si="77"/>
        <v>-2.3168218321370282E-2</v>
      </c>
      <c r="E757" s="14">
        <f t="shared" si="78"/>
        <v>1.8411887582920179E-4</v>
      </c>
      <c r="F757" s="9">
        <f t="shared" si="79"/>
        <v>17.652512162100422</v>
      </c>
      <c r="G757" s="9">
        <f t="shared" si="80"/>
        <v>-5.7274112865331857</v>
      </c>
      <c r="H757" s="9">
        <f t="shared" si="81"/>
        <v>-0.31544028052826351</v>
      </c>
      <c r="I757" s="9">
        <f t="shared" si="82"/>
        <v>-1.5248825520193812</v>
      </c>
      <c r="J757" s="9">
        <f t="shared" si="83"/>
        <v>10.08477804301959</v>
      </c>
    </row>
    <row r="758" spans="2:10" x14ac:dyDescent="0.25">
      <c r="B758" s="1">
        <v>43181</v>
      </c>
      <c r="C758" s="13">
        <v>42.213000000000001</v>
      </c>
      <c r="D758" s="6">
        <f t="shared" si="77"/>
        <v>-1.412957167546347E-2</v>
      </c>
      <c r="E758" s="14">
        <f t="shared" si="78"/>
        <v>1.7974593059151832E-4</v>
      </c>
      <c r="F758" s="9">
        <f t="shared" si="79"/>
        <v>17.676549418312305</v>
      </c>
      <c r="G758" s="9">
        <f t="shared" si="80"/>
        <v>-1.7153087275204584</v>
      </c>
      <c r="H758" s="9">
        <f t="shared" si="81"/>
        <v>3.6434780899784018E-2</v>
      </c>
      <c r="I758" s="9">
        <f t="shared" si="82"/>
        <v>-7.6948828050641904E-2</v>
      </c>
      <c r="J758" s="9">
        <f t="shared" si="83"/>
        <v>15.92072664364099</v>
      </c>
    </row>
    <row r="759" spans="2:10" x14ac:dyDescent="0.25">
      <c r="B759" s="1">
        <v>43180</v>
      </c>
      <c r="C759" s="13">
        <v>42.817999999999998</v>
      </c>
      <c r="D759" s="6">
        <f t="shared" si="77"/>
        <v>-2.2643232138781166E-2</v>
      </c>
      <c r="E759" s="14">
        <f t="shared" si="78"/>
        <v>1.7817799581973303E-4</v>
      </c>
      <c r="F759" s="9">
        <f t="shared" si="79"/>
        <v>17.685310748224879</v>
      </c>
      <c r="G759" s="9">
        <f t="shared" si="80"/>
        <v>-0.69878228934885067</v>
      </c>
      <c r="H759" s="9">
        <f t="shared" si="81"/>
        <v>5.0150947306284886E-3</v>
      </c>
      <c r="I759" s="9">
        <f t="shared" si="82"/>
        <v>-5.8448598491177371E-3</v>
      </c>
      <c r="J759" s="9">
        <f t="shared" si="83"/>
        <v>16.985698693757538</v>
      </c>
    </row>
    <row r="760" spans="2:10" x14ac:dyDescent="0.25">
      <c r="B760" s="1">
        <v>43179</v>
      </c>
      <c r="C760" s="13">
        <v>43.81</v>
      </c>
      <c r="D760" s="6">
        <f t="shared" si="77"/>
        <v>-3.4227039361101053E-4</v>
      </c>
      <c r="E760" s="14">
        <f t="shared" si="78"/>
        <v>1.7558579295714352E-4</v>
      </c>
      <c r="F760" s="9">
        <f t="shared" si="79"/>
        <v>17.699966003171916</v>
      </c>
      <c r="G760" s="9">
        <f t="shared" si="80"/>
        <v>-1.6823805644397822</v>
      </c>
      <c r="H760" s="9">
        <f t="shared" si="81"/>
        <v>1.8307703908752037E-2</v>
      </c>
      <c r="I760" s="9">
        <f t="shared" si="82"/>
        <v>-2.2800427822717011E-2</v>
      </c>
      <c r="J760" s="9">
        <f t="shared" si="83"/>
        <v>16.013092714818171</v>
      </c>
    </row>
    <row r="761" spans="2:10" x14ac:dyDescent="0.25">
      <c r="B761" s="1">
        <v>43178</v>
      </c>
      <c r="C761" s="13">
        <v>43.825000000000003</v>
      </c>
      <c r="D761" s="6">
        <f t="shared" si="77"/>
        <v>-1.5279182114369183E-2</v>
      </c>
      <c r="E761" s="14">
        <f t="shared" si="78"/>
        <v>1.7641818598347392E-4</v>
      </c>
      <c r="F761" s="9">
        <f t="shared" si="79"/>
        <v>17.6952365419857</v>
      </c>
      <c r="G761" s="9">
        <f t="shared" si="80"/>
        <v>-1.1027433779029105E-2</v>
      </c>
      <c r="H761" s="9">
        <f t="shared" si="81"/>
        <v>-1.3484034792430233E-3</v>
      </c>
      <c r="I761" s="9">
        <f t="shared" si="82"/>
        <v>-9.4235754304583721E-3</v>
      </c>
      <c r="J761" s="9">
        <f t="shared" si="83"/>
        <v>17.673437129296971</v>
      </c>
    </row>
    <row r="762" spans="2:10" x14ac:dyDescent="0.25">
      <c r="B762" s="1">
        <v>43175</v>
      </c>
      <c r="C762" s="13">
        <v>44.505000000000003</v>
      </c>
      <c r="D762" s="6">
        <f t="shared" si="77"/>
        <v>-3.5376038331503823E-3</v>
      </c>
      <c r="E762" s="14">
        <f t="shared" si="78"/>
        <v>1.751508887088274E-4</v>
      </c>
      <c r="F762" s="9">
        <f t="shared" si="79"/>
        <v>17.702445951771214</v>
      </c>
      <c r="G762" s="9">
        <f t="shared" si="80"/>
        <v>-0.81837043843363744</v>
      </c>
      <c r="H762" s="9">
        <f t="shared" si="81"/>
        <v>3.3282371172309901E-3</v>
      </c>
      <c r="I762" s="9">
        <f t="shared" si="82"/>
        <v>-3.0153259453244929E-3</v>
      </c>
      <c r="J762" s="9">
        <f t="shared" si="83"/>
        <v>16.884388424509485</v>
      </c>
    </row>
    <row r="763" spans="2:10" x14ac:dyDescent="0.25">
      <c r="B763" s="1">
        <v>43174</v>
      </c>
      <c r="C763" s="13">
        <v>44.662999999999997</v>
      </c>
      <c r="D763" s="6">
        <f t="shared" si="77"/>
        <v>1.1880744227750206E-3</v>
      </c>
      <c r="E763" s="14">
        <f t="shared" si="78"/>
        <v>1.7779047246115724E-4</v>
      </c>
      <c r="F763" s="9">
        <f t="shared" si="79"/>
        <v>17.6874880394526</v>
      </c>
      <c r="G763" s="9">
        <f t="shared" si="80"/>
        <v>-7.5244970340390294E-2</v>
      </c>
      <c r="H763" s="9">
        <f t="shared" si="81"/>
        <v>-7.3906469628843745E-3</v>
      </c>
      <c r="I763" s="9">
        <f t="shared" si="82"/>
        <v>-5.1440641320555661E-2</v>
      </c>
      <c r="J763" s="9">
        <f t="shared" si="83"/>
        <v>17.553411780828768</v>
      </c>
    </row>
    <row r="764" spans="2:10" x14ac:dyDescent="0.25">
      <c r="B764" s="1">
        <v>43173</v>
      </c>
      <c r="C764" s="13">
        <v>44.61</v>
      </c>
      <c r="D764" s="6">
        <f t="shared" si="77"/>
        <v>-8.5124352677083959E-3</v>
      </c>
      <c r="E764" s="14">
        <f t="shared" si="78"/>
        <v>1.804572318233409E-4</v>
      </c>
      <c r="F764" s="9">
        <f t="shared" si="79"/>
        <v>17.672599968498282</v>
      </c>
      <c r="G764" s="9">
        <f t="shared" si="80"/>
        <v>-5.3622954363371632E-4</v>
      </c>
      <c r="H764" s="9">
        <f t="shared" si="81"/>
        <v>-6.2417018475406563E-4</v>
      </c>
      <c r="I764" s="9">
        <f t="shared" si="82"/>
        <v>-5.1416433153235824E-2</v>
      </c>
      <c r="J764" s="9">
        <f t="shared" si="83"/>
        <v>17.620023135616659</v>
      </c>
    </row>
    <row r="765" spans="2:10" x14ac:dyDescent="0.25">
      <c r="B765" s="1">
        <v>43172</v>
      </c>
      <c r="C765" s="13">
        <v>44.993000000000002</v>
      </c>
      <c r="D765" s="6">
        <f t="shared" si="77"/>
        <v>-9.6191943649570621E-3</v>
      </c>
      <c r="E765" s="14">
        <f t="shared" si="78"/>
        <v>1.7969251364189823E-4</v>
      </c>
      <c r="F765" s="9">
        <f t="shared" si="79"/>
        <v>17.67684664277936</v>
      </c>
      <c r="G765" s="9">
        <f t="shared" si="80"/>
        <v>-0.28693313404686527</v>
      </c>
      <c r="H765" s="9">
        <f t="shared" si="81"/>
        <v>-1.5131866015361813E-4</v>
      </c>
      <c r="I765" s="9">
        <f t="shared" si="82"/>
        <v>-3.5031889386942375E-4</v>
      </c>
      <c r="J765" s="9">
        <f t="shared" si="83"/>
        <v>17.389411871178471</v>
      </c>
    </row>
    <row r="766" spans="2:10" x14ac:dyDescent="0.25">
      <c r="B766" s="1">
        <v>43171</v>
      </c>
      <c r="C766" s="13">
        <v>45.43</v>
      </c>
      <c r="D766" s="6">
        <f t="shared" si="77"/>
        <v>9.6677408600955861E-3</v>
      </c>
      <c r="E766" s="14">
        <f t="shared" si="78"/>
        <v>1.7935800148984933E-4</v>
      </c>
      <c r="F766" s="9">
        <f t="shared" si="79"/>
        <v>17.678709958578864</v>
      </c>
      <c r="G766" s="9">
        <f t="shared" si="80"/>
        <v>-0.35364752697717211</v>
      </c>
      <c r="H766" s="9">
        <f t="shared" si="81"/>
        <v>-2.1628098692808699E-3</v>
      </c>
      <c r="I766" s="9">
        <f t="shared" si="82"/>
        <v>-1.4836588934888042E-4</v>
      </c>
      <c r="J766" s="9">
        <f t="shared" si="83"/>
        <v>17.322751255843063</v>
      </c>
    </row>
    <row r="767" spans="2:10" x14ac:dyDescent="0.25">
      <c r="B767" s="1">
        <v>43168</v>
      </c>
      <c r="C767" s="13">
        <v>44.994999999999997</v>
      </c>
      <c r="D767" s="6">
        <f t="shared" si="77"/>
        <v>1.7180965298971396E-2</v>
      </c>
      <c r="E767" s="14">
        <f t="shared" si="78"/>
        <v>1.7942222159579322E-4</v>
      </c>
      <c r="F767" s="9">
        <f t="shared" si="79"/>
        <v>17.678351967237663</v>
      </c>
      <c r="G767" s="9">
        <f t="shared" si="80"/>
        <v>-0.18068890820953482</v>
      </c>
      <c r="H767" s="9">
        <f t="shared" si="81"/>
        <v>2.86691031980623E-3</v>
      </c>
      <c r="I767" s="9">
        <f t="shared" si="82"/>
        <v>-1.6631634018731889E-3</v>
      </c>
      <c r="J767" s="9">
        <f t="shared" si="83"/>
        <v>17.498866805946061</v>
      </c>
    </row>
    <row r="768" spans="2:10" x14ac:dyDescent="0.25">
      <c r="B768" s="1">
        <v>43167</v>
      </c>
      <c r="C768" s="13">
        <v>44.234999999999999</v>
      </c>
      <c r="D768" s="6">
        <f t="shared" si="77"/>
        <v>1.0900863842040254E-2</v>
      </c>
      <c r="E768" s="14">
        <f t="shared" si="78"/>
        <v>1.7802652958133489E-4</v>
      </c>
      <c r="F768" s="9">
        <f t="shared" si="79"/>
        <v>17.686161193610751</v>
      </c>
      <c r="G768" s="9">
        <f t="shared" si="80"/>
        <v>-0.68144579956552331</v>
      </c>
      <c r="H768" s="9">
        <f t="shared" si="81"/>
        <v>-3.8418889295517068E-3</v>
      </c>
      <c r="I768" s="9">
        <f t="shared" si="82"/>
        <v>-4.1034867877650077E-3</v>
      </c>
      <c r="J768" s="9">
        <f t="shared" si="83"/>
        <v>16.996770018327911</v>
      </c>
    </row>
    <row r="769" spans="2:10" x14ac:dyDescent="0.25">
      <c r="B769" s="1">
        <v>43166</v>
      </c>
      <c r="C769" s="13">
        <v>43.758000000000003</v>
      </c>
      <c r="D769" s="6">
        <f t="shared" si="77"/>
        <v>-9.2827386343052876E-3</v>
      </c>
      <c r="E769" s="14">
        <f t="shared" si="78"/>
        <v>1.7777076256959918E-4</v>
      </c>
      <c r="F769" s="9">
        <f t="shared" si="79"/>
        <v>17.687598905821801</v>
      </c>
      <c r="G769" s="9">
        <f t="shared" si="80"/>
        <v>-0.24259491735388047</v>
      </c>
      <c r="H769" s="9">
        <f t="shared" si="81"/>
        <v>2.1030423066518192E-3</v>
      </c>
      <c r="I769" s="9">
        <f t="shared" si="82"/>
        <v>-3.2763486984339413E-4</v>
      </c>
      <c r="J769" s="9">
        <f t="shared" si="83"/>
        <v>17.446779395904727</v>
      </c>
    </row>
    <row r="770" spans="2:10" x14ac:dyDescent="0.25">
      <c r="B770" s="1">
        <v>43165</v>
      </c>
      <c r="C770" s="13">
        <v>44.167999999999999</v>
      </c>
      <c r="D770" s="6">
        <f t="shared" si="77"/>
        <v>-8.3700938807829139E-4</v>
      </c>
      <c r="E770" s="14">
        <f t="shared" si="78"/>
        <v>1.7711191482027328E-4</v>
      </c>
      <c r="F770" s="9">
        <f t="shared" si="79"/>
        <v>17.691311955504126</v>
      </c>
      <c r="G770" s="9">
        <f t="shared" si="80"/>
        <v>-0.33702487512866064</v>
      </c>
      <c r="H770" s="9">
        <f t="shared" si="81"/>
        <v>-6.4741124079760687E-4</v>
      </c>
      <c r="I770" s="9">
        <f t="shared" si="82"/>
        <v>-1.1876985264066163E-4</v>
      </c>
      <c r="J770" s="9">
        <f t="shared" si="83"/>
        <v>17.353520899282024</v>
      </c>
    </row>
    <row r="771" spans="2:10" x14ac:dyDescent="0.25">
      <c r="B771" s="1">
        <v>43164</v>
      </c>
      <c r="C771" s="13">
        <v>44.204999999999998</v>
      </c>
      <c r="D771" s="6">
        <f t="shared" si="77"/>
        <v>3.4503893037931554E-3</v>
      </c>
      <c r="E771" s="14">
        <f t="shared" si="78"/>
        <v>1.7954369330792314E-4</v>
      </c>
      <c r="F771" s="9">
        <f t="shared" si="79"/>
        <v>17.67767518032435</v>
      </c>
      <c r="G771" s="9">
        <f t="shared" si="80"/>
        <v>-1.6962536034119294E-2</v>
      </c>
      <c r="H771" s="9">
        <f t="shared" si="81"/>
        <v>-3.2809677441581015E-3</v>
      </c>
      <c r="I771" s="9">
        <f t="shared" si="82"/>
        <v>-4.4344382495084905E-2</v>
      </c>
      <c r="J771" s="9">
        <f t="shared" si="83"/>
        <v>17.613087294050992</v>
      </c>
    </row>
    <row r="772" spans="2:10" x14ac:dyDescent="0.25">
      <c r="B772" s="1">
        <v>43161</v>
      </c>
      <c r="C772" s="13">
        <v>44.052999999999997</v>
      </c>
      <c r="D772" s="6">
        <f t="shared" si="77"/>
        <v>6.9257142857142018E-3</v>
      </c>
      <c r="E772" s="14">
        <f t="shared" si="78"/>
        <v>1.8195541068605545E-4</v>
      </c>
      <c r="F772" s="9">
        <f t="shared" si="79"/>
        <v>17.664332114559009</v>
      </c>
      <c r="G772" s="9">
        <f t="shared" si="80"/>
        <v>-9.1596932569386804E-3</v>
      </c>
      <c r="H772" s="9">
        <f t="shared" si="81"/>
        <v>2.3801053798472487E-3</v>
      </c>
      <c r="I772" s="9">
        <f t="shared" si="82"/>
        <v>-4.3042589799758217E-2</v>
      </c>
      <c r="J772" s="9">
        <f t="shared" si="83"/>
        <v>17.614509936882158</v>
      </c>
    </row>
    <row r="773" spans="2:10" x14ac:dyDescent="0.25">
      <c r="B773" s="1">
        <v>43160</v>
      </c>
      <c r="C773" s="13">
        <v>43.75</v>
      </c>
      <c r="D773" s="6">
        <f t="shared" si="77"/>
        <v>-1.7516281158769353E-2</v>
      </c>
      <c r="E773" s="14">
        <f t="shared" si="78"/>
        <v>1.8183281771174794E-4</v>
      </c>
      <c r="F773" s="9">
        <f t="shared" si="79"/>
        <v>17.665006094470279</v>
      </c>
      <c r="G773" s="9">
        <f t="shared" si="80"/>
        <v>-7.742207885807309E-2</v>
      </c>
      <c r="H773" s="9">
        <f t="shared" si="81"/>
        <v>1.4616530565132147E-3</v>
      </c>
      <c r="I773" s="9">
        <f t="shared" si="82"/>
        <v>-7.241864014322333E-4</v>
      </c>
      <c r="J773" s="9">
        <f t="shared" si="83"/>
        <v>17.588321482267286</v>
      </c>
    </row>
    <row r="774" spans="2:10" x14ac:dyDescent="0.25">
      <c r="B774" s="1">
        <v>43159</v>
      </c>
      <c r="C774" s="13">
        <v>44.53</v>
      </c>
      <c r="D774" s="6">
        <f t="shared" si="77"/>
        <v>-1.5247320507645323E-3</v>
      </c>
      <c r="E774" s="14">
        <f t="shared" si="78"/>
        <v>1.7906502150666492E-4</v>
      </c>
      <c r="F774" s="9">
        <f t="shared" si="79"/>
        <v>17.680344786866335</v>
      </c>
      <c r="G774" s="9">
        <f t="shared" si="80"/>
        <v>-1.0263396215433993</v>
      </c>
      <c r="H774" s="9">
        <f t="shared" si="81"/>
        <v>1.5547868440726052E-2</v>
      </c>
      <c r="I774" s="9">
        <f t="shared" si="82"/>
        <v>-2.6422419714041745E-2</v>
      </c>
      <c r="J774" s="9">
        <f t="shared" si="83"/>
        <v>16.643130614049621</v>
      </c>
    </row>
    <row r="775" spans="2:10" x14ac:dyDescent="0.25">
      <c r="B775" s="1">
        <v>43158</v>
      </c>
      <c r="C775" s="13">
        <v>44.597999999999999</v>
      </c>
      <c r="D775" s="6">
        <f t="shared" si="77"/>
        <v>-3.2407303935811926E-3</v>
      </c>
      <c r="E775" s="14">
        <f t="shared" si="78"/>
        <v>1.8039415542336974E-4</v>
      </c>
      <c r="F775" s="9">
        <f t="shared" si="79"/>
        <v>17.67294956616005</v>
      </c>
      <c r="G775" s="9">
        <f t="shared" si="80"/>
        <v>-2.7620116651944446E-2</v>
      </c>
      <c r="H775" s="9">
        <f t="shared" si="81"/>
        <v>-2.7521558722509161E-3</v>
      </c>
      <c r="I775" s="9">
        <f t="shared" si="82"/>
        <v>-1.7180979234094649E-2</v>
      </c>
      <c r="J775" s="9">
        <f t="shared" si="83"/>
        <v>17.625396314401758</v>
      </c>
    </row>
    <row r="776" spans="2:10" x14ac:dyDescent="0.25">
      <c r="B776" s="1">
        <v>43157</v>
      </c>
      <c r="C776" s="13">
        <v>44.743000000000002</v>
      </c>
      <c r="D776" s="6">
        <f t="shared" si="77"/>
        <v>1.9783475783475835E-2</v>
      </c>
      <c r="E776" s="14">
        <f t="shared" si="78"/>
        <v>1.8026023021671907E-4</v>
      </c>
      <c r="F776" s="9">
        <f t="shared" si="79"/>
        <v>17.673692245124393</v>
      </c>
      <c r="G776" s="9">
        <f t="shared" si="80"/>
        <v>-6.592780572537385E-2</v>
      </c>
      <c r="H776" s="9">
        <f t="shared" si="81"/>
        <v>-1.3320373125819645E-3</v>
      </c>
      <c r="I776" s="9">
        <f t="shared" si="82"/>
        <v>-6.971104626547572E-4</v>
      </c>
      <c r="J776" s="9">
        <f t="shared" si="83"/>
        <v>17.60573529162378</v>
      </c>
    </row>
    <row r="777" spans="2:10" x14ac:dyDescent="0.25">
      <c r="B777" s="1">
        <v>43154</v>
      </c>
      <c r="C777" s="13">
        <v>43.875</v>
      </c>
      <c r="D777" s="6">
        <f t="shared" si="77"/>
        <v>1.7391304347825987E-2</v>
      </c>
      <c r="E777" s="14">
        <f t="shared" si="78"/>
        <v>1.7732648895683672E-4</v>
      </c>
      <c r="F777" s="9">
        <f t="shared" si="79"/>
        <v>17.690101171568237</v>
      </c>
      <c r="G777" s="9">
        <f t="shared" si="80"/>
        <v>-0.93223645018520074</v>
      </c>
      <c r="H777" s="9">
        <f t="shared" si="81"/>
        <v>-1.6146762540445149E-2</v>
      </c>
      <c r="I777" s="9">
        <f t="shared" si="82"/>
        <v>-3.0665126573018411E-2</v>
      </c>
      <c r="J777" s="9">
        <f t="shared" si="83"/>
        <v>16.711052832269573</v>
      </c>
    </row>
    <row r="778" spans="2:10" x14ac:dyDescent="0.25">
      <c r="B778" s="1">
        <v>43153</v>
      </c>
      <c r="C778" s="13">
        <v>43.125</v>
      </c>
      <c r="D778" s="6">
        <f t="shared" si="77"/>
        <v>8.3473625140291219E-3</v>
      </c>
      <c r="E778" s="14">
        <f t="shared" si="78"/>
        <v>1.7501860268105335E-4</v>
      </c>
      <c r="F778" s="9">
        <f t="shared" si="79"/>
        <v>17.703201506080312</v>
      </c>
      <c r="G778" s="9">
        <f t="shared" si="80"/>
        <v>-0.71203191908932018</v>
      </c>
      <c r="H778" s="9">
        <f t="shared" si="81"/>
        <v>-1.0035996435927085E-2</v>
      </c>
      <c r="I778" s="9">
        <f t="shared" si="82"/>
        <v>-1.7034979410476193E-2</v>
      </c>
      <c r="J778" s="9">
        <f t="shared" si="83"/>
        <v>16.964098611144589</v>
      </c>
    </row>
    <row r="779" spans="2:10" x14ac:dyDescent="0.25">
      <c r="B779" s="1">
        <v>43152</v>
      </c>
      <c r="C779" s="13">
        <v>42.768000000000001</v>
      </c>
      <c r="D779" s="6">
        <f t="shared" si="77"/>
        <v>-4.5387891906989442E-3</v>
      </c>
      <c r="E779" s="14">
        <f t="shared" si="78"/>
        <v>1.750953567815169E-4</v>
      </c>
      <c r="F779" s="9">
        <f t="shared" si="79"/>
        <v>17.702763053972824</v>
      </c>
      <c r="G779" s="9">
        <f t="shared" si="80"/>
        <v>-0.12933586157212756</v>
      </c>
      <c r="H779" s="9">
        <f t="shared" si="81"/>
        <v>2.4908926950922275E-3</v>
      </c>
      <c r="I779" s="9">
        <f t="shared" si="82"/>
        <v>-1.8244120364805372E-3</v>
      </c>
      <c r="J779" s="9">
        <f t="shared" si="83"/>
        <v>17.574093673059309</v>
      </c>
    </row>
    <row r="780" spans="2:10" x14ac:dyDescent="0.25">
      <c r="B780" s="1">
        <v>43151</v>
      </c>
      <c r="C780" s="13">
        <v>42.963000000000001</v>
      </c>
      <c r="D780" s="6">
        <f t="shared" si="77"/>
        <v>-3.3636447991091112E-3</v>
      </c>
      <c r="E780" s="14">
        <f t="shared" si="78"/>
        <v>1.7561886307630682E-4</v>
      </c>
      <c r="F780" s="9">
        <f t="shared" si="79"/>
        <v>17.699777679249138</v>
      </c>
      <c r="G780" s="9">
        <f t="shared" si="80"/>
        <v>-0.108569688253847</v>
      </c>
      <c r="H780" s="9">
        <f t="shared" si="81"/>
        <v>-3.4386294068536952E-3</v>
      </c>
      <c r="I780" s="9">
        <f t="shared" si="82"/>
        <v>-5.6233064113077333E-3</v>
      </c>
      <c r="J780" s="9">
        <f t="shared" si="83"/>
        <v>17.582146055177127</v>
      </c>
    </row>
    <row r="781" spans="2:10" x14ac:dyDescent="0.25">
      <c r="B781" s="1">
        <v>43147</v>
      </c>
      <c r="C781" s="13">
        <v>43.107999999999997</v>
      </c>
      <c r="D781" s="6">
        <f t="shared" si="77"/>
        <v>-3.2371439141694047E-3</v>
      </c>
      <c r="E781" s="14">
        <f t="shared" si="78"/>
        <v>1.7555419399800336E-4</v>
      </c>
      <c r="F781" s="9">
        <f t="shared" si="79"/>
        <v>17.700145982441718</v>
      </c>
      <c r="G781" s="9">
        <f t="shared" si="80"/>
        <v>-7.1156747689406205E-2</v>
      </c>
      <c r="H781" s="9">
        <f t="shared" si="81"/>
        <v>-1.5478681341176467E-3</v>
      </c>
      <c r="I781" s="9">
        <f t="shared" si="82"/>
        <v>-1.0460802092729805E-3</v>
      </c>
      <c r="J781" s="9">
        <f t="shared" si="83"/>
        <v>17.626395286408918</v>
      </c>
    </row>
    <row r="782" spans="2:10" x14ac:dyDescent="0.25">
      <c r="B782" s="1">
        <v>43146</v>
      </c>
      <c r="C782" s="13">
        <v>43.247999999999998</v>
      </c>
      <c r="D782" s="6">
        <f t="shared" si="77"/>
        <v>3.3577898334249401E-2</v>
      </c>
      <c r="E782" s="14">
        <f t="shared" si="78"/>
        <v>1.756447036353024E-4</v>
      </c>
      <c r="F782" s="9">
        <f t="shared" si="79"/>
        <v>17.699630550076112</v>
      </c>
      <c r="G782" s="9">
        <f t="shared" si="80"/>
        <v>-6.7560573767630458E-2</v>
      </c>
      <c r="H782" s="9">
        <f t="shared" si="81"/>
        <v>-1.8256405990382484E-3</v>
      </c>
      <c r="I782" s="9">
        <f t="shared" si="82"/>
        <v>-1.89903886962135E-3</v>
      </c>
      <c r="J782" s="9">
        <f t="shared" si="83"/>
        <v>17.628345296839825</v>
      </c>
    </row>
    <row r="783" spans="2:10" x14ac:dyDescent="0.25">
      <c r="B783" s="1">
        <v>43145</v>
      </c>
      <c r="C783" s="13">
        <v>41.843000000000004</v>
      </c>
      <c r="D783" s="6">
        <f t="shared" si="77"/>
        <v>1.8449555798953465E-2</v>
      </c>
      <c r="E783" s="14">
        <f t="shared" si="78"/>
        <v>1.6658527695825878E-4</v>
      </c>
      <c r="F783" s="9">
        <f t="shared" si="79"/>
        <v>17.752586423161183</v>
      </c>
      <c r="G783" s="9">
        <f t="shared" si="80"/>
        <v>-3.0730761437792986</v>
      </c>
      <c r="H783" s="9">
        <f t="shared" si="81"/>
        <v>-0.11712088132241762</v>
      </c>
      <c r="I783" s="9">
        <f t="shared" si="82"/>
        <v>-0.4038861920062537</v>
      </c>
      <c r="J783" s="9">
        <f t="shared" si="83"/>
        <v>14.158503206053213</v>
      </c>
    </row>
    <row r="784" spans="2:10" x14ac:dyDescent="0.25">
      <c r="B784" s="1">
        <v>43144</v>
      </c>
      <c r="C784" s="13">
        <v>41.085000000000001</v>
      </c>
      <c r="D784" s="6">
        <f t="shared" ref="D784:D847" si="84">C784/C785-1</f>
        <v>1.000540832882657E-2</v>
      </c>
      <c r="E784" s="14">
        <f t="shared" ref="E784:E847" si="85">_xlfn.VAR.S(D784:D904)</f>
        <v>1.6598835242335121E-4</v>
      </c>
      <c r="F784" s="9">
        <f t="shared" si="79"/>
        <v>17.756176155618466</v>
      </c>
      <c r="G784" s="9">
        <f t="shared" si="80"/>
        <v>-0.85495174492872839</v>
      </c>
      <c r="H784" s="9">
        <f t="shared" si="81"/>
        <v>1.5291739429988873E-3</v>
      </c>
      <c r="I784" s="9">
        <f t="shared" si="82"/>
        <v>-2.7717937380386002E-5</v>
      </c>
      <c r="J784" s="9">
        <f t="shared" si="83"/>
        <v>16.902725866695352</v>
      </c>
    </row>
    <row r="785" spans="2:10" x14ac:dyDescent="0.25">
      <c r="B785" s="1">
        <v>43143</v>
      </c>
      <c r="C785" s="13">
        <v>40.677999999999997</v>
      </c>
      <c r="D785" s="6">
        <f t="shared" si="84"/>
        <v>4.0278239521264192E-2</v>
      </c>
      <c r="E785" s="14">
        <f t="shared" si="85"/>
        <v>1.6526083953977741E-4</v>
      </c>
      <c r="F785" s="9">
        <f t="shared" ref="F785:F848" si="86">LN(2*PI())-LN($C$6)-LN(E785)-0.5*LN(1-POWER($C$7,2))</f>
        <v>17.760568704013892</v>
      </c>
      <c r="G785" s="9">
        <f t="shared" ref="G785:G848" si="87">-POWER(D784-1-$C$3,2)/(2*E785*(1-POWER($C$7,2)))</f>
        <v>-0.21299538835639539</v>
      </c>
      <c r="H785" s="9">
        <f t="shared" ref="H785:H848" si="88">$C$7*(D784-1-$C$3)*(E784-E785-$C$5*$C$4)/(E785*$C$6*(1-POWER($C$7,2)))</f>
        <v>2.7541366618623217E-4</v>
      </c>
      <c r="I785" s="9">
        <f t="shared" ref="I785:I848" si="89">-POWER(E784-E785-$C$5*$C$4+$C$4*E785,2)/(2*POWER($C$6,2)*E785*(1-POWER($C$7,2)))</f>
        <v>-2.2350243777796304E-4</v>
      </c>
      <c r="J785" s="9">
        <f t="shared" ref="J785:J848" si="90">SUM(F785:I785)</f>
        <v>17.547625226885906</v>
      </c>
    </row>
    <row r="786" spans="2:10" x14ac:dyDescent="0.25">
      <c r="B786" s="1">
        <v>43140</v>
      </c>
      <c r="C786" s="13">
        <v>39.103000000000002</v>
      </c>
      <c r="D786" s="6">
        <f t="shared" si="84"/>
        <v>8.1210683716614884E-3</v>
      </c>
      <c r="E786" s="14">
        <f t="shared" si="85"/>
        <v>1.5190887856973394E-4</v>
      </c>
      <c r="F786" s="9">
        <f t="shared" si="86"/>
        <v>17.844812917398279</v>
      </c>
      <c r="G786" s="9">
        <f t="shared" si="87"/>
        <v>-4.9316145810914067</v>
      </c>
      <c r="H786" s="9">
        <f t="shared" si="88"/>
        <v>-0.23612846323911379</v>
      </c>
      <c r="I786" s="9">
        <f t="shared" si="89"/>
        <v>-0.99673075121202848</v>
      </c>
      <c r="J786" s="9">
        <f t="shared" si="90"/>
        <v>11.680339121855731</v>
      </c>
    </row>
    <row r="787" spans="2:10" x14ac:dyDescent="0.25">
      <c r="B787" s="1">
        <v>43139</v>
      </c>
      <c r="C787" s="13">
        <v>38.787999999999997</v>
      </c>
      <c r="D787" s="6">
        <f t="shared" si="84"/>
        <v>-2.7504074213363428E-2</v>
      </c>
      <c r="E787" s="14">
        <f t="shared" si="85"/>
        <v>1.5438289031510395E-4</v>
      </c>
      <c r="F787" s="9">
        <f t="shared" si="86"/>
        <v>17.828657957959862</v>
      </c>
      <c r="G787" s="9">
        <f t="shared" si="87"/>
        <v>-0.13697495411401378</v>
      </c>
      <c r="H787" s="9">
        <f t="shared" si="88"/>
        <v>1.0185904180393382E-2</v>
      </c>
      <c r="I787" s="9">
        <f t="shared" si="89"/>
        <v>-5.4559979316019164E-2</v>
      </c>
      <c r="J787" s="9">
        <f t="shared" si="90"/>
        <v>17.647308928710224</v>
      </c>
    </row>
    <row r="788" spans="2:10" x14ac:dyDescent="0.25">
      <c r="B788" s="1">
        <v>43138</v>
      </c>
      <c r="C788" s="13">
        <v>39.884999999999998</v>
      </c>
      <c r="D788" s="6">
        <f t="shared" si="84"/>
        <v>-2.1419107905196633E-2</v>
      </c>
      <c r="E788" s="14">
        <f t="shared" si="85"/>
        <v>1.48263682160077E-4</v>
      </c>
      <c r="F788" s="9">
        <f t="shared" si="86"/>
        <v>17.869101450639221</v>
      </c>
      <c r="G788" s="9">
        <f t="shared" si="87"/>
        <v>-2.8703964868934642</v>
      </c>
      <c r="H788" s="9">
        <f t="shared" si="88"/>
        <v>7.7265924964847854E-2</v>
      </c>
      <c r="I788" s="9">
        <f t="shared" si="89"/>
        <v>-0.19286351221985262</v>
      </c>
      <c r="J788" s="9">
        <f t="shared" si="90"/>
        <v>14.883107376490752</v>
      </c>
    </row>
    <row r="789" spans="2:10" x14ac:dyDescent="0.25">
      <c r="B789" s="1">
        <v>43137</v>
      </c>
      <c r="C789" s="13">
        <v>40.758000000000003</v>
      </c>
      <c r="D789" s="6">
        <f t="shared" si="84"/>
        <v>4.1791273675331864E-2</v>
      </c>
      <c r="E789" s="14">
        <f t="shared" si="85"/>
        <v>1.4538244569201538E-4</v>
      </c>
      <c r="F789" s="9">
        <f t="shared" si="86"/>
        <v>17.888725948719603</v>
      </c>
      <c r="G789" s="9">
        <f t="shared" si="87"/>
        <v>-1.8321019197469064</v>
      </c>
      <c r="H789" s="9">
        <f t="shared" si="88"/>
        <v>2.438387211933539E-2</v>
      </c>
      <c r="I789" s="9">
        <f t="shared" si="89"/>
        <v>-3.4225038847711484E-2</v>
      </c>
      <c r="J789" s="9">
        <f t="shared" si="90"/>
        <v>16.046782862244321</v>
      </c>
    </row>
    <row r="790" spans="2:10" x14ac:dyDescent="0.25">
      <c r="B790" s="1">
        <v>43136</v>
      </c>
      <c r="C790" s="13">
        <v>39.122999999999998</v>
      </c>
      <c r="D790" s="6">
        <f t="shared" si="84"/>
        <v>-2.4971962616822441E-2</v>
      </c>
      <c r="E790" s="14">
        <f t="shared" si="85"/>
        <v>1.3277420817041615E-4</v>
      </c>
      <c r="F790" s="9">
        <f t="shared" si="86"/>
        <v>17.979443772793033</v>
      </c>
      <c r="G790" s="9">
        <f t="shared" si="87"/>
        <v>-6.0927287563871229</v>
      </c>
      <c r="H790" s="9">
        <f t="shared" si="88"/>
        <v>-0.26409840168954096</v>
      </c>
      <c r="I790" s="9">
        <f t="shared" si="89"/>
        <v>-1.0064218178968833</v>
      </c>
      <c r="J790" s="9">
        <f t="shared" si="90"/>
        <v>10.616194796819485</v>
      </c>
    </row>
    <row r="791" spans="2:10" x14ac:dyDescent="0.25">
      <c r="B791" s="1">
        <v>43133</v>
      </c>
      <c r="C791" s="13">
        <v>40.125</v>
      </c>
      <c r="D791" s="6">
        <f t="shared" si="84"/>
        <v>-4.3390153772797757E-2</v>
      </c>
      <c r="E791" s="14">
        <f t="shared" si="85"/>
        <v>1.2907604955093602E-4</v>
      </c>
      <c r="F791" s="9">
        <f t="shared" si="86"/>
        <v>18.007692013329955</v>
      </c>
      <c r="G791" s="9">
        <f t="shared" si="87"/>
        <v>-2.7488332502208301</v>
      </c>
      <c r="H791" s="9">
        <f t="shared" si="88"/>
        <v>4.4146252450428587E-2</v>
      </c>
      <c r="I791" s="9">
        <f t="shared" si="89"/>
        <v>-6.9257050938810127E-2</v>
      </c>
      <c r="J791" s="9">
        <f t="shared" si="90"/>
        <v>15.233747964620742</v>
      </c>
    </row>
    <row r="792" spans="2:10" x14ac:dyDescent="0.25">
      <c r="B792" s="1">
        <v>43132</v>
      </c>
      <c r="C792" s="13">
        <v>41.945</v>
      </c>
      <c r="D792" s="6">
        <f t="shared" si="84"/>
        <v>2.0784557312820695E-3</v>
      </c>
      <c r="E792" s="14">
        <f t="shared" si="85"/>
        <v>1.2392380742596822E-4</v>
      </c>
      <c r="F792" s="9">
        <f t="shared" si="86"/>
        <v>18.048426854881619</v>
      </c>
      <c r="G792" s="9">
        <f t="shared" si="87"/>
        <v>-8.2008962988761596</v>
      </c>
      <c r="H792" s="9">
        <f t="shared" si="88"/>
        <v>0.11687885441235249</v>
      </c>
      <c r="I792" s="9">
        <f t="shared" si="89"/>
        <v>-0.1547577932660171</v>
      </c>
      <c r="J792" s="9">
        <f t="shared" si="90"/>
        <v>9.8096516171517951</v>
      </c>
    </row>
    <row r="793" spans="2:10" x14ac:dyDescent="0.25">
      <c r="B793" s="1">
        <v>43131</v>
      </c>
      <c r="C793" s="13">
        <v>41.857999999999997</v>
      </c>
      <c r="D793" s="6">
        <f t="shared" si="84"/>
        <v>2.7549529262389516E-3</v>
      </c>
      <c r="E793" s="14">
        <f t="shared" si="85"/>
        <v>1.2417208721311469E-4</v>
      </c>
      <c r="F793" s="9">
        <f t="shared" si="86"/>
        <v>18.04642537178259</v>
      </c>
      <c r="G793" s="9">
        <f t="shared" si="87"/>
        <v>-8.2184189811262737E-4</v>
      </c>
      <c r="H793" s="9">
        <f t="shared" si="88"/>
        <v>2.8186082824331344E-4</v>
      </c>
      <c r="I793" s="9">
        <f t="shared" si="89"/>
        <v>-5.2973505140398482E-3</v>
      </c>
      <c r="J793" s="9">
        <f t="shared" si="90"/>
        <v>18.040588040198678</v>
      </c>
    </row>
    <row r="794" spans="2:10" x14ac:dyDescent="0.25">
      <c r="B794" s="1">
        <v>43130</v>
      </c>
      <c r="C794" s="13">
        <v>41.743000000000002</v>
      </c>
      <c r="D794" s="6">
        <f t="shared" si="84"/>
        <v>-5.8823529411764497E-3</v>
      </c>
      <c r="E794" s="14">
        <f t="shared" si="85"/>
        <v>1.2460047835128466E-4</v>
      </c>
      <c r="F794" s="9">
        <f t="shared" si="86"/>
        <v>18.042981329947494</v>
      </c>
      <c r="G794" s="9">
        <f t="shared" si="87"/>
        <v>-5.1173706055135408E-3</v>
      </c>
      <c r="H794" s="9">
        <f t="shared" si="88"/>
        <v>8.2265148878626784E-4</v>
      </c>
      <c r="I794" s="9">
        <f t="shared" si="89"/>
        <v>-7.7625384521195166E-3</v>
      </c>
      <c r="J794" s="9">
        <f t="shared" si="90"/>
        <v>18.030924072378646</v>
      </c>
    </row>
    <row r="795" spans="2:10" x14ac:dyDescent="0.25">
      <c r="B795" s="1">
        <v>43129</v>
      </c>
      <c r="C795" s="13">
        <v>41.99</v>
      </c>
      <c r="D795" s="6">
        <f t="shared" si="84"/>
        <v>-2.0709921171696344E-2</v>
      </c>
      <c r="E795" s="14">
        <f t="shared" si="85"/>
        <v>1.2610665440110621E-4</v>
      </c>
      <c r="F795" s="9">
        <f t="shared" si="86"/>
        <v>18.030965762984735</v>
      </c>
      <c r="G795" s="9">
        <f t="shared" si="87"/>
        <v>-0.22426455888348476</v>
      </c>
      <c r="H795" s="9">
        <f t="shared" si="88"/>
        <v>-1.0159138958689794E-2</v>
      </c>
      <c r="I795" s="9">
        <f t="shared" si="89"/>
        <v>-3.2260423316928556E-2</v>
      </c>
      <c r="J795" s="9">
        <f t="shared" si="90"/>
        <v>17.764281641825633</v>
      </c>
    </row>
    <row r="796" spans="2:10" x14ac:dyDescent="0.25">
      <c r="B796" s="1">
        <v>43126</v>
      </c>
      <c r="C796" s="13">
        <v>42.878</v>
      </c>
      <c r="D796" s="6">
        <f t="shared" si="84"/>
        <v>2.3376501940250982E-3</v>
      </c>
      <c r="E796" s="14">
        <f t="shared" si="85"/>
        <v>1.2243498024392877E-4</v>
      </c>
      <c r="F796" s="9">
        <f t="shared" si="86"/>
        <v>18.060513659833155</v>
      </c>
      <c r="G796" s="9">
        <f t="shared" si="87"/>
        <v>-2.0436566995526664</v>
      </c>
      <c r="H796" s="9">
        <f t="shared" si="88"/>
        <v>3.8726240595491714E-2</v>
      </c>
      <c r="I796" s="9">
        <f t="shared" si="89"/>
        <v>-7.1265197936479355E-2</v>
      </c>
      <c r="J796" s="9">
        <f t="shared" si="90"/>
        <v>15.984318002939499</v>
      </c>
    </row>
    <row r="797" spans="2:10" x14ac:dyDescent="0.25">
      <c r="B797" s="1">
        <v>43125</v>
      </c>
      <c r="C797" s="13">
        <v>42.777999999999999</v>
      </c>
      <c r="D797" s="6">
        <f t="shared" si="84"/>
        <v>-1.7839513259097717E-2</v>
      </c>
      <c r="E797" s="14">
        <f t="shared" si="85"/>
        <v>1.2338673219843287E-4</v>
      </c>
      <c r="F797" s="9">
        <f t="shared" si="86"/>
        <v>18.052770188349392</v>
      </c>
      <c r="G797" s="9">
        <f t="shared" si="87"/>
        <v>-2.0505489237533162E-3</v>
      </c>
      <c r="H797" s="9">
        <f t="shared" si="88"/>
        <v>7.4607965586233674E-4</v>
      </c>
      <c r="I797" s="9">
        <f t="shared" si="89"/>
        <v>-1.7955142794955185E-2</v>
      </c>
      <c r="J797" s="9">
        <f t="shared" si="90"/>
        <v>18.033510576286542</v>
      </c>
    </row>
    <row r="798" spans="2:10" x14ac:dyDescent="0.25">
      <c r="B798" s="1">
        <v>43124</v>
      </c>
      <c r="C798" s="13">
        <v>43.555</v>
      </c>
      <c r="D798" s="6">
        <f t="shared" si="84"/>
        <v>-1.5928603705377298E-2</v>
      </c>
      <c r="E798" s="14">
        <f t="shared" si="85"/>
        <v>1.3820725253332148E-4</v>
      </c>
      <c r="F798" s="9">
        <f t="shared" si="86"/>
        <v>17.939339386898801</v>
      </c>
      <c r="G798" s="9">
        <f t="shared" si="87"/>
        <v>-1.3750368652077214</v>
      </c>
      <c r="H798" s="9">
        <f t="shared" si="88"/>
        <v>-0.16269808459803523</v>
      </c>
      <c r="I798" s="9">
        <f t="shared" si="89"/>
        <v>-1.5837648914344649</v>
      </c>
      <c r="J798" s="9">
        <f t="shared" si="90"/>
        <v>14.817839545658581</v>
      </c>
    </row>
    <row r="799" spans="2:10" x14ac:dyDescent="0.25">
      <c r="B799" s="1">
        <v>43123</v>
      </c>
      <c r="C799" s="13">
        <v>44.26</v>
      </c>
      <c r="D799" s="6">
        <f t="shared" si="84"/>
        <v>2.2598870056489417E-4</v>
      </c>
      <c r="E799" s="14">
        <f t="shared" si="85"/>
        <v>1.3616818217081707E-4</v>
      </c>
      <c r="F799" s="9">
        <f t="shared" si="86"/>
        <v>17.954203020045405</v>
      </c>
      <c r="G799" s="9">
        <f t="shared" si="87"/>
        <v>-1.1350798844669632</v>
      </c>
      <c r="H799" s="9">
        <f t="shared" si="88"/>
        <v>1.1803046241037684E-2</v>
      </c>
      <c r="I799" s="9">
        <f t="shared" si="89"/>
        <v>-1.4528544816461916E-2</v>
      </c>
      <c r="J799" s="9">
        <f t="shared" si="90"/>
        <v>16.816397637003018</v>
      </c>
    </row>
    <row r="800" spans="2:10" x14ac:dyDescent="0.25">
      <c r="B800" s="1">
        <v>43122</v>
      </c>
      <c r="C800" s="13">
        <v>44.25</v>
      </c>
      <c r="D800" s="6">
        <f t="shared" si="84"/>
        <v>-8.1811050095259574E-3</v>
      </c>
      <c r="E800" s="14">
        <f t="shared" si="85"/>
        <v>1.3652050500165971E-4</v>
      </c>
      <c r="F800" s="9">
        <f t="shared" si="86"/>
        <v>17.95161895225333</v>
      </c>
      <c r="G800" s="9">
        <f t="shared" si="87"/>
        <v>-7.2136469918553086E-3</v>
      </c>
      <c r="H800" s="9">
        <f t="shared" si="88"/>
        <v>-8.7536917477816294E-4</v>
      </c>
      <c r="I800" s="9">
        <f t="shared" si="89"/>
        <v>-5.8203588890493613E-3</v>
      </c>
      <c r="J800" s="9">
        <f t="shared" si="90"/>
        <v>17.937709577197648</v>
      </c>
    </row>
    <row r="801" spans="2:10" x14ac:dyDescent="0.25">
      <c r="B801" s="1">
        <v>43119</v>
      </c>
      <c r="C801" s="13">
        <v>44.615000000000002</v>
      </c>
      <c r="D801" s="6">
        <f t="shared" si="84"/>
        <v>-4.4627914760682064E-3</v>
      </c>
      <c r="E801" s="14">
        <f t="shared" si="85"/>
        <v>1.3634788799562483E-4</v>
      </c>
      <c r="F801" s="9">
        <f t="shared" si="86"/>
        <v>17.952884155798273</v>
      </c>
      <c r="G801" s="9">
        <f t="shared" si="87"/>
        <v>-0.35383921267885232</v>
      </c>
      <c r="H801" s="9">
        <f t="shared" si="88"/>
        <v>-3.3424126800149956E-3</v>
      </c>
      <c r="I801" s="9">
        <f t="shared" si="89"/>
        <v>-1.0991708601929434E-3</v>
      </c>
      <c r="J801" s="9">
        <f t="shared" si="90"/>
        <v>17.59460335957921</v>
      </c>
    </row>
    <row r="802" spans="2:10" x14ac:dyDescent="0.25">
      <c r="B802" s="1">
        <v>43118</v>
      </c>
      <c r="C802" s="13">
        <v>44.814999999999998</v>
      </c>
      <c r="D802" s="6">
        <f t="shared" si="84"/>
        <v>8.9335566722503756E-4</v>
      </c>
      <c r="E802" s="14">
        <f t="shared" si="85"/>
        <v>1.3949795647425888E-4</v>
      </c>
      <c r="F802" s="9">
        <f t="shared" si="86"/>
        <v>17.93004382316478</v>
      </c>
      <c r="G802" s="9">
        <f t="shared" si="87"/>
        <v>-0.13333372719259032</v>
      </c>
      <c r="H802" s="9">
        <f t="shared" si="88"/>
        <v>-1.2754596670775791E-2</v>
      </c>
      <c r="I802" s="9">
        <f t="shared" si="89"/>
        <v>-9.1655960912156026E-2</v>
      </c>
      <c r="J802" s="9">
        <f t="shared" si="90"/>
        <v>17.692299538389261</v>
      </c>
    </row>
    <row r="803" spans="2:10" x14ac:dyDescent="0.25">
      <c r="B803" s="1">
        <v>43117</v>
      </c>
      <c r="C803" s="13">
        <v>44.774999999999999</v>
      </c>
      <c r="D803" s="6">
        <f t="shared" si="84"/>
        <v>1.6504722121322146E-2</v>
      </c>
      <c r="E803" s="14">
        <f t="shared" si="85"/>
        <v>1.3958925519721855E-4</v>
      </c>
      <c r="F803" s="9">
        <f t="shared" si="86"/>
        <v>17.929389556524114</v>
      </c>
      <c r="G803" s="9">
        <f t="shared" si="87"/>
        <v>-1.9354648277664023E-3</v>
      </c>
      <c r="H803" s="9">
        <f t="shared" si="88"/>
        <v>-3.4692614679852609E-4</v>
      </c>
      <c r="I803" s="9">
        <f t="shared" si="89"/>
        <v>-2.8944661066938699E-3</v>
      </c>
      <c r="J803" s="9">
        <f t="shared" si="90"/>
        <v>17.924212699442858</v>
      </c>
    </row>
    <row r="804" spans="2:10" x14ac:dyDescent="0.25">
      <c r="B804" s="1">
        <v>43116</v>
      </c>
      <c r="C804" s="13">
        <v>44.048000000000002</v>
      </c>
      <c r="D804" s="6">
        <f t="shared" si="84"/>
        <v>-5.0821042170171582E-3</v>
      </c>
      <c r="E804" s="14">
        <f t="shared" si="85"/>
        <v>1.3774291101133093E-4</v>
      </c>
      <c r="F804" s="9">
        <f t="shared" si="86"/>
        <v>17.94270479139275</v>
      </c>
      <c r="G804" s="9">
        <f t="shared" si="87"/>
        <v>-0.80581720689761438</v>
      </c>
      <c r="H804" s="9">
        <f t="shared" si="88"/>
        <v>-8.3486712571456418E-3</v>
      </c>
      <c r="I804" s="9">
        <f t="shared" si="89"/>
        <v>-1.0872961524487804E-2</v>
      </c>
      <c r="J804" s="9">
        <f t="shared" si="90"/>
        <v>17.117665951713501</v>
      </c>
    </row>
    <row r="805" spans="2:10" x14ac:dyDescent="0.25">
      <c r="B805" s="1">
        <v>43112</v>
      </c>
      <c r="C805" s="13">
        <v>44.273000000000003</v>
      </c>
      <c r="D805" s="6">
        <f t="shared" si="84"/>
        <v>1.0337745321771008E-2</v>
      </c>
      <c r="E805" s="14">
        <f t="shared" si="85"/>
        <v>1.3836163987048633E-4</v>
      </c>
      <c r="F805" s="9">
        <f t="shared" si="86"/>
        <v>17.938222939189448</v>
      </c>
      <c r="G805" s="9">
        <f t="shared" si="87"/>
        <v>-0.16315928916546396</v>
      </c>
      <c r="H805" s="9">
        <f t="shared" si="88"/>
        <v>-5.0905703358575987E-3</v>
      </c>
      <c r="I805" s="9">
        <f t="shared" si="89"/>
        <v>-9.4675942538334727E-3</v>
      </c>
      <c r="J805" s="9">
        <f t="shared" si="90"/>
        <v>17.760505485434294</v>
      </c>
    </row>
    <row r="806" spans="2:10" x14ac:dyDescent="0.25">
      <c r="B806" s="1">
        <v>43111</v>
      </c>
      <c r="C806" s="13">
        <v>43.82</v>
      </c>
      <c r="D806" s="6">
        <f t="shared" si="84"/>
        <v>5.6686480159731101E-3</v>
      </c>
      <c r="E806" s="14">
        <f t="shared" si="85"/>
        <v>1.377212861445784E-4</v>
      </c>
      <c r="F806" s="9">
        <f t="shared" si="86"/>
        <v>17.942861798125531</v>
      </c>
      <c r="G806" s="9">
        <f t="shared" si="87"/>
        <v>-0.27626639028566585</v>
      </c>
      <c r="H806" s="9">
        <f t="shared" si="88"/>
        <v>7.512061419708483E-4</v>
      </c>
      <c r="I806" s="9">
        <f t="shared" si="89"/>
        <v>-3.0320380240906816E-5</v>
      </c>
      <c r="J806" s="9">
        <f t="shared" si="90"/>
        <v>17.667316293601594</v>
      </c>
    </row>
    <row r="807" spans="2:10" x14ac:dyDescent="0.25">
      <c r="B807" s="1">
        <v>43110</v>
      </c>
      <c r="C807" s="13">
        <v>43.573</v>
      </c>
      <c r="D807" s="6">
        <f t="shared" si="84"/>
        <v>-2.2944726154683348E-4</v>
      </c>
      <c r="E807" s="14">
        <f t="shared" si="85"/>
        <v>1.3784204302162245E-4</v>
      </c>
      <c r="F807" s="9">
        <f t="shared" si="86"/>
        <v>17.94198536158995</v>
      </c>
      <c r="G807" s="9">
        <f t="shared" si="87"/>
        <v>-5.9417391602814083E-2</v>
      </c>
      <c r="H807" s="9">
        <f t="shared" si="88"/>
        <v>1.9982171772368971E-3</v>
      </c>
      <c r="I807" s="9">
        <f t="shared" si="89"/>
        <v>-3.224922965938007E-3</v>
      </c>
      <c r="J807" s="9">
        <f t="shared" si="90"/>
        <v>17.881341264198436</v>
      </c>
    </row>
    <row r="808" spans="2:10" x14ac:dyDescent="0.25">
      <c r="B808" s="1">
        <v>43109</v>
      </c>
      <c r="C808" s="13">
        <v>43.582999999999998</v>
      </c>
      <c r="D808" s="6">
        <f t="shared" si="84"/>
        <v>-1.1471047077182828E-4</v>
      </c>
      <c r="E808" s="14">
        <f t="shared" si="85"/>
        <v>1.3802999141349022E-4</v>
      </c>
      <c r="F808" s="9">
        <f t="shared" si="86"/>
        <v>17.94062278476094</v>
      </c>
      <c r="G808" s="9">
        <f t="shared" si="87"/>
        <v>-1.2525879426444382E-2</v>
      </c>
      <c r="H808" s="9">
        <f t="shared" si="88"/>
        <v>-9.8367555677705918E-4</v>
      </c>
      <c r="I808" s="9">
        <f t="shared" si="89"/>
        <v>-3.8714794364882086E-3</v>
      </c>
      <c r="J808" s="9">
        <f t="shared" si="90"/>
        <v>17.92324175034123</v>
      </c>
    </row>
    <row r="809" spans="2:10" x14ac:dyDescent="0.25">
      <c r="B809" s="1">
        <v>43108</v>
      </c>
      <c r="C809" s="13">
        <v>43.588000000000001</v>
      </c>
      <c r="D809" s="6">
        <f t="shared" si="84"/>
        <v>-3.7028571428571189E-3</v>
      </c>
      <c r="E809" s="14">
        <f t="shared" si="85"/>
        <v>1.3805149934773524E-4</v>
      </c>
      <c r="F809" s="9">
        <f t="shared" si="86"/>
        <v>17.940466976168125</v>
      </c>
      <c r="G809" s="9">
        <f t="shared" si="87"/>
        <v>-1.1023969473049296E-2</v>
      </c>
      <c r="H809" s="9">
        <f t="shared" si="88"/>
        <v>-7.674462935388411E-4</v>
      </c>
      <c r="I809" s="9">
        <f t="shared" si="89"/>
        <v>-2.3617709948828502E-3</v>
      </c>
      <c r="J809" s="9">
        <f t="shared" si="90"/>
        <v>17.926313789406649</v>
      </c>
    </row>
    <row r="810" spans="2:10" x14ac:dyDescent="0.25">
      <c r="B810" s="1">
        <v>43105</v>
      </c>
      <c r="C810" s="13">
        <v>43.75</v>
      </c>
      <c r="D810" s="6">
        <f t="shared" si="84"/>
        <v>1.1373618752600567E-2</v>
      </c>
      <c r="E810" s="14">
        <f t="shared" si="85"/>
        <v>1.3787490803585873E-4</v>
      </c>
      <c r="F810" s="9">
        <f t="shared" si="86"/>
        <v>17.941746964826415</v>
      </c>
      <c r="G810" s="9">
        <f t="shared" si="87"/>
        <v>-0.10333703962452816</v>
      </c>
      <c r="H810" s="9">
        <f t="shared" si="88"/>
        <v>-1.7848886678091863E-3</v>
      </c>
      <c r="I810" s="9">
        <f t="shared" si="89"/>
        <v>-1.0521921746674866E-3</v>
      </c>
      <c r="J810" s="9">
        <f t="shared" si="90"/>
        <v>17.835572844359408</v>
      </c>
    </row>
    <row r="811" spans="2:10" x14ac:dyDescent="0.25">
      <c r="B811" s="1">
        <v>43104</v>
      </c>
      <c r="C811" s="13">
        <v>43.258000000000003</v>
      </c>
      <c r="D811" s="6">
        <f t="shared" si="84"/>
        <v>4.6448975800084114E-3</v>
      </c>
      <c r="E811" s="14">
        <f t="shared" si="85"/>
        <v>1.3747494216386679E-4</v>
      </c>
      <c r="F811" s="9">
        <f t="shared" si="86"/>
        <v>17.944652113697984</v>
      </c>
      <c r="G811" s="9">
        <f t="shared" si="87"/>
        <v>-0.34650268046274035</v>
      </c>
      <c r="H811" s="9">
        <f t="shared" si="88"/>
        <v>2.1021975425677265E-3</v>
      </c>
      <c r="I811" s="9">
        <f t="shared" si="89"/>
        <v>-2.0243111180933963E-4</v>
      </c>
      <c r="J811" s="9">
        <f t="shared" si="90"/>
        <v>17.600049199666</v>
      </c>
    </row>
    <row r="812" spans="2:10" x14ac:dyDescent="0.25">
      <c r="B812" s="1">
        <v>43103</v>
      </c>
      <c r="C812" s="13">
        <v>43.058</v>
      </c>
      <c r="D812" s="6">
        <f t="shared" si="84"/>
        <v>-1.6254499013113044E-4</v>
      </c>
      <c r="E812" s="14">
        <f t="shared" si="85"/>
        <v>1.3869641404321606E-4</v>
      </c>
      <c r="F812" s="9">
        <f t="shared" si="86"/>
        <v>17.935806302452647</v>
      </c>
      <c r="G812" s="9">
        <f t="shared" si="87"/>
        <v>-3.2922790342142426E-2</v>
      </c>
      <c r="H812" s="9">
        <f t="shared" si="88"/>
        <v>3.2535884566483853E-3</v>
      </c>
      <c r="I812" s="9">
        <f t="shared" si="89"/>
        <v>-2.1412626213956492E-2</v>
      </c>
      <c r="J812" s="9">
        <f t="shared" si="90"/>
        <v>17.884724474353199</v>
      </c>
    </row>
    <row r="813" spans="2:10" x14ac:dyDescent="0.25">
      <c r="B813" s="1">
        <v>43102</v>
      </c>
      <c r="C813" s="13">
        <v>43.064999999999998</v>
      </c>
      <c r="D813" s="6">
        <f t="shared" si="84"/>
        <v>1.789259714474789E-2</v>
      </c>
      <c r="E813" s="14">
        <f t="shared" si="85"/>
        <v>1.3867457902867365E-4</v>
      </c>
      <c r="F813" s="9">
        <f t="shared" si="86"/>
        <v>17.935963745120652</v>
      </c>
      <c r="G813" s="9">
        <f t="shared" si="87"/>
        <v>-1.1585397570698992E-2</v>
      </c>
      <c r="H813" s="9">
        <f t="shared" si="88"/>
        <v>-7.4361041684071864E-4</v>
      </c>
      <c r="I813" s="9">
        <f t="shared" si="89"/>
        <v>-2.0130464081639667E-3</v>
      </c>
      <c r="J813" s="9">
        <f t="shared" si="90"/>
        <v>17.921621690724951</v>
      </c>
    </row>
    <row r="814" spans="2:10" x14ac:dyDescent="0.25">
      <c r="B814" s="1">
        <v>43098</v>
      </c>
      <c r="C814" s="13">
        <v>42.308</v>
      </c>
      <c r="D814" s="6">
        <f t="shared" si="84"/>
        <v>-1.0801963993453456E-2</v>
      </c>
      <c r="E814" s="14">
        <f t="shared" si="85"/>
        <v>1.3643710668944184E-4</v>
      </c>
      <c r="F814" s="9">
        <f t="shared" si="86"/>
        <v>17.952230023798808</v>
      </c>
      <c r="G814" s="9">
        <f t="shared" si="87"/>
        <v>-0.97239377070708188</v>
      </c>
      <c r="H814" s="9">
        <f t="shared" si="88"/>
        <v>-1.2662653430281053E-2</v>
      </c>
      <c r="I814" s="9">
        <f t="shared" si="89"/>
        <v>-1.8708187804415584E-2</v>
      </c>
      <c r="J814" s="9">
        <f t="shared" si="90"/>
        <v>16.948465411857033</v>
      </c>
    </row>
    <row r="815" spans="2:10" x14ac:dyDescent="0.25">
      <c r="B815" s="1">
        <v>43097</v>
      </c>
      <c r="C815" s="13">
        <v>42.77</v>
      </c>
      <c r="D815" s="6">
        <f t="shared" si="84"/>
        <v>2.8135990621338536E-3</v>
      </c>
      <c r="E815" s="14">
        <f t="shared" si="85"/>
        <v>1.3537739425062772E-4</v>
      </c>
      <c r="F815" s="9">
        <f t="shared" si="86"/>
        <v>17.960027384162217</v>
      </c>
      <c r="G815" s="9">
        <f t="shared" si="87"/>
        <v>-0.57227049754069292</v>
      </c>
      <c r="H815" s="9">
        <f t="shared" si="88"/>
        <v>1.7564643713138962E-3</v>
      </c>
      <c r="I815" s="9">
        <f t="shared" si="89"/>
        <v>-1.5900668261048989E-3</v>
      </c>
      <c r="J815" s="9">
        <f t="shared" si="90"/>
        <v>17.387923284166735</v>
      </c>
    </row>
    <row r="816" spans="2:10" x14ac:dyDescent="0.25">
      <c r="B816" s="1">
        <v>43096</v>
      </c>
      <c r="C816" s="13">
        <v>42.65</v>
      </c>
      <c r="D816" s="6">
        <f t="shared" si="84"/>
        <v>1.6415355392429554E-4</v>
      </c>
      <c r="E816" s="14">
        <f t="shared" si="85"/>
        <v>1.3598433343759412E-4</v>
      </c>
      <c r="F816" s="9">
        <f t="shared" si="86"/>
        <v>17.955554091600106</v>
      </c>
      <c r="G816" s="9">
        <f t="shared" si="87"/>
        <v>-5.1893986348046268E-3</v>
      </c>
      <c r="H816" s="9">
        <f t="shared" si="88"/>
        <v>9.081569573906118E-4</v>
      </c>
      <c r="I816" s="9">
        <f t="shared" si="89"/>
        <v>-9.5064170396586319E-3</v>
      </c>
      <c r="J816" s="9">
        <f t="shared" si="90"/>
        <v>17.941766432883032</v>
      </c>
    </row>
    <row r="817" spans="2:10" x14ac:dyDescent="0.25">
      <c r="B817" s="1">
        <v>43095</v>
      </c>
      <c r="C817" s="13">
        <v>42.643000000000001</v>
      </c>
      <c r="D817" s="6">
        <f t="shared" si="84"/>
        <v>-2.5369688935615864E-2</v>
      </c>
      <c r="E817" s="14">
        <f t="shared" si="85"/>
        <v>1.3696695402420765E-4</v>
      </c>
      <c r="F817" s="9">
        <f t="shared" si="86"/>
        <v>17.948354090159043</v>
      </c>
      <c r="G817" s="9">
        <f t="shared" si="87"/>
        <v>-7.8386638613024001E-3</v>
      </c>
      <c r="H817" s="9">
        <f t="shared" si="88"/>
        <v>-1.4088980476773543E-3</v>
      </c>
      <c r="I817" s="9">
        <f t="shared" si="89"/>
        <v>-1.6350845694254282E-2</v>
      </c>
      <c r="J817" s="9">
        <f t="shared" si="90"/>
        <v>17.922755682555806</v>
      </c>
    </row>
    <row r="818" spans="2:10" x14ac:dyDescent="0.25">
      <c r="B818" s="1">
        <v>43091</v>
      </c>
      <c r="C818" s="13">
        <v>43.753</v>
      </c>
      <c r="D818" s="6">
        <f t="shared" si="84"/>
        <v>0</v>
      </c>
      <c r="E818" s="14">
        <f t="shared" si="85"/>
        <v>1.3096620373878853E-4</v>
      </c>
      <c r="F818" s="9">
        <f t="shared" si="86"/>
        <v>17.993154472198817</v>
      </c>
      <c r="G818" s="9">
        <f t="shared" si="87"/>
        <v>-2.7907842320977108</v>
      </c>
      <c r="H818" s="9">
        <f t="shared" si="88"/>
        <v>7.9256547482966219E-2</v>
      </c>
      <c r="I818" s="9">
        <f t="shared" si="89"/>
        <v>-0.20694489673612429</v>
      </c>
      <c r="J818" s="9">
        <f t="shared" si="90"/>
        <v>15.07468189084795</v>
      </c>
    </row>
    <row r="819" spans="2:10" x14ac:dyDescent="0.25">
      <c r="B819" s="1">
        <v>43090</v>
      </c>
      <c r="C819" s="13">
        <v>43.753</v>
      </c>
      <c r="D819" s="6">
        <f t="shared" si="84"/>
        <v>3.7854455354684458E-3</v>
      </c>
      <c r="E819" s="14">
        <f t="shared" si="85"/>
        <v>1.3117664645011858E-4</v>
      </c>
      <c r="F819" s="9">
        <f t="shared" si="86"/>
        <v>17.991548914340683</v>
      </c>
      <c r="G819" s="9">
        <f t="shared" si="87"/>
        <v>-1.0124137803515914E-2</v>
      </c>
      <c r="H819" s="9">
        <f t="shared" si="88"/>
        <v>-9.2779723549656047E-4</v>
      </c>
      <c r="I819" s="9">
        <f t="shared" si="89"/>
        <v>-4.444246213847567E-3</v>
      </c>
      <c r="J819" s="9">
        <f t="shared" si="90"/>
        <v>17.976052733087823</v>
      </c>
    </row>
    <row r="820" spans="2:10" x14ac:dyDescent="0.25">
      <c r="B820" s="1">
        <v>43089</v>
      </c>
      <c r="C820" s="13">
        <v>43.588000000000001</v>
      </c>
      <c r="D820" s="6">
        <f t="shared" si="84"/>
        <v>-1.0771169932393132E-3</v>
      </c>
      <c r="E820" s="14">
        <f t="shared" si="85"/>
        <v>1.3114341822108351E-4</v>
      </c>
      <c r="F820" s="9">
        <f t="shared" si="86"/>
        <v>17.991802255458559</v>
      </c>
      <c r="G820" s="9">
        <f t="shared" si="87"/>
        <v>-1.7809371191207665E-2</v>
      </c>
      <c r="H820" s="9">
        <f t="shared" si="88"/>
        <v>9.3420469737880293E-4</v>
      </c>
      <c r="I820" s="9">
        <f t="shared" si="89"/>
        <v>-2.13692275585977E-3</v>
      </c>
      <c r="J820" s="9">
        <f t="shared" si="90"/>
        <v>17.97279016620887</v>
      </c>
    </row>
    <row r="821" spans="2:10" x14ac:dyDescent="0.25">
      <c r="B821" s="1">
        <v>43088</v>
      </c>
      <c r="C821" s="13">
        <v>43.634999999999998</v>
      </c>
      <c r="D821" s="6">
        <f t="shared" si="84"/>
        <v>-1.0656388164607122E-2</v>
      </c>
      <c r="E821" s="14">
        <f t="shared" si="85"/>
        <v>1.3331516795641712E-4</v>
      </c>
      <c r="F821" s="9">
        <f t="shared" si="86"/>
        <v>17.975377766557415</v>
      </c>
      <c r="G821" s="9">
        <f t="shared" si="87"/>
        <v>-2.7512920653444115E-2</v>
      </c>
      <c r="H821" s="9">
        <f t="shared" si="88"/>
        <v>-4.4591535519487024E-3</v>
      </c>
      <c r="I821" s="9">
        <f t="shared" si="89"/>
        <v>-5.2487079858047847E-2</v>
      </c>
      <c r="J821" s="9">
        <f t="shared" si="90"/>
        <v>17.890918612493977</v>
      </c>
    </row>
    <row r="822" spans="2:10" x14ac:dyDescent="0.25">
      <c r="B822" s="1">
        <v>43087</v>
      </c>
      <c r="C822" s="13">
        <v>44.104999999999997</v>
      </c>
      <c r="D822" s="6">
        <f t="shared" si="84"/>
        <v>1.4071229853079625E-2</v>
      </c>
      <c r="E822" s="14">
        <f t="shared" si="85"/>
        <v>1.3345017521488759E-4</v>
      </c>
      <c r="F822" s="9">
        <f t="shared" si="86"/>
        <v>17.974365586576376</v>
      </c>
      <c r="G822" s="9">
        <f t="shared" si="87"/>
        <v>-0.56701577380100299</v>
      </c>
      <c r="H822" s="9">
        <f t="shared" si="88"/>
        <v>-6.3705611288693452E-3</v>
      </c>
      <c r="I822" s="9">
        <f t="shared" si="89"/>
        <v>-3.5409087003956219E-3</v>
      </c>
      <c r="J822" s="9">
        <f t="shared" si="90"/>
        <v>17.39743834294611</v>
      </c>
    </row>
    <row r="823" spans="2:10" x14ac:dyDescent="0.25">
      <c r="B823" s="1">
        <v>43084</v>
      </c>
      <c r="C823" s="13">
        <v>43.493000000000002</v>
      </c>
      <c r="D823" s="6">
        <f t="shared" si="84"/>
        <v>1.0173034490767785E-2</v>
      </c>
      <c r="E823" s="14">
        <f t="shared" si="85"/>
        <v>1.3428648788902937E-4</v>
      </c>
      <c r="F823" s="9">
        <f t="shared" si="86"/>
        <v>17.968118288320966</v>
      </c>
      <c r="G823" s="9">
        <f t="shared" si="87"/>
        <v>-0.57827265822578433</v>
      </c>
      <c r="H823" s="9">
        <f t="shared" si="88"/>
        <v>1.1218774520214359E-2</v>
      </c>
      <c r="I823" s="9">
        <f t="shared" si="89"/>
        <v>-1.3776432073300203E-2</v>
      </c>
      <c r="J823" s="9">
        <f t="shared" si="90"/>
        <v>17.387287972542094</v>
      </c>
    </row>
    <row r="824" spans="2:10" x14ac:dyDescent="0.25">
      <c r="B824" s="1">
        <v>43083</v>
      </c>
      <c r="C824" s="13">
        <v>43.055</v>
      </c>
      <c r="D824" s="6">
        <f t="shared" si="84"/>
        <v>-3.0184823999257482E-4</v>
      </c>
      <c r="E824" s="14">
        <f t="shared" si="85"/>
        <v>1.3383302735731146E-4</v>
      </c>
      <c r="F824" s="9">
        <f t="shared" si="86"/>
        <v>17.971500816919509</v>
      </c>
      <c r="G824" s="9">
        <f t="shared" si="87"/>
        <v>-0.27364265812818039</v>
      </c>
      <c r="H824" s="9">
        <f t="shared" si="88"/>
        <v>1.6408255297541208E-3</v>
      </c>
      <c r="I824" s="9">
        <f t="shared" si="89"/>
        <v>-1.0975204757778587E-4</v>
      </c>
      <c r="J824" s="9">
        <f t="shared" si="90"/>
        <v>17.699389232273504</v>
      </c>
    </row>
    <row r="825" spans="2:10" x14ac:dyDescent="0.25">
      <c r="B825" s="1">
        <v>43082</v>
      </c>
      <c r="C825" s="13">
        <v>43.067999999999998</v>
      </c>
      <c r="D825" s="6">
        <f t="shared" si="84"/>
        <v>3.3313919627258048E-3</v>
      </c>
      <c r="E825" s="14">
        <f t="shared" si="85"/>
        <v>1.3388355385762657E-4</v>
      </c>
      <c r="F825" s="9">
        <f t="shared" si="86"/>
        <v>17.971123354300751</v>
      </c>
      <c r="G825" s="9">
        <f t="shared" si="87"/>
        <v>-1.3940527808466521E-2</v>
      </c>
      <c r="H825" s="9">
        <f t="shared" si="88"/>
        <v>-9.0726447475608229E-4</v>
      </c>
      <c r="I825" s="9">
        <f t="shared" si="89"/>
        <v>-2.7386407395988284E-3</v>
      </c>
      <c r="J825" s="9">
        <f t="shared" si="90"/>
        <v>17.953536921277934</v>
      </c>
    </row>
    <row r="826" spans="2:10" x14ac:dyDescent="0.25">
      <c r="B826" s="1">
        <v>43081</v>
      </c>
      <c r="C826" s="13">
        <v>42.924999999999997</v>
      </c>
      <c r="D826" s="6">
        <f t="shared" si="84"/>
        <v>-5.6291697553744191E-3</v>
      </c>
      <c r="E826" s="14">
        <f t="shared" si="85"/>
        <v>1.3393264332673842E-4</v>
      </c>
      <c r="F826" s="9">
        <f t="shared" si="86"/>
        <v>17.970756763555471</v>
      </c>
      <c r="G826" s="9">
        <f t="shared" si="87"/>
        <v>-1.0872464808116442E-2</v>
      </c>
      <c r="H826" s="9">
        <f t="shared" si="88"/>
        <v>7.9973324991808726E-4</v>
      </c>
      <c r="I826" s="9">
        <f t="shared" si="89"/>
        <v>-2.7244578369492855E-3</v>
      </c>
      <c r="J826" s="9">
        <f t="shared" si="90"/>
        <v>17.957959574160324</v>
      </c>
    </row>
    <row r="827" spans="2:10" x14ac:dyDescent="0.25">
      <c r="B827" s="1">
        <v>43080</v>
      </c>
      <c r="C827" s="13">
        <v>43.167999999999999</v>
      </c>
      <c r="D827" s="6">
        <f t="shared" si="84"/>
        <v>1.9483739933400912E-2</v>
      </c>
      <c r="E827" s="14">
        <f t="shared" si="85"/>
        <v>1.3367998502403512E-4</v>
      </c>
      <c r="F827" s="9">
        <f t="shared" si="86"/>
        <v>17.972645003130189</v>
      </c>
      <c r="G827" s="9">
        <f t="shared" si="87"/>
        <v>-0.19753474904394436</v>
      </c>
      <c r="H827" s="9">
        <f t="shared" si="88"/>
        <v>-2.2008736260661333E-3</v>
      </c>
      <c r="I827" s="9">
        <f t="shared" si="89"/>
        <v>-7.3962444209796233E-4</v>
      </c>
      <c r="J827" s="9">
        <f t="shared" si="90"/>
        <v>17.77216975601808</v>
      </c>
    </row>
    <row r="828" spans="2:10" x14ac:dyDescent="0.25">
      <c r="B828" s="1">
        <v>43077</v>
      </c>
      <c r="C828" s="13">
        <v>42.343000000000004</v>
      </c>
      <c r="D828" s="6">
        <f t="shared" si="84"/>
        <v>3.0711079612588676E-4</v>
      </c>
      <c r="E828" s="14">
        <f t="shared" si="85"/>
        <v>1.3186526414280157E-4</v>
      </c>
      <c r="F828" s="9">
        <f t="shared" si="86"/>
        <v>17.986313100289131</v>
      </c>
      <c r="G828" s="9">
        <f t="shared" si="87"/>
        <v>-1.2125795605536445</v>
      </c>
      <c r="H828" s="9">
        <f t="shared" si="88"/>
        <v>-1.0150394633639447E-2</v>
      </c>
      <c r="I828" s="9">
        <f t="shared" si="89"/>
        <v>-1.063192373526021E-2</v>
      </c>
      <c r="J828" s="9">
        <f t="shared" si="90"/>
        <v>16.752951221366583</v>
      </c>
    </row>
    <row r="829" spans="2:10" x14ac:dyDescent="0.25">
      <c r="B829" s="1">
        <v>43076</v>
      </c>
      <c r="C829" s="13">
        <v>42.33</v>
      </c>
      <c r="D829" s="6">
        <f t="shared" si="84"/>
        <v>1.8223558090548764E-3</v>
      </c>
      <c r="E829" s="14">
        <f t="shared" si="85"/>
        <v>1.3802189652156478E-4</v>
      </c>
      <c r="F829" s="9">
        <f t="shared" si="86"/>
        <v>17.940681432372358</v>
      </c>
      <c r="G829" s="9">
        <f t="shared" si="87"/>
        <v>-6.3330037623472368E-3</v>
      </c>
      <c r="H829" s="9">
        <f t="shared" si="88"/>
        <v>-4.9210660562646717E-3</v>
      </c>
      <c r="I829" s="9">
        <f t="shared" si="89"/>
        <v>-0.30308912557393081</v>
      </c>
      <c r="J829" s="9">
        <f t="shared" si="90"/>
        <v>17.626338236979816</v>
      </c>
    </row>
    <row r="830" spans="2:10" x14ac:dyDescent="0.25">
      <c r="B830" s="1">
        <v>43075</v>
      </c>
      <c r="C830" s="13">
        <v>42.253</v>
      </c>
      <c r="D830" s="6">
        <f t="shared" si="84"/>
        <v>-3.7019570855929551E-3</v>
      </c>
      <c r="E830" s="14">
        <f t="shared" si="85"/>
        <v>1.4000772293580531E-4</v>
      </c>
      <c r="F830" s="9">
        <f t="shared" si="86"/>
        <v>17.926396190473845</v>
      </c>
      <c r="G830" s="9">
        <f t="shared" si="87"/>
        <v>-1.3620771031237552E-4</v>
      </c>
      <c r="H830" s="9">
        <f t="shared" si="88"/>
        <v>2.8701204727084231E-4</v>
      </c>
      <c r="I830" s="9">
        <f t="shared" si="89"/>
        <v>-4.3079447908962301E-2</v>
      </c>
      <c r="J830" s="9">
        <f t="shared" si="90"/>
        <v>17.883467546901841</v>
      </c>
    </row>
    <row r="831" spans="2:10" x14ac:dyDescent="0.25">
      <c r="B831" s="1">
        <v>43074</v>
      </c>
      <c r="C831" s="13">
        <v>42.41</v>
      </c>
      <c r="D831" s="6">
        <f t="shared" si="84"/>
        <v>-9.4228504122506607E-4</v>
      </c>
      <c r="E831" s="14">
        <f t="shared" si="85"/>
        <v>1.4024339242405874E-4</v>
      </c>
      <c r="F831" s="9">
        <f t="shared" si="86"/>
        <v>17.924714344936838</v>
      </c>
      <c r="G831" s="9">
        <f t="shared" si="87"/>
        <v>-0.10155753727618762</v>
      </c>
      <c r="H831" s="9">
        <f t="shared" si="88"/>
        <v>-2.9128383320079568E-3</v>
      </c>
      <c r="I831" s="9">
        <f t="shared" si="89"/>
        <v>-4.2646327232344818E-3</v>
      </c>
      <c r="J831" s="9">
        <f t="shared" si="90"/>
        <v>17.815979336605409</v>
      </c>
    </row>
    <row r="832" spans="2:10" x14ac:dyDescent="0.25">
      <c r="B832" s="1">
        <v>43073</v>
      </c>
      <c r="C832" s="13">
        <v>42.45</v>
      </c>
      <c r="D832" s="6">
        <f t="shared" si="84"/>
        <v>-7.3194116409044385E-3</v>
      </c>
      <c r="E832" s="14">
        <f t="shared" si="85"/>
        <v>1.4122561570027067E-4</v>
      </c>
      <c r="F832" s="9">
        <f t="shared" si="86"/>
        <v>17.91773505247544</v>
      </c>
      <c r="G832" s="9">
        <f t="shared" si="87"/>
        <v>-2.3446730085516065E-2</v>
      </c>
      <c r="H832" s="9">
        <f t="shared" si="88"/>
        <v>-2.39913173865468E-3</v>
      </c>
      <c r="I832" s="9">
        <f t="shared" si="89"/>
        <v>-1.5706528611250631E-2</v>
      </c>
      <c r="J832" s="9">
        <f t="shared" si="90"/>
        <v>17.876182662040016</v>
      </c>
    </row>
    <row r="833" spans="2:10" x14ac:dyDescent="0.25">
      <c r="B833" s="1">
        <v>43070</v>
      </c>
      <c r="C833" s="13">
        <v>42.762999999999998</v>
      </c>
      <c r="D833" s="6">
        <f t="shared" si="84"/>
        <v>-4.6551684007170024E-3</v>
      </c>
      <c r="E833" s="14">
        <f t="shared" si="85"/>
        <v>1.4097477906307605E-4</v>
      </c>
      <c r="F833" s="9">
        <f t="shared" si="86"/>
        <v>17.919512772903254</v>
      </c>
      <c r="G833" s="9">
        <f t="shared" si="87"/>
        <v>-0.28473671336302397</v>
      </c>
      <c r="H833" s="9">
        <f t="shared" si="88"/>
        <v>-2.5816538172718875E-3</v>
      </c>
      <c r="I833" s="9">
        <f t="shared" si="89"/>
        <v>-6.5810187666142436E-4</v>
      </c>
      <c r="J833" s="9">
        <f t="shared" si="90"/>
        <v>17.631536303846293</v>
      </c>
    </row>
    <row r="834" spans="2:10" x14ac:dyDescent="0.25">
      <c r="B834" s="1">
        <v>43069</v>
      </c>
      <c r="C834" s="13">
        <v>42.963000000000001</v>
      </c>
      <c r="D834" s="6">
        <f t="shared" si="84"/>
        <v>1.3995751711116444E-2</v>
      </c>
      <c r="E834" s="14">
        <f t="shared" si="85"/>
        <v>1.4597997005218587E-4</v>
      </c>
      <c r="F834" s="9">
        <f t="shared" si="86"/>
        <v>17.884624354515513</v>
      </c>
      <c r="G834" s="9">
        <f t="shared" si="87"/>
        <v>-0.13558991094730224</v>
      </c>
      <c r="H834" s="9">
        <f t="shared" si="88"/>
        <v>-1.847672575394279E-2</v>
      </c>
      <c r="I834" s="9">
        <f t="shared" si="89"/>
        <v>-0.19595951880592716</v>
      </c>
      <c r="J834" s="9">
        <f t="shared" si="90"/>
        <v>17.534598199008339</v>
      </c>
    </row>
    <row r="835" spans="2:10" x14ac:dyDescent="0.25">
      <c r="B835" s="1">
        <v>43068</v>
      </c>
      <c r="C835" s="13">
        <v>42.37</v>
      </c>
      <c r="D835" s="6">
        <f t="shared" si="84"/>
        <v>-2.0754368124248912E-2</v>
      </c>
      <c r="E835" s="14">
        <f t="shared" si="85"/>
        <v>1.577964939309617E-4</v>
      </c>
      <c r="F835" s="9">
        <f t="shared" si="86"/>
        <v>17.806787585658888</v>
      </c>
      <c r="G835" s="9">
        <f t="shared" si="87"/>
        <v>-0.48616441901368662</v>
      </c>
      <c r="H835" s="9">
        <f t="shared" si="88"/>
        <v>7.3128106535904749E-2</v>
      </c>
      <c r="I835" s="9">
        <f t="shared" si="89"/>
        <v>-0.89386695136367145</v>
      </c>
      <c r="J835" s="9">
        <f t="shared" si="90"/>
        <v>16.499884321817433</v>
      </c>
    </row>
    <row r="836" spans="2:10" x14ac:dyDescent="0.25">
      <c r="B836" s="1">
        <v>43067</v>
      </c>
      <c r="C836" s="13">
        <v>43.268000000000001</v>
      </c>
      <c r="D836" s="6">
        <f t="shared" si="84"/>
        <v>-5.8589711187189142E-3</v>
      </c>
      <c r="E836" s="14">
        <f t="shared" si="85"/>
        <v>1.5398444283852561E-4</v>
      </c>
      <c r="F836" s="9">
        <f t="shared" si="86"/>
        <v>17.831242198607203</v>
      </c>
      <c r="G836" s="9">
        <f t="shared" si="87"/>
        <v>-1.6314103895088472</v>
      </c>
      <c r="H836" s="9">
        <f t="shared" si="88"/>
        <v>3.2361707458389809E-2</v>
      </c>
      <c r="I836" s="9">
        <f t="shared" si="89"/>
        <v>-6.3987672490816341E-2</v>
      </c>
      <c r="J836" s="9">
        <f t="shared" si="90"/>
        <v>16.168205844065927</v>
      </c>
    </row>
    <row r="837" spans="2:10" x14ac:dyDescent="0.25">
      <c r="B837" s="1">
        <v>43066</v>
      </c>
      <c r="C837" s="13">
        <v>43.523000000000003</v>
      </c>
      <c r="D837" s="6">
        <f t="shared" si="84"/>
        <v>-5.0293761287519834E-3</v>
      </c>
      <c r="E837" s="14">
        <f t="shared" si="85"/>
        <v>1.5379376435916382E-4</v>
      </c>
      <c r="F837" s="9">
        <f t="shared" si="86"/>
        <v>17.832481262967825</v>
      </c>
      <c r="G837" s="9">
        <f t="shared" si="87"/>
        <v>-0.18274744350905955</v>
      </c>
      <c r="H837" s="9">
        <f t="shared" si="88"/>
        <v>-2.1967039248902789E-3</v>
      </c>
      <c r="I837" s="9">
        <f t="shared" si="89"/>
        <v>-7.6064494307348084E-4</v>
      </c>
      <c r="J837" s="9">
        <f t="shared" si="90"/>
        <v>17.646776470590801</v>
      </c>
    </row>
    <row r="838" spans="2:10" x14ac:dyDescent="0.25">
      <c r="B838" s="1">
        <v>43063</v>
      </c>
      <c r="C838" s="13">
        <v>43.743000000000002</v>
      </c>
      <c r="D838" s="6">
        <f t="shared" si="84"/>
        <v>6.8587105624073885E-5</v>
      </c>
      <c r="E838" s="14">
        <f t="shared" si="85"/>
        <v>1.5352384728833322E-4</v>
      </c>
      <c r="F838" s="9">
        <f t="shared" si="86"/>
        <v>17.834237863500995</v>
      </c>
      <c r="G838" s="9">
        <f t="shared" si="87"/>
        <v>-0.144743360153199</v>
      </c>
      <c r="H838" s="9">
        <f t="shared" si="88"/>
        <v>-1.7026626616671776E-3</v>
      </c>
      <c r="I838" s="9">
        <f t="shared" si="89"/>
        <v>-4.61905392825284E-4</v>
      </c>
      <c r="J838" s="9">
        <f t="shared" si="90"/>
        <v>17.687329935293302</v>
      </c>
    </row>
    <row r="839" spans="2:10" x14ac:dyDescent="0.25">
      <c r="B839" s="1">
        <v>43061</v>
      </c>
      <c r="C839" s="13">
        <v>43.74</v>
      </c>
      <c r="D839" s="6">
        <f t="shared" si="84"/>
        <v>1.0511724615917872E-2</v>
      </c>
      <c r="E839" s="14">
        <f t="shared" si="85"/>
        <v>1.5450018926163971E-4</v>
      </c>
      <c r="F839" s="9">
        <f t="shared" si="86"/>
        <v>17.827898454057379</v>
      </c>
      <c r="G839" s="9">
        <f t="shared" si="87"/>
        <v>-7.8864891399573391E-3</v>
      </c>
      <c r="H839" s="9">
        <f t="shared" si="88"/>
        <v>-1.325904668120917E-3</v>
      </c>
      <c r="I839" s="9">
        <f t="shared" si="89"/>
        <v>-1.3845695331062124E-2</v>
      </c>
      <c r="J839" s="9">
        <f t="shared" si="90"/>
        <v>17.804840364918238</v>
      </c>
    </row>
    <row r="840" spans="2:10" x14ac:dyDescent="0.25">
      <c r="B840" s="1">
        <v>43060</v>
      </c>
      <c r="C840" s="13">
        <v>43.284999999999997</v>
      </c>
      <c r="D840" s="6">
        <f t="shared" si="84"/>
        <v>1.8590422402635642E-2</v>
      </c>
      <c r="E840" s="14">
        <f t="shared" si="85"/>
        <v>1.5533549469284145E-4</v>
      </c>
      <c r="F840" s="9">
        <f t="shared" si="86"/>
        <v>17.822506515696531</v>
      </c>
      <c r="G840" s="9">
        <f t="shared" si="87"/>
        <v>-0.25482170027390316</v>
      </c>
      <c r="H840" s="9">
        <f t="shared" si="88"/>
        <v>6.9200757073927047E-3</v>
      </c>
      <c r="I840" s="9">
        <f t="shared" si="89"/>
        <v>-1.1314124148217244E-2</v>
      </c>
      <c r="J840" s="9">
        <f t="shared" si="90"/>
        <v>17.563290766981801</v>
      </c>
    </row>
    <row r="841" spans="2:10" x14ac:dyDescent="0.25">
      <c r="B841" s="1">
        <v>43059</v>
      </c>
      <c r="C841" s="13">
        <v>42.494999999999997</v>
      </c>
      <c r="D841" s="6">
        <f t="shared" si="84"/>
        <v>-1.0108608773331529E-3</v>
      </c>
      <c r="E841" s="14">
        <f t="shared" si="85"/>
        <v>1.5278887450366453E-4</v>
      </c>
      <c r="F841" s="9">
        <f t="shared" si="86"/>
        <v>17.83903671214717</v>
      </c>
      <c r="G841" s="9">
        <f t="shared" si="87"/>
        <v>-0.94443186797840772</v>
      </c>
      <c r="H841" s="9">
        <f t="shared" si="88"/>
        <v>-1.4330487934580681E-2</v>
      </c>
      <c r="I841" s="9">
        <f t="shared" si="89"/>
        <v>-2.4147347701077165E-2</v>
      </c>
      <c r="J841" s="9">
        <f t="shared" si="90"/>
        <v>16.856127008533104</v>
      </c>
    </row>
    <row r="842" spans="2:10" x14ac:dyDescent="0.25">
      <c r="B842" s="1">
        <v>43056</v>
      </c>
      <c r="C842" s="13">
        <v>42.537999999999997</v>
      </c>
      <c r="D842" s="6">
        <f t="shared" si="84"/>
        <v>-5.5406195207481357E-3</v>
      </c>
      <c r="E842" s="14">
        <f t="shared" si="85"/>
        <v>1.5315087880563621E-4</v>
      </c>
      <c r="F842" s="9">
        <f t="shared" si="86"/>
        <v>17.836670203924541</v>
      </c>
      <c r="G842" s="9">
        <f t="shared" si="87"/>
        <v>-2.2790423701003374E-2</v>
      </c>
      <c r="H842" s="9">
        <f t="shared" si="88"/>
        <v>-1.4813568296851078E-3</v>
      </c>
      <c r="I842" s="9">
        <f t="shared" si="89"/>
        <v>-4.9907198147119821E-3</v>
      </c>
      <c r="J842" s="9">
        <f t="shared" si="90"/>
        <v>17.807407703579141</v>
      </c>
    </row>
    <row r="843" spans="2:10" x14ac:dyDescent="0.25">
      <c r="B843" s="1">
        <v>43055</v>
      </c>
      <c r="C843" s="13">
        <v>42.774999999999999</v>
      </c>
      <c r="D843" s="6">
        <f t="shared" si="84"/>
        <v>1.1947007333806381E-2</v>
      </c>
      <c r="E843" s="14">
        <f t="shared" si="85"/>
        <v>1.5280315012343378E-4</v>
      </c>
      <c r="F843" s="9">
        <f t="shared" si="86"/>
        <v>17.838943282877889</v>
      </c>
      <c r="G843" s="9">
        <f t="shared" si="87"/>
        <v>-0.16862156664338721</v>
      </c>
      <c r="H843" s="9">
        <f t="shared" si="88"/>
        <v>-1.572176454019596E-3</v>
      </c>
      <c r="I843" s="9">
        <f t="shared" si="89"/>
        <v>-2.4289581186317497E-4</v>
      </c>
      <c r="J843" s="9">
        <f t="shared" si="90"/>
        <v>17.66850664396862</v>
      </c>
    </row>
    <row r="844" spans="2:10" x14ac:dyDescent="0.25">
      <c r="B844" s="1">
        <v>43054</v>
      </c>
      <c r="C844" s="13">
        <v>42.27</v>
      </c>
      <c r="D844" s="6">
        <f t="shared" si="84"/>
        <v>-1.3190148243258926E-2</v>
      </c>
      <c r="E844" s="14">
        <f t="shared" si="85"/>
        <v>1.5184451456661099E-4</v>
      </c>
      <c r="F844" s="9">
        <f t="shared" si="86"/>
        <v>17.845236708575861</v>
      </c>
      <c r="G844" s="9">
        <f t="shared" si="87"/>
        <v>-0.35171008253805741</v>
      </c>
      <c r="H844" s="9">
        <f t="shared" si="88"/>
        <v>-7.9224321727640529E-4</v>
      </c>
      <c r="I844" s="9">
        <f t="shared" si="89"/>
        <v>-1.0171353629010395E-3</v>
      </c>
      <c r="J844" s="9">
        <f t="shared" si="90"/>
        <v>17.491717247457625</v>
      </c>
    </row>
    <row r="845" spans="2:10" x14ac:dyDescent="0.25">
      <c r="B845" s="1">
        <v>43053</v>
      </c>
      <c r="C845" s="13">
        <v>42.835000000000001</v>
      </c>
      <c r="D845" s="6">
        <f t="shared" si="84"/>
        <v>-1.5128871312625081E-2</v>
      </c>
      <c r="E845" s="14">
        <f t="shared" si="85"/>
        <v>1.5023863866936991E-4</v>
      </c>
      <c r="F845" s="9">
        <f t="shared" si="86"/>
        <v>17.855868821009828</v>
      </c>
      <c r="G845" s="9">
        <f t="shared" si="87"/>
        <v>-0.73286052829560122</v>
      </c>
      <c r="H845" s="9">
        <f t="shared" si="88"/>
        <v>5.8698249172264442E-3</v>
      </c>
      <c r="I845" s="9">
        <f t="shared" si="89"/>
        <v>-6.8240494941887095E-3</v>
      </c>
      <c r="J845" s="9">
        <f t="shared" si="90"/>
        <v>17.122054068137267</v>
      </c>
    </row>
    <row r="846" spans="2:10" x14ac:dyDescent="0.25">
      <c r="B846" s="1">
        <v>43052</v>
      </c>
      <c r="C846" s="13">
        <v>43.493000000000002</v>
      </c>
      <c r="D846" s="6">
        <f t="shared" si="84"/>
        <v>-4.007511221031379E-3</v>
      </c>
      <c r="E846" s="14">
        <f t="shared" si="85"/>
        <v>1.4819498135202439E-4</v>
      </c>
      <c r="F846" s="9">
        <f t="shared" si="86"/>
        <v>17.869564927121701</v>
      </c>
      <c r="G846" s="9">
        <f t="shared" si="87"/>
        <v>-0.95010562538564991</v>
      </c>
      <c r="H846" s="9">
        <f t="shared" si="88"/>
        <v>1.0389483193589297E-2</v>
      </c>
      <c r="I846" s="9">
        <f t="shared" si="89"/>
        <v>-1.3799946283947057E-2</v>
      </c>
      <c r="J846" s="9">
        <f t="shared" si="90"/>
        <v>16.916048838645693</v>
      </c>
    </row>
    <row r="847" spans="2:10" x14ac:dyDescent="0.25">
      <c r="B847" s="1">
        <v>43049</v>
      </c>
      <c r="C847" s="13">
        <v>43.667999999999999</v>
      </c>
      <c r="D847" s="6">
        <f t="shared" si="84"/>
        <v>-6.8683193086195304E-3</v>
      </c>
      <c r="E847" s="14">
        <f t="shared" si="85"/>
        <v>1.4802331321402522E-4</v>
      </c>
      <c r="F847" s="9">
        <f t="shared" si="86"/>
        <v>17.8707239923136</v>
      </c>
      <c r="G847" s="9">
        <f t="shared" si="87"/>
        <v>-0.10756956596306194</v>
      </c>
      <c r="H847" s="9">
        <f t="shared" si="88"/>
        <v>-1.7713984437163299E-3</v>
      </c>
      <c r="I847" s="9">
        <f t="shared" si="89"/>
        <v>-9.2223269749461538E-4</v>
      </c>
      <c r="J847" s="9">
        <f t="shared" si="90"/>
        <v>17.76046079520933</v>
      </c>
    </row>
    <row r="848" spans="2:10" x14ac:dyDescent="0.25">
      <c r="B848" s="1">
        <v>43048</v>
      </c>
      <c r="C848" s="13">
        <v>43.97</v>
      </c>
      <c r="D848" s="6">
        <f t="shared" ref="D848:D911" si="91">C848/C849-1</f>
        <v>-2.0426690876078624E-3</v>
      </c>
      <c r="E848" s="14">
        <f t="shared" ref="E848:E911" si="92">_xlfn.VAR.S(D848:D968)</f>
        <v>1.4768677251539631E-4</v>
      </c>
      <c r="F848" s="9">
        <f t="shared" si="86"/>
        <v>17.873000146291218</v>
      </c>
      <c r="G848" s="9">
        <f t="shared" si="87"/>
        <v>-0.24507936648168446</v>
      </c>
      <c r="H848" s="9">
        <f t="shared" si="88"/>
        <v>-1.9755282660374844E-3</v>
      </c>
      <c r="I848" s="9">
        <f t="shared" si="89"/>
        <v>-3.030085959723527E-4</v>
      </c>
      <c r="J848" s="9">
        <f t="shared" si="90"/>
        <v>17.625642242947528</v>
      </c>
    </row>
    <row r="849" spans="2:10" x14ac:dyDescent="0.25">
      <c r="B849" s="1">
        <v>43047</v>
      </c>
      <c r="C849" s="13">
        <v>44.06</v>
      </c>
      <c r="D849" s="6">
        <f t="shared" si="91"/>
        <v>8.1687755989290345E-3</v>
      </c>
      <c r="E849" s="14">
        <f t="shared" si="92"/>
        <v>1.4763573641289775E-4</v>
      </c>
      <c r="F849" s="9">
        <f t="shared" ref="F849:F912" si="93">LN(2*PI())-LN($C$6)-LN(E849)-0.5*LN(1-POWER($C$7,2))</f>
        <v>17.873345775909439</v>
      </c>
      <c r="G849" s="9">
        <f t="shared" ref="G849:G912" si="94">-POWER(D848-1-$C$3,2)/(2*E849*(1-POWER($C$7,2)))</f>
        <v>-4.5750741906322188E-2</v>
      </c>
      <c r="H849" s="9">
        <f t="shared" ref="H849:H912" si="95">$C$7*(D848-1-$C$3)*(E848-E849-$C$5*$C$4)/(E849*$C$6*(1-POWER($C$7,2)))</f>
        <v>-1.378485908793965E-3</v>
      </c>
      <c r="I849" s="9">
        <f t="shared" ref="I849:I912" si="96">-POWER(E848-E849-$C$5*$C$4+$C$4*E849,2)/(2*POWER($C$6,2)*E849*(1-POWER($C$7,2)))</f>
        <v>-1.6001020351525304E-3</v>
      </c>
      <c r="J849" s="9">
        <f t="shared" ref="J849:J912" si="97">SUM(F849:I849)</f>
        <v>17.824616446059171</v>
      </c>
    </row>
    <row r="850" spans="2:10" x14ac:dyDescent="0.25">
      <c r="B850" s="1">
        <v>43046</v>
      </c>
      <c r="C850" s="13">
        <v>43.703000000000003</v>
      </c>
      <c r="D850" s="6">
        <f t="shared" si="91"/>
        <v>3.2137364277025071E-3</v>
      </c>
      <c r="E850" s="14">
        <f t="shared" si="92"/>
        <v>1.4885949572616668E-4</v>
      </c>
      <c r="F850" s="9">
        <f t="shared" si="93"/>
        <v>17.86509089603393</v>
      </c>
      <c r="G850" s="9">
        <f t="shared" si="94"/>
        <v>-0.14415234095717078</v>
      </c>
      <c r="H850" s="9">
        <f t="shared" si="95"/>
        <v>6.5790079622825978E-3</v>
      </c>
      <c r="I850" s="9">
        <f t="shared" si="96"/>
        <v>-1.9628731835830575E-2</v>
      </c>
      <c r="J850" s="9">
        <f t="shared" si="97"/>
        <v>17.707888831203213</v>
      </c>
    </row>
    <row r="851" spans="2:10" x14ac:dyDescent="0.25">
      <c r="B851" s="1">
        <v>43045</v>
      </c>
      <c r="C851" s="13">
        <v>43.563000000000002</v>
      </c>
      <c r="D851" s="6">
        <f t="shared" si="91"/>
        <v>1.0156521739130397E-2</v>
      </c>
      <c r="E851" s="14">
        <f t="shared" si="92"/>
        <v>1.5888717381171098E-4</v>
      </c>
      <c r="F851" s="9">
        <f t="shared" si="93"/>
        <v>17.799899423721413</v>
      </c>
      <c r="G851" s="9">
        <f t="shared" si="94"/>
        <v>-7.942972457026385E-3</v>
      </c>
      <c r="H851" s="9">
        <f t="shared" si="95"/>
        <v>7.9944712294512024E-3</v>
      </c>
      <c r="I851" s="9">
        <f t="shared" si="96"/>
        <v>-0.64908036612299902</v>
      </c>
      <c r="J851" s="9">
        <f t="shared" si="97"/>
        <v>17.15087055637084</v>
      </c>
    </row>
    <row r="852" spans="2:10" x14ac:dyDescent="0.25">
      <c r="B852" s="1">
        <v>43042</v>
      </c>
      <c r="C852" s="13">
        <v>43.125</v>
      </c>
      <c r="D852" s="6">
        <f t="shared" si="91"/>
        <v>2.6101646521366817E-2</v>
      </c>
      <c r="E852" s="14">
        <f t="shared" si="92"/>
        <v>1.5823399482578433E-4</v>
      </c>
      <c r="F852" s="9">
        <f t="shared" si="93"/>
        <v>17.80401885802107</v>
      </c>
      <c r="G852" s="9">
        <f t="shared" si="94"/>
        <v>-0.23055116420344321</v>
      </c>
      <c r="H852" s="9">
        <f t="shared" si="95"/>
        <v>5.891029591020005E-4</v>
      </c>
      <c r="I852" s="9">
        <f t="shared" si="96"/>
        <v>-7.5868695127784719E-5</v>
      </c>
      <c r="J852" s="9">
        <f t="shared" si="97"/>
        <v>17.5739809280816</v>
      </c>
    </row>
    <row r="853" spans="2:10" x14ac:dyDescent="0.25">
      <c r="B853" s="1">
        <v>43041</v>
      </c>
      <c r="C853" s="13">
        <v>42.027999999999999</v>
      </c>
      <c r="D853" s="6">
        <f t="shared" si="91"/>
        <v>7.3101167221916175E-3</v>
      </c>
      <c r="E853" s="14">
        <f t="shared" si="92"/>
        <v>1.5299686229056854E-4</v>
      </c>
      <c r="F853" s="9">
        <f t="shared" si="93"/>
        <v>17.837676362111495</v>
      </c>
      <c r="G853" s="9">
        <f t="shared" si="94"/>
        <v>-1.9633206081864745</v>
      </c>
      <c r="H853" s="9">
        <f t="shared" si="95"/>
        <v>-5.2472075513043809E-2</v>
      </c>
      <c r="I853" s="9">
        <f t="shared" si="96"/>
        <v>-0.13277453311104923</v>
      </c>
      <c r="J853" s="9">
        <f t="shared" si="97"/>
        <v>15.689109145300925</v>
      </c>
    </row>
    <row r="854" spans="2:10" x14ac:dyDescent="0.25">
      <c r="B854" s="1">
        <v>43040</v>
      </c>
      <c r="C854" s="13">
        <v>41.722999999999999</v>
      </c>
      <c r="D854" s="6">
        <f t="shared" si="91"/>
        <v>-1.2707051585423512E-2</v>
      </c>
      <c r="E854" s="14">
        <f t="shared" si="92"/>
        <v>1.5409450901970534E-4</v>
      </c>
      <c r="F854" s="9">
        <f t="shared" si="93"/>
        <v>17.830527666275806</v>
      </c>
      <c r="G854" s="9">
        <f t="shared" si="94"/>
        <v>-0.10509594227198729</v>
      </c>
      <c r="H854" s="9">
        <f t="shared" si="95"/>
        <v>5.1773528089330027E-3</v>
      </c>
      <c r="I854" s="9">
        <f t="shared" si="96"/>
        <v>-1.6196860191320529E-2</v>
      </c>
      <c r="J854" s="9">
        <f t="shared" si="97"/>
        <v>17.71441221662143</v>
      </c>
    </row>
    <row r="855" spans="2:10" x14ac:dyDescent="0.25">
      <c r="B855" s="1">
        <v>43039</v>
      </c>
      <c r="C855" s="13">
        <v>42.26</v>
      </c>
      <c r="D855" s="6">
        <f t="shared" si="91"/>
        <v>1.3915547024951902E-2</v>
      </c>
      <c r="E855" s="14">
        <f t="shared" si="92"/>
        <v>1.5268494989365027E-4</v>
      </c>
      <c r="F855" s="9">
        <f t="shared" si="93"/>
        <v>17.839717127984624</v>
      </c>
      <c r="G855" s="9">
        <f t="shared" si="94"/>
        <v>-0.67486375417844713</v>
      </c>
      <c r="H855" s="9">
        <f t="shared" si="95"/>
        <v>4.2246608869017993E-3</v>
      </c>
      <c r="I855" s="9">
        <f t="shared" si="96"/>
        <v>-4.4873601856490692E-3</v>
      </c>
      <c r="J855" s="9">
        <f t="shared" si="97"/>
        <v>17.16459067450743</v>
      </c>
    </row>
    <row r="856" spans="2:10" x14ac:dyDescent="0.25">
      <c r="B856" s="1">
        <v>43038</v>
      </c>
      <c r="C856" s="13">
        <v>41.68</v>
      </c>
      <c r="D856" s="6">
        <f t="shared" si="91"/>
        <v>2.2495890881436553E-2</v>
      </c>
      <c r="E856" s="14">
        <f t="shared" si="92"/>
        <v>1.5151122215619389E-4</v>
      </c>
      <c r="F856" s="9">
        <f t="shared" si="93"/>
        <v>17.847434079544509</v>
      </c>
      <c r="G856" s="9">
        <f t="shared" si="94"/>
        <v>-0.49978692149778586</v>
      </c>
      <c r="H856" s="9">
        <f t="shared" si="95"/>
        <v>-2.2353629572832092E-3</v>
      </c>
      <c r="I856" s="9">
        <f t="shared" si="96"/>
        <v>-2.3697533065933554E-3</v>
      </c>
      <c r="J856" s="9">
        <f t="shared" si="97"/>
        <v>17.343042041782848</v>
      </c>
    </row>
    <row r="857" spans="2:10" x14ac:dyDescent="0.25">
      <c r="B857" s="1">
        <v>43035</v>
      </c>
      <c r="C857" s="13">
        <v>40.762999999999998</v>
      </c>
      <c r="D857" s="6">
        <f t="shared" si="91"/>
        <v>3.5829542855690732E-2</v>
      </c>
      <c r="E857" s="14">
        <f t="shared" si="92"/>
        <v>1.4781424071872966E-4</v>
      </c>
      <c r="F857" s="9">
        <f t="shared" si="93"/>
        <v>17.872137420239319</v>
      </c>
      <c r="G857" s="9">
        <f t="shared" si="94"/>
        <v>-1.4774786498945836</v>
      </c>
      <c r="H857" s="9">
        <f t="shared" si="95"/>
        <v>-3.0232109164072169E-2</v>
      </c>
      <c r="I857" s="9">
        <f t="shared" si="96"/>
        <v>-6.1642704453739129E-2</v>
      </c>
      <c r="J857" s="9">
        <f t="shared" si="97"/>
        <v>16.302783956726927</v>
      </c>
    </row>
    <row r="858" spans="2:10" x14ac:dyDescent="0.25">
      <c r="B858" s="1">
        <v>43034</v>
      </c>
      <c r="C858" s="13">
        <v>39.353000000000002</v>
      </c>
      <c r="D858" s="6">
        <f t="shared" si="91"/>
        <v>6.3933713525816671E-3</v>
      </c>
      <c r="E858" s="14">
        <f t="shared" si="92"/>
        <v>1.4336344265319619E-4</v>
      </c>
      <c r="F858" s="9">
        <f t="shared" si="93"/>
        <v>17.902710812407634</v>
      </c>
      <c r="G858" s="9">
        <f t="shared" si="94"/>
        <v>-4.0918790125096018</v>
      </c>
      <c r="H858" s="9">
        <f t="shared" si="95"/>
        <v>-6.4384411727088739E-2</v>
      </c>
      <c r="I858" s="9">
        <f t="shared" si="96"/>
        <v>-9.7359277193843824E-2</v>
      </c>
      <c r="J858" s="9">
        <f t="shared" si="97"/>
        <v>13.6490881109771</v>
      </c>
    </row>
    <row r="859" spans="2:10" x14ac:dyDescent="0.25">
      <c r="B859" s="1">
        <v>43033</v>
      </c>
      <c r="C859" s="13">
        <v>39.103000000000002</v>
      </c>
      <c r="D859" s="6">
        <f t="shared" si="91"/>
        <v>-4.3793761935072562E-3</v>
      </c>
      <c r="E859" s="14">
        <f t="shared" si="92"/>
        <v>1.4521421156260655E-4</v>
      </c>
      <c r="F859" s="9">
        <f t="shared" si="93"/>
        <v>17.889883802012157</v>
      </c>
      <c r="G859" s="9">
        <f t="shared" si="94"/>
        <v>-7.8443386762823086E-2</v>
      </c>
      <c r="H859" s="9">
        <f t="shared" si="95"/>
        <v>6.4353847094068091E-3</v>
      </c>
      <c r="I859" s="9">
        <f t="shared" si="96"/>
        <v>-3.6995356029960194E-2</v>
      </c>
      <c r="J859" s="9">
        <f t="shared" si="97"/>
        <v>17.78088044392878</v>
      </c>
    </row>
    <row r="860" spans="2:10" x14ac:dyDescent="0.25">
      <c r="B860" s="1">
        <v>43032</v>
      </c>
      <c r="C860" s="13">
        <v>39.274999999999999</v>
      </c>
      <c r="D860" s="6">
        <f t="shared" si="91"/>
        <v>5.9421663294316751E-3</v>
      </c>
      <c r="E860" s="14">
        <f t="shared" si="92"/>
        <v>1.4515372625624831E-4</v>
      </c>
      <c r="F860" s="9">
        <f t="shared" si="93"/>
        <v>17.890300413485775</v>
      </c>
      <c r="G860" s="9">
        <f t="shared" si="94"/>
        <v>-0.12465238206010808</v>
      </c>
      <c r="H860" s="9">
        <f t="shared" si="95"/>
        <v>-2.2658356740955293E-3</v>
      </c>
      <c r="I860" s="9">
        <f t="shared" si="96"/>
        <v>-1.5932549421508332E-3</v>
      </c>
      <c r="J860" s="9">
        <f t="shared" si="97"/>
        <v>17.761788940809421</v>
      </c>
    </row>
    <row r="861" spans="2:10" x14ac:dyDescent="0.25">
      <c r="B861" s="1">
        <v>43031</v>
      </c>
      <c r="C861" s="13">
        <v>39.042999999999999</v>
      </c>
      <c r="D861" s="6">
        <f t="shared" si="91"/>
        <v>-5.119934464840048E-4</v>
      </c>
      <c r="E861" s="14">
        <f t="shared" si="92"/>
        <v>1.4502490286102707E-4</v>
      </c>
      <c r="F861" s="9">
        <f t="shared" si="93"/>
        <v>17.891188303845425</v>
      </c>
      <c r="G861" s="9">
        <f t="shared" si="94"/>
        <v>-6.4377714778668813E-2</v>
      </c>
      <c r="H861" s="9">
        <f t="shared" si="95"/>
        <v>1.4787251779933366E-3</v>
      </c>
      <c r="I861" s="9">
        <f t="shared" si="96"/>
        <v>-1.1899810016145632E-3</v>
      </c>
      <c r="J861" s="9">
        <f t="shared" si="97"/>
        <v>17.827099333243133</v>
      </c>
    </row>
    <row r="862" spans="2:10" x14ac:dyDescent="0.25">
      <c r="B862" s="1">
        <v>43028</v>
      </c>
      <c r="C862" s="13">
        <v>39.063000000000002</v>
      </c>
      <c r="D862" s="6">
        <f t="shared" si="91"/>
        <v>1.7438133093987673E-3</v>
      </c>
      <c r="E862" s="14">
        <f t="shared" si="92"/>
        <v>1.4529412644492627E-4</v>
      </c>
      <c r="F862" s="9">
        <f t="shared" si="93"/>
        <v>17.889333629270933</v>
      </c>
      <c r="G862" s="9">
        <f t="shared" si="94"/>
        <v>-1.5796677492777793E-2</v>
      </c>
      <c r="H862" s="9">
        <f t="shared" si="95"/>
        <v>-1.1651846658442321E-3</v>
      </c>
      <c r="I862" s="9">
        <f t="shared" si="96"/>
        <v>-4.3782407349933815E-3</v>
      </c>
      <c r="J862" s="9">
        <f t="shared" si="97"/>
        <v>17.867993526377319</v>
      </c>
    </row>
    <row r="863" spans="2:10" x14ac:dyDescent="0.25">
      <c r="B863" s="1">
        <v>43027</v>
      </c>
      <c r="C863" s="13">
        <v>38.994999999999997</v>
      </c>
      <c r="D863" s="6">
        <f t="shared" si="91"/>
        <v>-2.3660490736104212E-2</v>
      </c>
      <c r="E863" s="14">
        <f t="shared" si="92"/>
        <v>1.4852044754033982E-4</v>
      </c>
      <c r="F863" s="9">
        <f t="shared" si="93"/>
        <v>17.867371132750698</v>
      </c>
      <c r="G863" s="9">
        <f t="shared" si="94"/>
        <v>-4.5798808105402511E-5</v>
      </c>
      <c r="H863" s="9">
        <f t="shared" si="95"/>
        <v>2.3351583680519252E-4</v>
      </c>
      <c r="I863" s="9">
        <f t="shared" si="96"/>
        <v>-8.8949484306456397E-2</v>
      </c>
      <c r="J863" s="9">
        <f t="shared" si="97"/>
        <v>17.778609365472938</v>
      </c>
    </row>
    <row r="864" spans="2:10" x14ac:dyDescent="0.25">
      <c r="B864" s="1">
        <v>43026</v>
      </c>
      <c r="C864" s="13">
        <v>39.94</v>
      </c>
      <c r="D864" s="6">
        <f t="shared" si="91"/>
        <v>-4.4369111122191107E-3</v>
      </c>
      <c r="E864" s="14">
        <f t="shared" si="92"/>
        <v>1.4354249835918115E-4</v>
      </c>
      <c r="F864" s="9">
        <f t="shared" si="93"/>
        <v>17.901462628221552</v>
      </c>
      <c r="G864" s="9">
        <f t="shared" si="94"/>
        <v>-2.2340671649090678</v>
      </c>
      <c r="H864" s="9">
        <f t="shared" si="95"/>
        <v>5.4410977698867873E-2</v>
      </c>
      <c r="I864" s="9">
        <f t="shared" si="96"/>
        <v>-0.12541762237161155</v>
      </c>
      <c r="J864" s="9">
        <f t="shared" si="97"/>
        <v>15.596388818639742</v>
      </c>
    </row>
    <row r="865" spans="2:10" x14ac:dyDescent="0.25">
      <c r="B865" s="1">
        <v>43025</v>
      </c>
      <c r="C865" s="13">
        <v>40.118000000000002</v>
      </c>
      <c r="D865" s="6">
        <f t="shared" si="91"/>
        <v>3.702777082812192E-3</v>
      </c>
      <c r="E865" s="14">
        <f t="shared" si="92"/>
        <v>1.4329974888739827E-4</v>
      </c>
      <c r="F865" s="9">
        <f t="shared" si="93"/>
        <v>17.90315519291218</v>
      </c>
      <c r="G865" s="9">
        <f t="shared" si="94"/>
        <v>-0.12869552837274131</v>
      </c>
      <c r="H865" s="9">
        <f t="shared" si="95"/>
        <v>-1.7468018982087321E-3</v>
      </c>
      <c r="I865" s="9">
        <f t="shared" si="96"/>
        <v>-6.6486675379429756E-4</v>
      </c>
      <c r="J865" s="9">
        <f t="shared" si="97"/>
        <v>17.772047995887437</v>
      </c>
    </row>
    <row r="866" spans="2:10" x14ac:dyDescent="0.25">
      <c r="B866" s="1">
        <v>43024</v>
      </c>
      <c r="C866" s="13">
        <v>39.97</v>
      </c>
      <c r="D866" s="6">
        <f t="shared" si="91"/>
        <v>1.8395841826335024E-2</v>
      </c>
      <c r="E866" s="14">
        <f t="shared" si="92"/>
        <v>1.4362629167887902E-4</v>
      </c>
      <c r="F866" s="9">
        <f t="shared" si="93"/>
        <v>17.900879045847823</v>
      </c>
      <c r="G866" s="9">
        <f t="shared" si="94"/>
        <v>-1.5039547975426591E-2</v>
      </c>
      <c r="H866" s="9">
        <f t="shared" si="95"/>
        <v>1.204745116448033E-3</v>
      </c>
      <c r="I866" s="9">
        <f t="shared" si="96"/>
        <v>-5.0936295343213403E-3</v>
      </c>
      <c r="J866" s="9">
        <f t="shared" si="97"/>
        <v>17.881950613454521</v>
      </c>
    </row>
    <row r="867" spans="2:10" x14ac:dyDescent="0.25">
      <c r="B867" s="1">
        <v>43021</v>
      </c>
      <c r="C867" s="13">
        <v>39.247999999999998</v>
      </c>
      <c r="D867" s="6">
        <f t="shared" si="91"/>
        <v>6.3589743589742564E-3</v>
      </c>
      <c r="E867" s="14">
        <f t="shared" si="92"/>
        <v>1.4130131110233311E-4</v>
      </c>
      <c r="F867" s="9">
        <f t="shared" si="93"/>
        <v>17.917199206885567</v>
      </c>
      <c r="G867" s="9">
        <f t="shared" si="94"/>
        <v>-0.9979186735178156</v>
      </c>
      <c r="H867" s="9">
        <f t="shared" si="95"/>
        <v>-1.3372920266463466E-2</v>
      </c>
      <c r="I867" s="9">
        <f t="shared" si="96"/>
        <v>-2.0200773209651739E-2</v>
      </c>
      <c r="J867" s="9">
        <f t="shared" si="97"/>
        <v>16.885706839891636</v>
      </c>
    </row>
    <row r="868" spans="2:10" x14ac:dyDescent="0.25">
      <c r="B868" s="1">
        <v>43020</v>
      </c>
      <c r="C868" s="13">
        <v>39</v>
      </c>
      <c r="D868" s="6">
        <f t="shared" si="91"/>
        <v>-3.5259849762379059E-3</v>
      </c>
      <c r="E868" s="14">
        <f t="shared" si="92"/>
        <v>1.4169038479894442E-4</v>
      </c>
      <c r="F868" s="9">
        <f t="shared" si="93"/>
        <v>17.914449487035874</v>
      </c>
      <c r="G868" s="9">
        <f t="shared" si="94"/>
        <v>-7.9238022641340042E-2</v>
      </c>
      <c r="H868" s="9">
        <f t="shared" si="95"/>
        <v>2.9385462172620653E-3</v>
      </c>
      <c r="I868" s="9">
        <f t="shared" si="96"/>
        <v>-5.9541800630174462E-3</v>
      </c>
      <c r="J868" s="9">
        <f t="shared" si="97"/>
        <v>17.832195830548777</v>
      </c>
    </row>
    <row r="869" spans="2:10" x14ac:dyDescent="0.25">
      <c r="B869" s="1">
        <v>43019</v>
      </c>
      <c r="C869" s="13">
        <v>39.137999999999998</v>
      </c>
      <c r="D869" s="6">
        <f t="shared" si="91"/>
        <v>4.1821680564464447E-3</v>
      </c>
      <c r="E869" s="14">
        <f t="shared" si="92"/>
        <v>1.4156545936740462E-4</v>
      </c>
      <c r="F869" s="9">
        <f t="shared" si="93"/>
        <v>17.915331554906405</v>
      </c>
      <c r="G869" s="9">
        <f t="shared" si="94"/>
        <v>-9.4074629188130213E-2</v>
      </c>
      <c r="H869" s="9">
        <f t="shared" si="95"/>
        <v>-1.8197421443871991E-3</v>
      </c>
      <c r="I869" s="9">
        <f t="shared" si="96"/>
        <v>-1.2739406367664608E-3</v>
      </c>
      <c r="J869" s="9">
        <f t="shared" si="97"/>
        <v>17.818163242937118</v>
      </c>
    </row>
    <row r="870" spans="2:10" x14ac:dyDescent="0.25">
      <c r="B870" s="1">
        <v>43018</v>
      </c>
      <c r="C870" s="13">
        <v>38.975000000000001</v>
      </c>
      <c r="D870" s="6">
        <f t="shared" si="91"/>
        <v>3.8501026694048868E-4</v>
      </c>
      <c r="E870" s="14">
        <f t="shared" si="92"/>
        <v>1.4260107028811621E-4</v>
      </c>
      <c r="F870" s="9">
        <f t="shared" si="93"/>
        <v>17.908042761910071</v>
      </c>
      <c r="G870" s="9">
        <f t="shared" si="94"/>
        <v>-2.2953601977887685E-2</v>
      </c>
      <c r="H870" s="9">
        <f t="shared" si="95"/>
        <v>2.4330177289516863E-3</v>
      </c>
      <c r="I870" s="9">
        <f t="shared" si="96"/>
        <v>-1.6598123696692686E-2</v>
      </c>
      <c r="J870" s="9">
        <f t="shared" si="97"/>
        <v>17.870924053964441</v>
      </c>
    </row>
    <row r="871" spans="2:10" x14ac:dyDescent="0.25">
      <c r="B871" s="1">
        <v>43017</v>
      </c>
      <c r="C871" s="13">
        <v>38.96</v>
      </c>
      <c r="D871" s="6">
        <f t="shared" si="91"/>
        <v>3.4771410173857209E-3</v>
      </c>
      <c r="E871" s="14">
        <f t="shared" si="92"/>
        <v>1.4277409426388977E-4</v>
      </c>
      <c r="F871" s="9">
        <f t="shared" si="93"/>
        <v>17.906830154658515</v>
      </c>
      <c r="G871" s="9">
        <f t="shared" si="94"/>
        <v>-5.421054514889956E-3</v>
      </c>
      <c r="H871" s="9">
        <f t="shared" si="95"/>
        <v>-6.2668253177139009E-4</v>
      </c>
      <c r="I871" s="9">
        <f t="shared" si="96"/>
        <v>-3.5220481343611128E-3</v>
      </c>
      <c r="J871" s="9">
        <f t="shared" si="97"/>
        <v>17.897260369477493</v>
      </c>
    </row>
    <row r="872" spans="2:10" x14ac:dyDescent="0.25">
      <c r="B872" s="1">
        <v>43014</v>
      </c>
      <c r="C872" s="13">
        <v>38.825000000000003</v>
      </c>
      <c r="D872" s="6">
        <f t="shared" si="91"/>
        <v>-5.9205107084014941E-4</v>
      </c>
      <c r="E872" s="14">
        <f t="shared" si="92"/>
        <v>1.4295167949236412E-4</v>
      </c>
      <c r="F872" s="9">
        <f t="shared" si="93"/>
        <v>17.905587107879732</v>
      </c>
      <c r="G872" s="9">
        <f t="shared" si="94"/>
        <v>-1.2003555441740988E-2</v>
      </c>
      <c r="H872" s="9">
        <f t="shared" si="95"/>
        <v>9.3631023492973028E-4</v>
      </c>
      <c r="I872" s="9">
        <f t="shared" si="96"/>
        <v>-3.558483689176948E-3</v>
      </c>
      <c r="J872" s="9">
        <f t="shared" si="97"/>
        <v>17.890961378983746</v>
      </c>
    </row>
    <row r="873" spans="2:10" x14ac:dyDescent="0.25">
      <c r="B873" s="1">
        <v>43013</v>
      </c>
      <c r="C873" s="13">
        <v>38.847999999999999</v>
      </c>
      <c r="D873" s="6">
        <f t="shared" si="91"/>
        <v>1.2457649205108279E-2</v>
      </c>
      <c r="E873" s="14">
        <f t="shared" si="92"/>
        <v>1.4311724657239627E-4</v>
      </c>
      <c r="F873" s="9">
        <f t="shared" si="93"/>
        <v>17.904429574967672</v>
      </c>
      <c r="G873" s="9">
        <f t="shared" si="94"/>
        <v>-1.7259667119577753E-2</v>
      </c>
      <c r="H873" s="9">
        <f t="shared" si="95"/>
        <v>-1.1083142782500896E-3</v>
      </c>
      <c r="I873" s="9">
        <f t="shared" si="96"/>
        <v>-3.4375864221775055E-3</v>
      </c>
      <c r="J873" s="9">
        <f t="shared" si="97"/>
        <v>17.882624007147665</v>
      </c>
    </row>
    <row r="874" spans="2:10" x14ac:dyDescent="0.25">
      <c r="B874" s="1">
        <v>43012</v>
      </c>
      <c r="C874" s="13">
        <v>38.369999999999997</v>
      </c>
      <c r="D874" s="6">
        <f t="shared" si="91"/>
        <v>-6.4733298808907769E-3</v>
      </c>
      <c r="E874" s="14">
        <f t="shared" si="92"/>
        <v>1.4229176973733066E-4</v>
      </c>
      <c r="F874" s="9">
        <f t="shared" si="93"/>
        <v>17.910214109370266</v>
      </c>
      <c r="G874" s="9">
        <f t="shared" si="94"/>
        <v>-0.41338479336976486</v>
      </c>
      <c r="H874" s="9">
        <f t="shared" si="95"/>
        <v>-1.3784517070902834E-4</v>
      </c>
      <c r="I874" s="9">
        <f t="shared" si="96"/>
        <v>-4.3860522469154332E-4</v>
      </c>
      <c r="J874" s="9">
        <f t="shared" si="97"/>
        <v>17.496252865605101</v>
      </c>
    </row>
    <row r="875" spans="2:10" x14ac:dyDescent="0.25">
      <c r="B875" s="1">
        <v>43011</v>
      </c>
      <c r="C875" s="13">
        <v>38.619999999999997</v>
      </c>
      <c r="D875" s="6">
        <f t="shared" si="91"/>
        <v>4.3429641380385853E-3</v>
      </c>
      <c r="E875" s="14">
        <f t="shared" si="92"/>
        <v>1.4185770675831215E-4</v>
      </c>
      <c r="F875" s="9">
        <f t="shared" si="93"/>
        <v>17.913269285272779</v>
      </c>
      <c r="G875" s="9">
        <f t="shared" si="94"/>
        <v>-0.23197605037988706</v>
      </c>
      <c r="H875" s="9">
        <f t="shared" si="95"/>
        <v>-1.5493006687497613E-3</v>
      </c>
      <c r="I875" s="9">
        <f t="shared" si="96"/>
        <v>-1.1383942078644568E-4</v>
      </c>
      <c r="J875" s="9">
        <f t="shared" si="97"/>
        <v>17.679630094803354</v>
      </c>
    </row>
    <row r="876" spans="2:10" x14ac:dyDescent="0.25">
      <c r="B876" s="1">
        <v>43010</v>
      </c>
      <c r="C876" s="13">
        <v>38.453000000000003</v>
      </c>
      <c r="D876" s="6">
        <f t="shared" si="91"/>
        <v>-1.9984427718660047E-3</v>
      </c>
      <c r="E876" s="14">
        <f t="shared" si="92"/>
        <v>1.4284734605966493E-4</v>
      </c>
      <c r="F876" s="9">
        <f t="shared" si="93"/>
        <v>17.906317225395931</v>
      </c>
      <c r="G876" s="9">
        <f t="shared" si="94"/>
        <v>-2.5889138555195729E-2</v>
      </c>
      <c r="H876" s="9">
        <f t="shared" si="95"/>
        <v>2.5170671883174853E-3</v>
      </c>
      <c r="I876" s="9">
        <f t="shared" si="96"/>
        <v>-1.5623215836567885E-2</v>
      </c>
      <c r="J876" s="9">
        <f t="shared" si="97"/>
        <v>17.867321938192486</v>
      </c>
    </row>
    <row r="877" spans="2:10" x14ac:dyDescent="0.25">
      <c r="B877" s="1">
        <v>43007</v>
      </c>
      <c r="C877" s="13">
        <v>38.53</v>
      </c>
      <c r="D877" s="6">
        <f t="shared" si="91"/>
        <v>5.4801670146138459E-3</v>
      </c>
      <c r="E877" s="14">
        <f t="shared" si="92"/>
        <v>1.428163265288802E-4</v>
      </c>
      <c r="F877" s="9">
        <f t="shared" si="93"/>
        <v>17.906534400583983</v>
      </c>
      <c r="G877" s="9">
        <f t="shared" si="94"/>
        <v>-4.6161624711000597E-2</v>
      </c>
      <c r="H877" s="9">
        <f t="shared" si="95"/>
        <v>-1.4454071948153788E-3</v>
      </c>
      <c r="I877" s="9">
        <f t="shared" si="96"/>
        <v>-1.8422805412407638E-3</v>
      </c>
      <c r="J877" s="9">
        <f t="shared" si="97"/>
        <v>17.857085088136927</v>
      </c>
    </row>
    <row r="878" spans="2:10" x14ac:dyDescent="0.25">
      <c r="B878" s="1">
        <v>43006</v>
      </c>
      <c r="C878" s="13">
        <v>38.32</v>
      </c>
      <c r="D878" s="6">
        <f t="shared" si="91"/>
        <v>-6.1725193215416141E-3</v>
      </c>
      <c r="E878" s="14">
        <f t="shared" si="92"/>
        <v>1.4268942191611805E-4</v>
      </c>
      <c r="F878" s="9">
        <f t="shared" si="93"/>
        <v>17.907423381781811</v>
      </c>
      <c r="G878" s="9">
        <f t="shared" si="94"/>
        <v>-5.2169722784181749E-2</v>
      </c>
      <c r="H878" s="9">
        <f t="shared" si="95"/>
        <v>1.3458366411059916E-3</v>
      </c>
      <c r="I878" s="9">
        <f t="shared" si="96"/>
        <v>-1.2420388836857333E-3</v>
      </c>
      <c r="J878" s="9">
        <f t="shared" si="97"/>
        <v>17.855357456755051</v>
      </c>
    </row>
    <row r="879" spans="2:10" x14ac:dyDescent="0.25">
      <c r="B879" s="1">
        <v>43005</v>
      </c>
      <c r="C879" s="13">
        <v>38.558</v>
      </c>
      <c r="D879" s="6">
        <f t="shared" si="91"/>
        <v>7.1307300509337868E-3</v>
      </c>
      <c r="E879" s="14">
        <f t="shared" si="92"/>
        <v>1.4238592865262962E-4</v>
      </c>
      <c r="F879" s="9">
        <f t="shared" si="93"/>
        <v>17.909552596935221</v>
      </c>
      <c r="G879" s="9">
        <f t="shared" si="94"/>
        <v>-0.21426967970536287</v>
      </c>
      <c r="H879" s="9">
        <f t="shared" si="95"/>
        <v>-2.0151147550459794E-3</v>
      </c>
      <c r="I879" s="9">
        <f t="shared" si="96"/>
        <v>-4.4506533293750246E-4</v>
      </c>
      <c r="J879" s="9">
        <f t="shared" si="97"/>
        <v>17.692822737141874</v>
      </c>
    </row>
    <row r="880" spans="2:10" x14ac:dyDescent="0.25">
      <c r="B880" s="1">
        <v>43004</v>
      </c>
      <c r="C880" s="13">
        <v>38.284999999999997</v>
      </c>
      <c r="D880" s="6">
        <f t="shared" si="91"/>
        <v>1.7190073861522936E-2</v>
      </c>
      <c r="E880" s="14">
        <f t="shared" si="92"/>
        <v>1.4230742872131997E-4</v>
      </c>
      <c r="F880" s="9">
        <f t="shared" si="93"/>
        <v>17.910104067008305</v>
      </c>
      <c r="G880" s="9">
        <f t="shared" si="94"/>
        <v>-0.10672960430203811</v>
      </c>
      <c r="H880" s="9">
        <f t="shared" si="95"/>
        <v>2.0659740302760203E-3</v>
      </c>
      <c r="I880" s="9">
        <f t="shared" si="96"/>
        <v>-1.5398382045633829E-3</v>
      </c>
      <c r="J880" s="9">
        <f t="shared" si="97"/>
        <v>17.803900598531978</v>
      </c>
    </row>
    <row r="881" spans="2:10" x14ac:dyDescent="0.25">
      <c r="B881" s="1">
        <v>43003</v>
      </c>
      <c r="C881" s="13">
        <v>37.637999999999998</v>
      </c>
      <c r="D881" s="6">
        <f t="shared" si="91"/>
        <v>-8.8220577778947984E-3</v>
      </c>
      <c r="E881" s="14">
        <f t="shared" si="92"/>
        <v>1.403889577041722E-4</v>
      </c>
      <c r="F881" s="9">
        <f t="shared" si="93"/>
        <v>17.923676935720813</v>
      </c>
      <c r="G881" s="9">
        <f t="shared" si="94"/>
        <v>-0.86515039863988219</v>
      </c>
      <c r="H881" s="9">
        <f t="shared" si="95"/>
        <v>-9.159875834133616E-3</v>
      </c>
      <c r="I881" s="9">
        <f t="shared" si="96"/>
        <v>-1.1988537599094216E-2</v>
      </c>
      <c r="J881" s="9">
        <f t="shared" si="97"/>
        <v>17.037378123647702</v>
      </c>
    </row>
    <row r="882" spans="2:10" x14ac:dyDescent="0.25">
      <c r="B882" s="1">
        <v>43000</v>
      </c>
      <c r="C882" s="13">
        <v>37.972999999999999</v>
      </c>
      <c r="D882" s="6">
        <f t="shared" si="91"/>
        <v>-9.7788672160217249E-3</v>
      </c>
      <c r="E882" s="14">
        <f t="shared" si="92"/>
        <v>1.3966636283297139E-4</v>
      </c>
      <c r="F882" s="9">
        <f t="shared" si="93"/>
        <v>17.928837319557452</v>
      </c>
      <c r="G882" s="9">
        <f t="shared" si="94"/>
        <v>-0.39205293041720934</v>
      </c>
      <c r="H882" s="9">
        <f t="shared" si="95"/>
        <v>-4.3366157856404775E-4</v>
      </c>
      <c r="I882" s="9">
        <f t="shared" si="96"/>
        <v>-1.5421291539592281E-4</v>
      </c>
      <c r="J882" s="9">
        <f t="shared" si="97"/>
        <v>17.536196514646281</v>
      </c>
    </row>
    <row r="883" spans="2:10" x14ac:dyDescent="0.25">
      <c r="B883" s="1">
        <v>42999</v>
      </c>
      <c r="C883" s="13">
        <v>38.347999999999999</v>
      </c>
      <c r="D883" s="6">
        <f t="shared" si="91"/>
        <v>-1.7171561843251859E-2</v>
      </c>
      <c r="E883" s="14">
        <f t="shared" si="92"/>
        <v>1.3882527825358822E-4</v>
      </c>
      <c r="F883" s="9">
        <f t="shared" si="93"/>
        <v>17.934877623915362</v>
      </c>
      <c r="G883" s="9">
        <f t="shared" si="94"/>
        <v>-0.46996758499659907</v>
      </c>
      <c r="H883" s="9">
        <f t="shared" si="95"/>
        <v>2.4362200292268294E-4</v>
      </c>
      <c r="I883" s="9">
        <f t="shared" si="96"/>
        <v>-4.843567155626377E-4</v>
      </c>
      <c r="J883" s="9">
        <f t="shared" si="97"/>
        <v>17.464669304206122</v>
      </c>
    </row>
    <row r="884" spans="2:10" x14ac:dyDescent="0.25">
      <c r="B884" s="1">
        <v>42998</v>
      </c>
      <c r="C884" s="13">
        <v>39.018000000000001</v>
      </c>
      <c r="D884" s="6">
        <f t="shared" si="91"/>
        <v>-1.6757805609454945E-2</v>
      </c>
      <c r="E884" s="14">
        <f t="shared" si="92"/>
        <v>1.3620755732864139E-4</v>
      </c>
      <c r="F884" s="9">
        <f t="shared" si="93"/>
        <v>17.953913896218367</v>
      </c>
      <c r="G884" s="9">
        <f t="shared" si="94"/>
        <v>-1.3011202467545286</v>
      </c>
      <c r="H884" s="9">
        <f t="shared" si="95"/>
        <v>1.8540350935020752E-2</v>
      </c>
      <c r="I884" s="9">
        <f t="shared" si="96"/>
        <v>-2.8283599746188388E-2</v>
      </c>
      <c r="J884" s="9">
        <f t="shared" si="97"/>
        <v>16.643050400652669</v>
      </c>
    </row>
    <row r="885" spans="2:10" x14ac:dyDescent="0.25">
      <c r="B885" s="1">
        <v>42997</v>
      </c>
      <c r="C885" s="13">
        <v>39.683</v>
      </c>
      <c r="D885" s="6">
        <f t="shared" si="91"/>
        <v>3.7813854996482377E-4</v>
      </c>
      <c r="E885" s="14">
        <f t="shared" si="92"/>
        <v>1.3365403719259368E-4</v>
      </c>
      <c r="F885" s="9">
        <f t="shared" si="93"/>
        <v>17.972839126057814</v>
      </c>
      <c r="G885" s="9">
        <f t="shared" si="94"/>
        <v>-1.2682525790193748</v>
      </c>
      <c r="H885" s="9">
        <f t="shared" si="95"/>
        <v>1.7825700618294655E-2</v>
      </c>
      <c r="I885" s="9">
        <f t="shared" si="96"/>
        <v>-2.6924690337802492E-2</v>
      </c>
      <c r="J885" s="9">
        <f t="shared" si="97"/>
        <v>16.695487557318931</v>
      </c>
    </row>
    <row r="886" spans="2:10" x14ac:dyDescent="0.25">
      <c r="B886" s="1">
        <v>42996</v>
      </c>
      <c r="C886" s="13">
        <v>39.667999999999999</v>
      </c>
      <c r="D886" s="6">
        <f t="shared" si="91"/>
        <v>-7.555666750062584E-3</v>
      </c>
      <c r="E886" s="14">
        <f t="shared" si="92"/>
        <v>1.3690484661289709E-4</v>
      </c>
      <c r="F886" s="9">
        <f t="shared" si="93"/>
        <v>17.94880764114334</v>
      </c>
      <c r="G886" s="9">
        <f t="shared" si="94"/>
        <v>-5.7161752073958448E-3</v>
      </c>
      <c r="H886" s="9">
        <f t="shared" si="95"/>
        <v>-2.7337480965900353E-3</v>
      </c>
      <c r="I886" s="9">
        <f t="shared" si="96"/>
        <v>-9.8739798048828306E-2</v>
      </c>
      <c r="J886" s="9">
        <f t="shared" si="97"/>
        <v>17.841617919790526</v>
      </c>
    </row>
    <row r="887" spans="2:10" x14ac:dyDescent="0.25">
      <c r="B887" s="1">
        <v>42993</v>
      </c>
      <c r="C887" s="13">
        <v>39.97</v>
      </c>
      <c r="D887" s="6">
        <f t="shared" si="91"/>
        <v>1.0108668182966962E-2</v>
      </c>
      <c r="E887" s="14">
        <f t="shared" si="92"/>
        <v>1.362851854138795E-4</v>
      </c>
      <c r="F887" s="9">
        <f t="shared" si="93"/>
        <v>17.953344133614365</v>
      </c>
      <c r="G887" s="9">
        <f t="shared" si="94"/>
        <v>-0.31029534677872056</v>
      </c>
      <c r="H887" s="9">
        <f t="shared" si="95"/>
        <v>-9.0340796906926055E-4</v>
      </c>
      <c r="I887" s="9">
        <f t="shared" si="96"/>
        <v>-1.3220872122069678E-5</v>
      </c>
      <c r="J887" s="9">
        <f t="shared" si="97"/>
        <v>17.642132157994453</v>
      </c>
    </row>
    <row r="888" spans="2:10" x14ac:dyDescent="0.25">
      <c r="B888" s="1">
        <v>42992</v>
      </c>
      <c r="C888" s="13">
        <v>39.57</v>
      </c>
      <c r="D888" s="6">
        <f t="shared" si="91"/>
        <v>-8.5936912785307129E-3</v>
      </c>
      <c r="E888" s="14">
        <f t="shared" si="92"/>
        <v>1.3568382964193029E-4</v>
      </c>
      <c r="F888" s="9">
        <f t="shared" si="93"/>
        <v>17.957766378198713</v>
      </c>
      <c r="G888" s="9">
        <f t="shared" si="94"/>
        <v>-0.26585939628946204</v>
      </c>
      <c r="H888" s="9">
        <f t="shared" si="95"/>
        <v>9.2268204701656867E-4</v>
      </c>
      <c r="I888" s="9">
        <f t="shared" si="96"/>
        <v>-4.2088463500061173E-6</v>
      </c>
      <c r="J888" s="9">
        <f t="shared" si="97"/>
        <v>17.692825455109919</v>
      </c>
    </row>
    <row r="889" spans="2:10" x14ac:dyDescent="0.25">
      <c r="B889" s="1">
        <v>42991</v>
      </c>
      <c r="C889" s="13">
        <v>39.912999999999997</v>
      </c>
      <c r="D889" s="6">
        <f t="shared" si="91"/>
        <v>-7.5096357080692844E-3</v>
      </c>
      <c r="E889" s="14">
        <f t="shared" si="92"/>
        <v>1.350841553672505E-4</v>
      </c>
      <c r="F889" s="9">
        <f t="shared" si="93"/>
        <v>17.962195818075983</v>
      </c>
      <c r="G889" s="9">
        <f t="shared" si="94"/>
        <v>-0.38782789548371194</v>
      </c>
      <c r="H889" s="9">
        <f t="shared" si="95"/>
        <v>-1.1262899980583295E-3</v>
      </c>
      <c r="I889" s="9">
        <f t="shared" si="96"/>
        <v>-3.367193640023467E-6</v>
      </c>
      <c r="J889" s="9">
        <f t="shared" si="97"/>
        <v>17.573238265400573</v>
      </c>
    </row>
    <row r="890" spans="2:10" x14ac:dyDescent="0.25">
      <c r="B890" s="1">
        <v>42990</v>
      </c>
      <c r="C890" s="13">
        <v>40.215000000000003</v>
      </c>
      <c r="D890" s="6">
        <f t="shared" si="91"/>
        <v>-3.9628482972134949E-3</v>
      </c>
      <c r="E890" s="14">
        <f t="shared" si="92"/>
        <v>1.353183507014497E-4</v>
      </c>
      <c r="F890" s="9">
        <f t="shared" si="93"/>
        <v>17.960463619686532</v>
      </c>
      <c r="G890" s="9">
        <f t="shared" si="94"/>
        <v>-0.30938720856538787</v>
      </c>
      <c r="H890" s="9">
        <f t="shared" si="95"/>
        <v>-5.1684023369990275E-3</v>
      </c>
      <c r="I890" s="9">
        <f t="shared" si="96"/>
        <v>-4.4934787339973078E-3</v>
      </c>
      <c r="J890" s="9">
        <f t="shared" si="97"/>
        <v>17.641414530050149</v>
      </c>
    </row>
    <row r="891" spans="2:10" x14ac:dyDescent="0.25">
      <c r="B891" s="1">
        <v>42989</v>
      </c>
      <c r="C891" s="13">
        <v>40.375</v>
      </c>
      <c r="D891" s="6">
        <f t="shared" si="91"/>
        <v>1.8079580412527108E-2</v>
      </c>
      <c r="E891" s="14">
        <f t="shared" si="92"/>
        <v>1.364294400464481E-4</v>
      </c>
      <c r="F891" s="9">
        <f t="shared" si="93"/>
        <v>17.952286217151109</v>
      </c>
      <c r="G891" s="9">
        <f t="shared" si="94"/>
        <v>-0.11486809463230806</v>
      </c>
      <c r="H891" s="9">
        <f t="shared" si="95"/>
        <v>-5.7931939726212824E-3</v>
      </c>
      <c r="I891" s="9">
        <f t="shared" si="96"/>
        <v>-1.9256205178850832E-2</v>
      </c>
      <c r="J891" s="9">
        <f t="shared" si="97"/>
        <v>17.812368723367328</v>
      </c>
    </row>
    <row r="892" spans="2:10" x14ac:dyDescent="0.25">
      <c r="B892" s="1">
        <v>42986</v>
      </c>
      <c r="C892" s="13">
        <v>39.658000000000001</v>
      </c>
      <c r="D892" s="6">
        <f t="shared" si="91"/>
        <v>-1.6296663772789155E-2</v>
      </c>
      <c r="E892" s="14">
        <f t="shared" si="92"/>
        <v>1.3476510911326103E-4</v>
      </c>
      <c r="F892" s="9">
        <f t="shared" si="93"/>
        <v>17.964560444885436</v>
      </c>
      <c r="G892" s="9">
        <f t="shared" si="94"/>
        <v>-1.0072225357901905</v>
      </c>
      <c r="H892" s="9">
        <f t="shared" si="95"/>
        <v>-7.7934021304980634E-3</v>
      </c>
      <c r="I892" s="9">
        <f t="shared" si="96"/>
        <v>-8.0894822147340034E-3</v>
      </c>
      <c r="J892" s="9">
        <f t="shared" si="97"/>
        <v>16.94145502475001</v>
      </c>
    </row>
    <row r="893" spans="2:10" x14ac:dyDescent="0.25">
      <c r="B893" s="1">
        <v>42985</v>
      </c>
      <c r="C893" s="13">
        <v>40.314999999999998</v>
      </c>
      <c r="D893" s="6">
        <f t="shared" si="91"/>
        <v>-4.0268787983597232E-3</v>
      </c>
      <c r="E893" s="14">
        <f t="shared" si="92"/>
        <v>1.3254174987816742E-4</v>
      </c>
      <c r="F893" s="9">
        <f t="shared" si="93"/>
        <v>17.981196086173959</v>
      </c>
      <c r="G893" s="9">
        <f t="shared" si="94"/>
        <v>-1.215545030649466</v>
      </c>
      <c r="H893" s="9">
        <f t="shared" si="95"/>
        <v>1.4222997708657465E-2</v>
      </c>
      <c r="I893" s="9">
        <f t="shared" si="96"/>
        <v>-1.8784603034798484E-2</v>
      </c>
      <c r="J893" s="9">
        <f t="shared" si="97"/>
        <v>16.761089450198352</v>
      </c>
    </row>
    <row r="894" spans="2:10" x14ac:dyDescent="0.25">
      <c r="B894" s="1">
        <v>42984</v>
      </c>
      <c r="C894" s="13">
        <v>40.478000000000002</v>
      </c>
      <c r="D894" s="6">
        <f t="shared" si="91"/>
        <v>-1.0365251727542102E-3</v>
      </c>
      <c r="E894" s="14">
        <f t="shared" si="92"/>
        <v>1.323141257838051E-4</v>
      </c>
      <c r="F894" s="9">
        <f t="shared" si="93"/>
        <v>17.982914939114906</v>
      </c>
      <c r="G894" s="9">
        <f t="shared" si="94"/>
        <v>-0.12116958867532922</v>
      </c>
      <c r="H894" s="9">
        <f t="shared" si="95"/>
        <v>-1.8117112197332317E-3</v>
      </c>
      <c r="I894" s="9">
        <f t="shared" si="96"/>
        <v>-8.771482137544008E-4</v>
      </c>
      <c r="J894" s="9">
        <f t="shared" si="97"/>
        <v>17.85905649100609</v>
      </c>
    </row>
    <row r="895" spans="2:10" x14ac:dyDescent="0.25">
      <c r="B895" s="1">
        <v>42983</v>
      </c>
      <c r="C895" s="13">
        <v>40.520000000000003</v>
      </c>
      <c r="D895" s="6">
        <f t="shared" si="91"/>
        <v>-1.2020578840855167E-2</v>
      </c>
      <c r="E895" s="14">
        <f t="shared" si="92"/>
        <v>1.3298561450714343E-4</v>
      </c>
      <c r="F895" s="9">
        <f t="shared" si="93"/>
        <v>17.977852814617421</v>
      </c>
      <c r="G895" s="9">
        <f t="shared" si="94"/>
        <v>-2.6759374596720068E-2</v>
      </c>
      <c r="H895" s="9">
        <f t="shared" si="95"/>
        <v>-2.1809754582978185E-3</v>
      </c>
      <c r="I895" s="9">
        <f t="shared" si="96"/>
        <v>-1.0896758388338599E-2</v>
      </c>
      <c r="J895" s="9">
        <f t="shared" si="97"/>
        <v>17.938015706174063</v>
      </c>
    </row>
    <row r="896" spans="2:10" x14ac:dyDescent="0.25">
      <c r="B896" s="1">
        <v>42979</v>
      </c>
      <c r="C896" s="13">
        <v>41.012999999999998</v>
      </c>
      <c r="D896" s="6">
        <f t="shared" si="91"/>
        <v>3.1707317073159658E-4</v>
      </c>
      <c r="E896" s="14">
        <f t="shared" si="92"/>
        <v>1.3155794200670875E-4</v>
      </c>
      <c r="F896" s="9">
        <f t="shared" si="93"/>
        <v>17.988646397191964</v>
      </c>
      <c r="G896" s="9">
        <f t="shared" si="94"/>
        <v>-0.71001843354520544</v>
      </c>
      <c r="H896" s="9">
        <f t="shared" si="95"/>
        <v>4.8072391187545275E-3</v>
      </c>
      <c r="I896" s="9">
        <f t="shared" si="96"/>
        <v>-5.0062848432770035E-3</v>
      </c>
      <c r="J896" s="9">
        <f t="shared" si="97"/>
        <v>17.278428917922238</v>
      </c>
    </row>
    <row r="897" spans="2:10" x14ac:dyDescent="0.25">
      <c r="B897" s="1">
        <v>42978</v>
      </c>
      <c r="C897" s="13">
        <v>41</v>
      </c>
      <c r="D897" s="6">
        <f t="shared" si="91"/>
        <v>3.9668935795091897E-3</v>
      </c>
      <c r="E897" s="14">
        <f t="shared" si="92"/>
        <v>1.3155594418052754E-4</v>
      </c>
      <c r="F897" s="9">
        <f t="shared" si="93"/>
        <v>17.988661583210536</v>
      </c>
      <c r="G897" s="9">
        <f t="shared" si="94"/>
        <v>-6.5443742543444027E-3</v>
      </c>
      <c r="H897" s="9">
        <f t="shared" si="95"/>
        <v>-5.8841806882741008E-4</v>
      </c>
      <c r="I897" s="9">
        <f t="shared" si="96"/>
        <v>-2.3730729260046679E-3</v>
      </c>
      <c r="J897" s="9">
        <f t="shared" si="97"/>
        <v>17.979155717961362</v>
      </c>
    </row>
    <row r="898" spans="2:10" x14ac:dyDescent="0.25">
      <c r="B898" s="1">
        <v>42977</v>
      </c>
      <c r="C898" s="13">
        <v>40.838000000000001</v>
      </c>
      <c r="D898" s="6">
        <f t="shared" si="91"/>
        <v>2.7008446277745346E-3</v>
      </c>
      <c r="E898" s="14">
        <f t="shared" si="92"/>
        <v>1.315318990383445E-4</v>
      </c>
      <c r="F898" s="9">
        <f t="shared" si="93"/>
        <v>17.988844374950027</v>
      </c>
      <c r="G898" s="9">
        <f t="shared" si="94"/>
        <v>-2.086819582594775E-2</v>
      </c>
      <c r="H898" s="9">
        <f t="shared" si="95"/>
        <v>1.0218370894364544E-3</v>
      </c>
      <c r="I898" s="9">
        <f t="shared" si="96"/>
        <v>-2.1971980808258114E-3</v>
      </c>
      <c r="J898" s="9">
        <f t="shared" si="97"/>
        <v>17.96680081813269</v>
      </c>
    </row>
    <row r="899" spans="2:10" x14ac:dyDescent="0.25">
      <c r="B899" s="1">
        <v>42976</v>
      </c>
      <c r="C899" s="13">
        <v>40.728000000000002</v>
      </c>
      <c r="D899" s="6">
        <f t="shared" si="91"/>
        <v>8.9179548156956834E-3</v>
      </c>
      <c r="E899" s="14">
        <f t="shared" si="92"/>
        <v>1.3163190591858765E-4</v>
      </c>
      <c r="F899" s="9">
        <f t="shared" si="93"/>
        <v>17.988084339693096</v>
      </c>
      <c r="G899" s="9">
        <f t="shared" si="94"/>
        <v>-4.3902860616796451E-3</v>
      </c>
      <c r="H899" s="9">
        <f t="shared" si="95"/>
        <v>5.4331803450339503E-4</v>
      </c>
      <c r="I899" s="9">
        <f t="shared" si="96"/>
        <v>-3.2758447528058645E-3</v>
      </c>
      <c r="J899" s="9">
        <f t="shared" si="97"/>
        <v>17.980961526913113</v>
      </c>
    </row>
    <row r="900" spans="2:10" x14ac:dyDescent="0.25">
      <c r="B900" s="1">
        <v>42975</v>
      </c>
      <c r="C900" s="13">
        <v>40.368000000000002</v>
      </c>
      <c r="D900" s="6">
        <f t="shared" si="91"/>
        <v>1.0083823345427234E-2</v>
      </c>
      <c r="E900" s="14">
        <f t="shared" si="92"/>
        <v>1.3136432349449134E-4</v>
      </c>
      <c r="F900" s="9">
        <f t="shared" si="93"/>
        <v>17.990119216900467</v>
      </c>
      <c r="G900" s="9">
        <f t="shared" si="94"/>
        <v>-0.202909834641849</v>
      </c>
      <c r="H900" s="9">
        <f t="shared" si="95"/>
        <v>2.1889461498776704E-3</v>
      </c>
      <c r="I900" s="9">
        <f t="shared" si="96"/>
        <v>-7.0248600653551876E-4</v>
      </c>
      <c r="J900" s="9">
        <f t="shared" si="97"/>
        <v>17.78869584240196</v>
      </c>
    </row>
    <row r="901" spans="2:10" x14ac:dyDescent="0.25">
      <c r="B901" s="1">
        <v>42972</v>
      </c>
      <c r="C901" s="13">
        <v>39.965000000000003</v>
      </c>
      <c r="D901" s="6">
        <f t="shared" si="91"/>
        <v>3.6917976794414997E-3</v>
      </c>
      <c r="E901" s="14">
        <f t="shared" si="92"/>
        <v>1.3071215835067109E-4</v>
      </c>
      <c r="F901" s="9">
        <f t="shared" si="93"/>
        <v>17.995096134213988</v>
      </c>
      <c r="G901" s="9">
        <f t="shared" si="94"/>
        <v>-0.27435695712764796</v>
      </c>
      <c r="H901" s="9">
        <f t="shared" si="95"/>
        <v>7.1191186083624178E-4</v>
      </c>
      <c r="I901" s="9">
        <f t="shared" si="96"/>
        <v>-3.2150588044740569E-5</v>
      </c>
      <c r="J901" s="9">
        <f t="shared" si="97"/>
        <v>17.721418938359133</v>
      </c>
    </row>
    <row r="902" spans="2:10" x14ac:dyDescent="0.25">
      <c r="B902" s="1">
        <v>42971</v>
      </c>
      <c r="C902" s="13">
        <v>39.817999999999998</v>
      </c>
      <c r="D902" s="6">
        <f t="shared" si="91"/>
        <v>-4.4255531941492787E-3</v>
      </c>
      <c r="E902" s="14">
        <f t="shared" si="92"/>
        <v>1.3081482150216034E-4</v>
      </c>
      <c r="F902" s="9">
        <f t="shared" si="93"/>
        <v>17.994311028548637</v>
      </c>
      <c r="G902" s="9">
        <f t="shared" si="94"/>
        <v>-1.6338214097135619E-2</v>
      </c>
      <c r="H902" s="9">
        <f t="shared" si="95"/>
        <v>1.0544854698314686E-3</v>
      </c>
      <c r="I902" s="9">
        <f t="shared" si="96"/>
        <v>-3.3350964015690849E-3</v>
      </c>
      <c r="J902" s="9">
        <f t="shared" si="97"/>
        <v>17.975692203519767</v>
      </c>
    </row>
    <row r="903" spans="2:10" x14ac:dyDescent="0.25">
      <c r="B903" s="1">
        <v>42970</v>
      </c>
      <c r="C903" s="13">
        <v>39.994999999999997</v>
      </c>
      <c r="D903" s="6">
        <f t="shared" si="91"/>
        <v>1.2517211165352649E-3</v>
      </c>
      <c r="E903" s="14">
        <f t="shared" si="92"/>
        <v>1.3073749307653725E-4</v>
      </c>
      <c r="F903" s="9">
        <f t="shared" si="93"/>
        <v>17.994902332265454</v>
      </c>
      <c r="G903" s="9">
        <f t="shared" si="94"/>
        <v>-0.14053367529827523</v>
      </c>
      <c r="H903" s="9">
        <f t="shared" si="95"/>
        <v>-2.4773647657884671E-3</v>
      </c>
      <c r="I903" s="9">
        <f t="shared" si="96"/>
        <v>-1.8188469514584546E-3</v>
      </c>
      <c r="J903" s="9">
        <f t="shared" si="97"/>
        <v>17.850072445249932</v>
      </c>
    </row>
    <row r="904" spans="2:10" x14ac:dyDescent="0.25">
      <c r="B904" s="1">
        <v>42969</v>
      </c>
      <c r="C904" s="13">
        <v>39.945</v>
      </c>
      <c r="D904" s="6">
        <f t="shared" si="91"/>
        <v>1.6334630944202733E-2</v>
      </c>
      <c r="E904" s="14">
        <f t="shared" si="92"/>
        <v>1.3116368430025205E-4</v>
      </c>
      <c r="F904" s="9">
        <f t="shared" si="93"/>
        <v>17.991647733686072</v>
      </c>
      <c r="G904" s="9">
        <f t="shared" si="94"/>
        <v>-5.3945455488932067E-4</v>
      </c>
      <c r="H904" s="9">
        <f t="shared" si="95"/>
        <v>-2.5986338348302039E-4</v>
      </c>
      <c r="I904" s="9">
        <f t="shared" si="96"/>
        <v>-7.1870912540312271E-3</v>
      </c>
      <c r="J904" s="9">
        <f t="shared" si="97"/>
        <v>17.983661324493667</v>
      </c>
    </row>
    <row r="905" spans="2:10" x14ac:dyDescent="0.25">
      <c r="B905" s="1">
        <v>42968</v>
      </c>
      <c r="C905" s="13">
        <v>39.302999999999997</v>
      </c>
      <c r="D905" s="6">
        <f t="shared" si="91"/>
        <v>-1.8285714285715127E-3</v>
      </c>
      <c r="E905" s="14">
        <f t="shared" si="92"/>
        <v>1.3234029783631068E-4</v>
      </c>
      <c r="F905" s="9">
        <f t="shared" si="93"/>
        <v>17.982717156268635</v>
      </c>
      <c r="G905" s="9">
        <f t="shared" si="94"/>
        <v>-0.81964541165878779</v>
      </c>
      <c r="H905" s="9">
        <f t="shared" si="95"/>
        <v>1.6250724430119087E-2</v>
      </c>
      <c r="I905" s="9">
        <f t="shared" si="96"/>
        <v>-2.1589623206579391E-2</v>
      </c>
      <c r="J905" s="9">
        <f t="shared" si="97"/>
        <v>17.157732845833387</v>
      </c>
    </row>
    <row r="906" spans="2:10" x14ac:dyDescent="0.25">
      <c r="B906" s="1">
        <v>42965</v>
      </c>
      <c r="C906" s="13">
        <v>39.375</v>
      </c>
      <c r="D906" s="6">
        <f t="shared" si="91"/>
        <v>-2.2805017103764147E-3</v>
      </c>
      <c r="E906" s="14">
        <f t="shared" si="92"/>
        <v>1.3226819121244695E-4</v>
      </c>
      <c r="F906" s="9">
        <f t="shared" si="93"/>
        <v>17.983262162408899</v>
      </c>
      <c r="G906" s="9">
        <f t="shared" si="94"/>
        <v>-4.5281966379182359E-2</v>
      </c>
      <c r="H906" s="9">
        <f t="shared" si="95"/>
        <v>-1.4081772389968913E-3</v>
      </c>
      <c r="I906" s="9">
        <f t="shared" si="96"/>
        <v>-1.8169072226721292E-3</v>
      </c>
      <c r="J906" s="9">
        <f t="shared" si="97"/>
        <v>17.934755111568048</v>
      </c>
    </row>
    <row r="907" spans="2:10" x14ac:dyDescent="0.25">
      <c r="B907" s="1">
        <v>42964</v>
      </c>
      <c r="C907" s="13">
        <v>39.465000000000003</v>
      </c>
      <c r="D907" s="6">
        <f t="shared" si="91"/>
        <v>-1.9210696356677714E-2</v>
      </c>
      <c r="E907" s="14">
        <f t="shared" si="92"/>
        <v>1.3216956784476423E-4</v>
      </c>
      <c r="F907" s="9">
        <f t="shared" si="93"/>
        <v>17.984008072316826</v>
      </c>
      <c r="G907" s="9">
        <f t="shared" si="94"/>
        <v>-5.7942561139277642E-2</v>
      </c>
      <c r="H907" s="9">
        <f t="shared" si="95"/>
        <v>-1.5355402042481897E-3</v>
      </c>
      <c r="I907" s="9">
        <f t="shared" si="96"/>
        <v>-1.6352184791701098E-3</v>
      </c>
      <c r="J907" s="9">
        <f t="shared" si="97"/>
        <v>17.92289475249413</v>
      </c>
    </row>
    <row r="908" spans="2:10" x14ac:dyDescent="0.25">
      <c r="B908" s="1">
        <v>42963</v>
      </c>
      <c r="C908" s="13">
        <v>40.238</v>
      </c>
      <c r="D908" s="6">
        <f t="shared" si="91"/>
        <v>-4.0099009900990135E-3</v>
      </c>
      <c r="E908" s="14">
        <f t="shared" si="92"/>
        <v>1.2865103520278212E-4</v>
      </c>
      <c r="F908" s="9">
        <f t="shared" si="93"/>
        <v>18.010990190033692</v>
      </c>
      <c r="G908" s="9">
        <f t="shared" si="94"/>
        <v>-1.6925984426462486</v>
      </c>
      <c r="H908" s="9">
        <f t="shared" si="95"/>
        <v>3.254733665641299E-2</v>
      </c>
      <c r="I908" s="9">
        <f t="shared" si="96"/>
        <v>-6.1663170468458907E-2</v>
      </c>
      <c r="J908" s="9">
        <f t="shared" si="97"/>
        <v>16.289275913575398</v>
      </c>
    </row>
    <row r="909" spans="2:10" x14ac:dyDescent="0.25">
      <c r="B909" s="1">
        <v>42962</v>
      </c>
      <c r="C909" s="13">
        <v>40.4</v>
      </c>
      <c r="D909" s="6">
        <f t="shared" si="91"/>
        <v>1.0935114981357685E-2</v>
      </c>
      <c r="E909" s="14">
        <f t="shared" si="92"/>
        <v>1.2867138225521683E-4</v>
      </c>
      <c r="F909" s="9">
        <f t="shared" si="93"/>
        <v>18.010832045611778</v>
      </c>
      <c r="G909" s="9">
        <f t="shared" si="94"/>
        <v>-0.12385281017695435</v>
      </c>
      <c r="H909" s="9">
        <f t="shared" si="95"/>
        <v>-2.6607134210467351E-3</v>
      </c>
      <c r="I909" s="9">
        <f t="shared" si="96"/>
        <v>-2.6579121156422689E-3</v>
      </c>
      <c r="J909" s="9">
        <f t="shared" si="97"/>
        <v>17.881660609898134</v>
      </c>
    </row>
    <row r="910" spans="2:10" x14ac:dyDescent="0.25">
      <c r="B910" s="1">
        <v>42961</v>
      </c>
      <c r="C910" s="13">
        <v>39.963000000000001</v>
      </c>
      <c r="D910" s="6">
        <f t="shared" si="91"/>
        <v>1.5062230124460285E-2</v>
      </c>
      <c r="E910" s="14">
        <f t="shared" si="92"/>
        <v>1.2793412268127035E-4</v>
      </c>
      <c r="F910" s="9">
        <f t="shared" si="93"/>
        <v>18.016578310508109</v>
      </c>
      <c r="G910" s="9">
        <f t="shared" si="94"/>
        <v>-0.33959227789741758</v>
      </c>
      <c r="H910" s="9">
        <f t="shared" si="95"/>
        <v>3.4281553916103787E-4</v>
      </c>
      <c r="I910" s="9">
        <f t="shared" si="96"/>
        <v>-1.5805090122060638E-4</v>
      </c>
      <c r="J910" s="9">
        <f t="shared" si="97"/>
        <v>17.677170797248632</v>
      </c>
    </row>
    <row r="911" spans="2:10" x14ac:dyDescent="0.25">
      <c r="B911" s="1">
        <v>42958</v>
      </c>
      <c r="C911" s="13">
        <v>39.369999999999997</v>
      </c>
      <c r="D911" s="6">
        <f t="shared" si="91"/>
        <v>1.3906773113572024E-2</v>
      </c>
      <c r="E911" s="14">
        <f t="shared" si="92"/>
        <v>1.2665118312958835E-4</v>
      </c>
      <c r="F911" s="9">
        <f t="shared" si="93"/>
        <v>18.026657057258888</v>
      </c>
      <c r="G911" s="9">
        <f t="shared" si="94"/>
        <v>-0.71468010008227878</v>
      </c>
      <c r="H911" s="9">
        <f t="shared" si="95"/>
        <v>-3.7802967938963075E-3</v>
      </c>
      <c r="I911" s="9">
        <f t="shared" si="96"/>
        <v>-3.4878829286041474E-3</v>
      </c>
      <c r="J911" s="9">
        <f t="shared" si="97"/>
        <v>17.30470877745411</v>
      </c>
    </row>
    <row r="912" spans="2:10" x14ac:dyDescent="0.25">
      <c r="B912" s="1">
        <v>42957</v>
      </c>
      <c r="C912" s="13">
        <v>38.83</v>
      </c>
      <c r="D912" s="6">
        <f t="shared" ref="D912:D975" si="98">C912/C913-1</f>
        <v>-3.5638892338259121E-2</v>
      </c>
      <c r="E912" s="14">
        <f t="shared" ref="E912:E975" si="99">_xlfn.VAR.S(D912:D1032)</f>
        <v>1.2533505147709607E-4</v>
      </c>
      <c r="F912" s="9">
        <f t="shared" si="93"/>
        <v>18.037103212167189</v>
      </c>
      <c r="G912" s="9">
        <f t="shared" si="94"/>
        <v>-0.60330474513707599</v>
      </c>
      <c r="H912" s="9">
        <f t="shared" si="95"/>
        <v>-3.7319131147115049E-3</v>
      </c>
      <c r="I912" s="9">
        <f t="shared" si="96"/>
        <v>-3.8477540468024813E-3</v>
      </c>
      <c r="J912" s="9">
        <f t="shared" si="97"/>
        <v>17.426218799868597</v>
      </c>
    </row>
    <row r="913" spans="2:10" x14ac:dyDescent="0.25">
      <c r="B913" s="1">
        <v>42956</v>
      </c>
      <c r="C913" s="13">
        <v>40.265000000000001</v>
      </c>
      <c r="D913" s="6">
        <f t="shared" si="98"/>
        <v>6.1219390304847465E-3</v>
      </c>
      <c r="E913" s="14">
        <f t="shared" si="99"/>
        <v>1.1399364211592791E-4</v>
      </c>
      <c r="F913" s="9">
        <f t="shared" ref="F913:F976" si="100">LN(2*PI())-LN($C$6)-LN(E913)-0.5*LN(1-POWER($C$7,2))</f>
        <v>18.131951099462533</v>
      </c>
      <c r="G913" s="9">
        <f t="shared" ref="G913:G976" si="101">-POWER(D912-1-$C$3,2)/(2*E913*(1-POWER($C$7,2)))</f>
        <v>-6.1094740194794577</v>
      </c>
      <c r="H913" s="9">
        <f t="shared" ref="H913:H976" si="102">$C$7*(D912-1-$C$3)*(E912-E913-$C$5*$C$4)/(E913*$C$6*(1-POWER($C$7,2)))</f>
        <v>0.25479303702352823</v>
      </c>
      <c r="I913" s="9">
        <f t="shared" ref="I913:I976" si="103">-POWER(E912-E913-$C$5*$C$4+$C$4*E913,2)/(2*POWER($C$6,2)*E913*(1-POWER($C$7,2)))</f>
        <v>-0.93287706443035745</v>
      </c>
      <c r="J913" s="9">
        <f t="shared" ref="J913:J976" si="104">SUM(F913:I913)</f>
        <v>11.344393052576248</v>
      </c>
    </row>
    <row r="914" spans="2:10" x14ac:dyDescent="0.25">
      <c r="B914" s="1">
        <v>42955</v>
      </c>
      <c r="C914" s="13">
        <v>40.020000000000003</v>
      </c>
      <c r="D914" s="6">
        <f t="shared" si="98"/>
        <v>7.9842833035286276E-3</v>
      </c>
      <c r="E914" s="14">
        <f t="shared" si="99"/>
        <v>1.13852876670596E-4</v>
      </c>
      <c r="F914" s="9">
        <f t="shared" si="100"/>
        <v>18.133186715999411</v>
      </c>
      <c r="G914" s="9">
        <f t="shared" si="101"/>
        <v>-8.8979399316419142E-2</v>
      </c>
      <c r="H914" s="9">
        <f t="shared" si="102"/>
        <v>1.9272070868214431E-3</v>
      </c>
      <c r="I914" s="9">
        <f t="shared" si="103"/>
        <v>-1.8065192920714212E-3</v>
      </c>
      <c r="J914" s="9">
        <f t="shared" si="104"/>
        <v>18.044328004477745</v>
      </c>
    </row>
    <row r="915" spans="2:10" x14ac:dyDescent="0.25">
      <c r="B915" s="1">
        <v>42954</v>
      </c>
      <c r="C915" s="13">
        <v>39.703000000000003</v>
      </c>
      <c r="D915" s="6">
        <f t="shared" si="98"/>
        <v>1.5473937285794825E-2</v>
      </c>
      <c r="E915" s="14">
        <f t="shared" si="99"/>
        <v>1.1459894136284372E-4</v>
      </c>
      <c r="F915" s="9">
        <f t="shared" si="100"/>
        <v>18.12665520882241</v>
      </c>
      <c r="G915" s="9">
        <f t="shared" si="101"/>
        <v>-0.1768349643519469</v>
      </c>
      <c r="H915" s="9">
        <f t="shared" si="102"/>
        <v>6.3454966679983979E-3</v>
      </c>
      <c r="I915" s="9">
        <f t="shared" si="103"/>
        <v>-1.4854109268612001E-2</v>
      </c>
      <c r="J915" s="9">
        <f t="shared" si="104"/>
        <v>17.941311631869848</v>
      </c>
    </row>
    <row r="916" spans="2:10" x14ac:dyDescent="0.25">
      <c r="B916" s="1">
        <v>42951</v>
      </c>
      <c r="C916" s="13">
        <v>39.097999999999999</v>
      </c>
      <c r="D916" s="6">
        <f t="shared" si="98"/>
        <v>5.2708713650271299E-3</v>
      </c>
      <c r="E916" s="14">
        <f t="shared" si="99"/>
        <v>1.1342201794933963E-4</v>
      </c>
      <c r="F916" s="9">
        <f t="shared" si="100"/>
        <v>18.13697824113142</v>
      </c>
      <c r="G916" s="9">
        <f t="shared" si="101"/>
        <v>-0.84769861325752738</v>
      </c>
      <c r="H916" s="9">
        <f t="shared" si="102"/>
        <v>-3.393575876320045E-3</v>
      </c>
      <c r="I916" s="9">
        <f t="shared" si="103"/>
        <v>-2.587174739522601E-3</v>
      </c>
      <c r="J916" s="9">
        <f t="shared" si="104"/>
        <v>17.283298877258048</v>
      </c>
    </row>
    <row r="917" spans="2:10" x14ac:dyDescent="0.25">
      <c r="B917" s="1">
        <v>42950</v>
      </c>
      <c r="C917" s="13">
        <v>38.893000000000001</v>
      </c>
      <c r="D917" s="6">
        <f t="shared" si="98"/>
        <v>-9.9783632429679692E-3</v>
      </c>
      <c r="E917" s="14">
        <f t="shared" si="99"/>
        <v>1.1341160887527949E-4</v>
      </c>
      <c r="F917" s="9">
        <f t="shared" si="100"/>
        <v>18.137070018300555</v>
      </c>
      <c r="G917" s="9">
        <f t="shared" si="101"/>
        <v>-5.8700079060376643E-2</v>
      </c>
      <c r="H917" s="9">
        <f t="shared" si="102"/>
        <v>1.8780257158443772E-3</v>
      </c>
      <c r="I917" s="9">
        <f t="shared" si="103"/>
        <v>-2.9611844218817387E-3</v>
      </c>
      <c r="J917" s="9">
        <f t="shared" si="104"/>
        <v>18.077286780534141</v>
      </c>
    </row>
    <row r="918" spans="2:10" x14ac:dyDescent="0.25">
      <c r="B918" s="1">
        <v>42949</v>
      </c>
      <c r="C918" s="13">
        <v>39.284999999999997</v>
      </c>
      <c r="D918" s="6">
        <f t="shared" si="98"/>
        <v>4.7236957854610351E-2</v>
      </c>
      <c r="E918" s="14">
        <f t="shared" si="99"/>
        <v>1.1234196377775881E-4</v>
      </c>
      <c r="F918" s="9">
        <f t="shared" si="100"/>
        <v>18.146546307773669</v>
      </c>
      <c r="G918" s="9">
        <f t="shared" si="101"/>
        <v>-0.60124965894281168</v>
      </c>
      <c r="H918" s="9">
        <f t="shared" si="102"/>
        <v>2.0522430021707415E-3</v>
      </c>
      <c r="I918" s="9">
        <f t="shared" si="103"/>
        <v>-1.6989185248043506E-3</v>
      </c>
      <c r="J918" s="9">
        <f t="shared" si="104"/>
        <v>17.545649973308223</v>
      </c>
    </row>
    <row r="919" spans="2:10" x14ac:dyDescent="0.25">
      <c r="B919" s="1">
        <v>42948</v>
      </c>
      <c r="C919" s="13">
        <v>37.512999999999998</v>
      </c>
      <c r="D919" s="6">
        <f t="shared" si="98"/>
        <v>8.8750235322592186E-3</v>
      </c>
      <c r="E919" s="14">
        <f t="shared" si="99"/>
        <v>9.4822970695325478E-5</v>
      </c>
      <c r="F919" s="9">
        <f t="shared" si="100"/>
        <v>18.316082088566748</v>
      </c>
      <c r="G919" s="9">
        <f t="shared" si="101"/>
        <v>-11.001512948444924</v>
      </c>
      <c r="H919" s="9">
        <f t="shared" si="102"/>
        <v>-0.594595762134013</v>
      </c>
      <c r="I919" s="9">
        <f t="shared" si="103"/>
        <v>-2.7742957682821472</v>
      </c>
      <c r="J919" s="9">
        <f t="shared" si="104"/>
        <v>3.9456776097056641</v>
      </c>
    </row>
    <row r="920" spans="2:10" x14ac:dyDescent="0.25">
      <c r="B920" s="1">
        <v>42947</v>
      </c>
      <c r="C920" s="13">
        <v>37.183</v>
      </c>
      <c r="D920" s="6">
        <f t="shared" si="98"/>
        <v>-5.1371237458194274E-3</v>
      </c>
      <c r="E920" s="14">
        <f t="shared" si="99"/>
        <v>9.4909188341958818E-5</v>
      </c>
      <c r="F920" s="9">
        <f t="shared" si="100"/>
        <v>18.315173253153652</v>
      </c>
      <c r="G920" s="9">
        <f t="shared" si="101"/>
        <v>-0.27755074723401085</v>
      </c>
      <c r="H920" s="9">
        <f t="shared" si="102"/>
        <v>5.0096491623988519E-3</v>
      </c>
      <c r="I920" s="9">
        <f t="shared" si="103"/>
        <v>-5.1895200961691217E-3</v>
      </c>
      <c r="J920" s="9">
        <f t="shared" si="104"/>
        <v>18.037442634985872</v>
      </c>
    </row>
    <row r="921" spans="2:10" x14ac:dyDescent="0.25">
      <c r="B921" s="1">
        <v>42944</v>
      </c>
      <c r="C921" s="13">
        <v>37.375</v>
      </c>
      <c r="D921" s="6">
        <f t="shared" si="98"/>
        <v>-7.0403825717322288E-3</v>
      </c>
      <c r="E921" s="14">
        <f t="shared" si="99"/>
        <v>9.5133001072266013E-5</v>
      </c>
      <c r="F921" s="9">
        <f t="shared" si="100"/>
        <v>18.312817851603384</v>
      </c>
      <c r="G921" s="9">
        <f t="shared" si="101"/>
        <v>-0.24120702532445046</v>
      </c>
      <c r="H921" s="9">
        <f t="shared" si="102"/>
        <v>-5.3880919830910316E-3</v>
      </c>
      <c r="I921" s="9">
        <f t="shared" si="103"/>
        <v>-7.306163225086159E-3</v>
      </c>
      <c r="J921" s="9">
        <f t="shared" si="104"/>
        <v>18.05891657107076</v>
      </c>
    </row>
    <row r="922" spans="2:10" x14ac:dyDescent="0.25">
      <c r="B922" s="1">
        <v>42943</v>
      </c>
      <c r="C922" s="13">
        <v>37.64</v>
      </c>
      <c r="D922" s="6">
        <f t="shared" si="98"/>
        <v>-1.8897432555714855E-2</v>
      </c>
      <c r="E922" s="14">
        <f t="shared" si="99"/>
        <v>9.4624901007723516E-5</v>
      </c>
      <c r="F922" s="9">
        <f t="shared" si="100"/>
        <v>18.318173109785313</v>
      </c>
      <c r="G922" s="9">
        <f t="shared" si="101"/>
        <v>-0.39816100256379633</v>
      </c>
      <c r="H922" s="9">
        <f t="shared" si="102"/>
        <v>-1.9837651019344238E-3</v>
      </c>
      <c r="I922" s="9">
        <f t="shared" si="103"/>
        <v>-1.8143983051168423E-4</v>
      </c>
      <c r="J922" s="9">
        <f t="shared" si="104"/>
        <v>17.917846902289071</v>
      </c>
    </row>
    <row r="923" spans="2:10" x14ac:dyDescent="0.25">
      <c r="B923" s="1">
        <v>42942</v>
      </c>
      <c r="C923" s="13">
        <v>38.365000000000002</v>
      </c>
      <c r="D923" s="6">
        <f t="shared" si="98"/>
        <v>4.713892889878224E-3</v>
      </c>
      <c r="E923" s="14">
        <f t="shared" si="99"/>
        <v>9.1264698985395361E-5</v>
      </c>
      <c r="F923" s="9">
        <f t="shared" si="100"/>
        <v>18.354329711127562</v>
      </c>
      <c r="G923" s="9">
        <f t="shared" si="101"/>
        <v>-2.3147682964713838</v>
      </c>
      <c r="H923" s="9">
        <f t="shared" si="102"/>
        <v>4.2557630319150462E-2</v>
      </c>
      <c r="I923" s="9">
        <f t="shared" si="103"/>
        <v>-7.4351450222393062E-2</v>
      </c>
      <c r="J923" s="9">
        <f t="shared" si="104"/>
        <v>16.007767594752934</v>
      </c>
    </row>
    <row r="924" spans="2:10" x14ac:dyDescent="0.25">
      <c r="B924" s="1">
        <v>42941</v>
      </c>
      <c r="C924" s="13">
        <v>38.185000000000002</v>
      </c>
      <c r="D924" s="6">
        <f t="shared" si="98"/>
        <v>4.2605791231622447E-3</v>
      </c>
      <c r="E924" s="14">
        <f t="shared" si="99"/>
        <v>1.2044502519877493E-4</v>
      </c>
      <c r="F924" s="9">
        <f t="shared" si="100"/>
        <v>18.076900348976068</v>
      </c>
      <c r="G924" s="9">
        <f t="shared" si="101"/>
        <v>-3.9665174893880412E-2</v>
      </c>
      <c r="H924" s="9">
        <f t="shared" si="102"/>
        <v>5.6810510473894828E-2</v>
      </c>
      <c r="I924" s="9">
        <f t="shared" si="103"/>
        <v>-6.8030541119403072</v>
      </c>
      <c r="J924" s="9">
        <f t="shared" si="104"/>
        <v>11.290991572615775</v>
      </c>
    </row>
    <row r="925" spans="2:10" x14ac:dyDescent="0.25">
      <c r="B925" s="1">
        <v>42940</v>
      </c>
      <c r="C925" s="13">
        <v>38.023000000000003</v>
      </c>
      <c r="D925" s="6">
        <f t="shared" si="98"/>
        <v>1.2111371379897928E-2</v>
      </c>
      <c r="E925" s="14">
        <f t="shared" si="99"/>
        <v>1.2054957771358715E-4</v>
      </c>
      <c r="F925" s="9">
        <f t="shared" si="100"/>
        <v>18.076032673765852</v>
      </c>
      <c r="G925" s="9">
        <f t="shared" si="101"/>
        <v>-2.8844649877373917E-2</v>
      </c>
      <c r="H925" s="9">
        <f t="shared" si="102"/>
        <v>1.4625935621294496E-3</v>
      </c>
      <c r="I925" s="9">
        <f t="shared" si="103"/>
        <v>-3.8206094794313336E-3</v>
      </c>
      <c r="J925" s="9">
        <f t="shared" si="104"/>
        <v>18.044830007971179</v>
      </c>
    </row>
    <row r="926" spans="2:10" x14ac:dyDescent="0.25">
      <c r="B926" s="1">
        <v>42937</v>
      </c>
      <c r="C926" s="13">
        <v>37.567999999999998</v>
      </c>
      <c r="D926" s="6">
        <f t="shared" si="98"/>
        <v>-4.5230810163632285E-4</v>
      </c>
      <c r="E926" s="14">
        <f t="shared" si="99"/>
        <v>1.1983822059064245E-4</v>
      </c>
      <c r="F926" s="9">
        <f t="shared" si="100"/>
        <v>18.081951103939112</v>
      </c>
      <c r="G926" s="9">
        <f t="shared" si="101"/>
        <v>-0.45995338044158379</v>
      </c>
      <c r="H926" s="9">
        <f t="shared" si="102"/>
        <v>5.7978377626255418E-4</v>
      </c>
      <c r="I926" s="9">
        <f t="shared" si="103"/>
        <v>-9.0997249572008374E-5</v>
      </c>
      <c r="J926" s="9">
        <f t="shared" si="104"/>
        <v>17.622486510024221</v>
      </c>
    </row>
    <row r="927" spans="2:10" x14ac:dyDescent="0.25">
      <c r="B927" s="1">
        <v>42936</v>
      </c>
      <c r="C927" s="13">
        <v>37.585000000000001</v>
      </c>
      <c r="D927" s="6">
        <f t="shared" si="98"/>
        <v>-4.5027148722024402E-3</v>
      </c>
      <c r="E927" s="14">
        <f t="shared" si="99"/>
        <v>1.1982018003910402E-4</v>
      </c>
      <c r="F927" s="9">
        <f t="shared" si="100"/>
        <v>18.082101656154475</v>
      </c>
      <c r="G927" s="9">
        <f t="shared" si="101"/>
        <v>-1.810117180879969E-2</v>
      </c>
      <c r="H927" s="9">
        <f t="shared" si="102"/>
        <v>-1.0048162916403676E-3</v>
      </c>
      <c r="I927" s="9">
        <f t="shared" si="103"/>
        <v>-2.6358382731024939E-3</v>
      </c>
      <c r="J927" s="9">
        <f t="shared" si="104"/>
        <v>18.060359829780932</v>
      </c>
    </row>
    <row r="928" spans="2:10" x14ac:dyDescent="0.25">
      <c r="B928" s="1">
        <v>42935</v>
      </c>
      <c r="C928" s="13">
        <v>37.755000000000003</v>
      </c>
      <c r="D928" s="6">
        <f t="shared" si="98"/>
        <v>6.2633262260127776E-3</v>
      </c>
      <c r="E928" s="14">
        <f t="shared" si="99"/>
        <v>1.1950244147163076E-4</v>
      </c>
      <c r="F928" s="9">
        <f t="shared" si="100"/>
        <v>18.084756973501058</v>
      </c>
      <c r="G928" s="9">
        <f t="shared" si="101"/>
        <v>-0.15769083977247328</v>
      </c>
      <c r="H928" s="9">
        <f t="shared" si="102"/>
        <v>-1.8329497802272536E-3</v>
      </c>
      <c r="I928" s="9">
        <f t="shared" si="103"/>
        <v>-6.3023212860500674E-4</v>
      </c>
      <c r="J928" s="9">
        <f t="shared" si="104"/>
        <v>17.924602951819754</v>
      </c>
    </row>
    <row r="929" spans="2:10" x14ac:dyDescent="0.25">
      <c r="B929" s="1">
        <v>42934</v>
      </c>
      <c r="C929" s="13">
        <v>37.520000000000003</v>
      </c>
      <c r="D929" s="6">
        <f t="shared" si="98"/>
        <v>3.4768654720513936E-3</v>
      </c>
      <c r="E929" s="14">
        <f t="shared" si="99"/>
        <v>1.2098249401556682E-4</v>
      </c>
      <c r="F929" s="9">
        <f t="shared" si="100"/>
        <v>18.072447917816227</v>
      </c>
      <c r="G929" s="9">
        <f t="shared" si="101"/>
        <v>-8.9086800742701019E-2</v>
      </c>
      <c r="H929" s="9">
        <f t="shared" si="102"/>
        <v>6.4631690426581118E-3</v>
      </c>
      <c r="I929" s="9">
        <f t="shared" si="103"/>
        <v>-3.3063670864309697E-2</v>
      </c>
      <c r="J929" s="9">
        <f t="shared" si="104"/>
        <v>17.956760615251874</v>
      </c>
    </row>
    <row r="930" spans="2:10" x14ac:dyDescent="0.25">
      <c r="B930" s="1">
        <v>42933</v>
      </c>
      <c r="C930" s="13">
        <v>37.39</v>
      </c>
      <c r="D930" s="6">
        <f t="shared" si="98"/>
        <v>3.4889962426194465E-3</v>
      </c>
      <c r="E930" s="14">
        <f t="shared" si="99"/>
        <v>1.2102661850526736E-4</v>
      </c>
      <c r="F930" s="9">
        <f t="shared" si="100"/>
        <v>18.072083266339014</v>
      </c>
      <c r="G930" s="9">
        <f t="shared" si="101"/>
        <v>-1.4173883891113691E-2</v>
      </c>
      <c r="H930" s="9">
        <f t="shared" si="102"/>
        <v>9.5495818691045272E-4</v>
      </c>
      <c r="I930" s="9">
        <f t="shared" si="103"/>
        <v>-3.1742764407186575E-3</v>
      </c>
      <c r="J930" s="9">
        <f t="shared" si="104"/>
        <v>18.055690064194092</v>
      </c>
    </row>
    <row r="931" spans="2:10" x14ac:dyDescent="0.25">
      <c r="B931" s="1">
        <v>42930</v>
      </c>
      <c r="C931" s="13">
        <v>37.26</v>
      </c>
      <c r="D931" s="6">
        <f t="shared" si="98"/>
        <v>8.58078661722117E-3</v>
      </c>
      <c r="E931" s="14">
        <f t="shared" si="99"/>
        <v>1.2101655763589584E-4</v>
      </c>
      <c r="F931" s="9">
        <f t="shared" si="100"/>
        <v>18.072166399187772</v>
      </c>
      <c r="G931" s="9">
        <f t="shared" si="101"/>
        <v>-1.436161731175672E-2</v>
      </c>
      <c r="H931" s="9">
        <f t="shared" si="102"/>
        <v>8.9966632631902153E-4</v>
      </c>
      <c r="I931" s="9">
        <f t="shared" si="103"/>
        <v>-2.6636188254091793E-3</v>
      </c>
      <c r="J931" s="9">
        <f t="shared" si="104"/>
        <v>18.056040829376926</v>
      </c>
    </row>
    <row r="932" spans="2:10" x14ac:dyDescent="0.25">
      <c r="B932" s="1">
        <v>42929</v>
      </c>
      <c r="C932" s="13">
        <v>36.942999999999998</v>
      </c>
      <c r="D932" s="6">
        <f t="shared" si="98"/>
        <v>1.3942637573761463E-2</v>
      </c>
      <c r="E932" s="14">
        <f t="shared" si="99"/>
        <v>1.2063615441134236E-4</v>
      </c>
      <c r="F932" s="9">
        <f t="shared" si="100"/>
        <v>18.075314748201091</v>
      </c>
      <c r="G932" s="9">
        <f t="shared" si="101"/>
        <v>-0.20099022542511616</v>
      </c>
      <c r="H932" s="9">
        <f t="shared" si="102"/>
        <v>1.7925287437736467E-3</v>
      </c>
      <c r="I932" s="9">
        <f t="shared" si="103"/>
        <v>-3.7397018360268649E-4</v>
      </c>
      <c r="J932" s="9">
        <f t="shared" si="104"/>
        <v>17.875743081336147</v>
      </c>
    </row>
    <row r="933" spans="2:10" x14ac:dyDescent="0.25">
      <c r="B933" s="1">
        <v>42928</v>
      </c>
      <c r="C933" s="13">
        <v>36.435000000000002</v>
      </c>
      <c r="D933" s="6">
        <f t="shared" si="98"/>
        <v>1.429238930269694E-3</v>
      </c>
      <c r="E933" s="14">
        <f t="shared" si="99"/>
        <v>1.1949557360487693E-4</v>
      </c>
      <c r="F933" s="9">
        <f t="shared" si="100"/>
        <v>18.084814445666701</v>
      </c>
      <c r="G933" s="9">
        <f t="shared" si="101"/>
        <v>-0.63648863442255266</v>
      </c>
      <c r="H933" s="9">
        <f t="shared" si="102"/>
        <v>-2.5879188209822091E-3</v>
      </c>
      <c r="I933" s="9">
        <f t="shared" si="103"/>
        <v>-2.2318906146459793E-3</v>
      </c>
      <c r="J933" s="9">
        <f t="shared" si="104"/>
        <v>17.443506001808522</v>
      </c>
    </row>
    <row r="934" spans="2:10" x14ac:dyDescent="0.25">
      <c r="B934" s="1">
        <v>42927</v>
      </c>
      <c r="C934" s="13">
        <v>36.383000000000003</v>
      </c>
      <c r="D934" s="6">
        <f t="shared" si="98"/>
        <v>3.2538260030332555E-3</v>
      </c>
      <c r="E934" s="14">
        <f t="shared" si="99"/>
        <v>1.195199880515316E-4</v>
      </c>
      <c r="F934" s="9">
        <f t="shared" si="100"/>
        <v>18.084610153974811</v>
      </c>
      <c r="G934" s="9">
        <f t="shared" si="101"/>
        <v>-1.6467398128917494E-4</v>
      </c>
      <c r="H934" s="9">
        <f t="shared" si="102"/>
        <v>-1.0116348389972116E-4</v>
      </c>
      <c r="I934" s="9">
        <f t="shared" si="103"/>
        <v>-3.0449452480122942E-3</v>
      </c>
      <c r="J934" s="9">
        <f t="shared" si="104"/>
        <v>18.081299371261611</v>
      </c>
    </row>
    <row r="935" spans="2:10" x14ac:dyDescent="0.25">
      <c r="B935" s="1">
        <v>42926</v>
      </c>
      <c r="C935" s="13">
        <v>36.265000000000001</v>
      </c>
      <c r="D935" s="6">
        <f t="shared" si="98"/>
        <v>6.1034817589125101E-3</v>
      </c>
      <c r="E935" s="14">
        <f t="shared" si="99"/>
        <v>1.1983949297447853E-4</v>
      </c>
      <c r="F935" s="9">
        <f t="shared" si="100"/>
        <v>18.081940486482718</v>
      </c>
      <c r="G935" s="9">
        <f t="shared" si="101"/>
        <v>-1.1070041951194484E-2</v>
      </c>
      <c r="H935" s="9">
        <f t="shared" si="102"/>
        <v>1.1244757815468344E-3</v>
      </c>
      <c r="I935" s="9">
        <f t="shared" si="103"/>
        <v>-6.5561085359746082E-3</v>
      </c>
      <c r="J935" s="9">
        <f t="shared" si="104"/>
        <v>18.065438811777099</v>
      </c>
    </row>
    <row r="936" spans="2:10" x14ac:dyDescent="0.25">
      <c r="B936" s="1">
        <v>42923</v>
      </c>
      <c r="C936" s="13">
        <v>36.045000000000002</v>
      </c>
      <c r="D936" s="6">
        <f t="shared" si="98"/>
        <v>1.0144886920942842E-2</v>
      </c>
      <c r="E936" s="14">
        <f t="shared" si="99"/>
        <v>1.1977364258656326E-4</v>
      </c>
      <c r="F936" s="9">
        <f t="shared" si="100"/>
        <v>18.082490125711963</v>
      </c>
      <c r="G936" s="9">
        <f t="shared" si="101"/>
        <v>-8.388763869531074E-2</v>
      </c>
      <c r="H936" s="9">
        <f t="shared" si="102"/>
        <v>2.0314332376912539E-3</v>
      </c>
      <c r="I936" s="9">
        <f t="shared" si="103"/>
        <v>-2.2239068491816676E-3</v>
      </c>
      <c r="J936" s="9">
        <f t="shared" si="104"/>
        <v>17.998410013405159</v>
      </c>
    </row>
    <row r="937" spans="2:10" x14ac:dyDescent="0.25">
      <c r="B937" s="1">
        <v>42922</v>
      </c>
      <c r="C937" s="13">
        <v>35.683</v>
      </c>
      <c r="D937" s="6">
        <f t="shared" si="98"/>
        <v>-9.4384143463899228E-3</v>
      </c>
      <c r="E937" s="14">
        <f t="shared" si="99"/>
        <v>1.1943592714707137E-4</v>
      </c>
      <c r="F937" s="9">
        <f t="shared" si="100"/>
        <v>18.085313722311739</v>
      </c>
      <c r="G937" s="9">
        <f t="shared" si="101"/>
        <v>-0.30461161430625194</v>
      </c>
      <c r="H937" s="9">
        <f t="shared" si="102"/>
        <v>2.4429047543911126E-3</v>
      </c>
      <c r="I937" s="9">
        <f t="shared" si="103"/>
        <v>-5.458845394902982E-4</v>
      </c>
      <c r="J937" s="9">
        <f t="shared" si="104"/>
        <v>17.782599128220387</v>
      </c>
    </row>
    <row r="938" spans="2:10" x14ac:dyDescent="0.25">
      <c r="B938" s="1">
        <v>42921</v>
      </c>
      <c r="C938" s="13">
        <v>36.023000000000003</v>
      </c>
      <c r="D938" s="6">
        <f t="shared" si="98"/>
        <v>4.1254355400697218E-3</v>
      </c>
      <c r="E938" s="14">
        <f t="shared" si="99"/>
        <v>1.1854612695484764E-4</v>
      </c>
      <c r="F938" s="9">
        <f t="shared" si="100"/>
        <v>18.092791633551592</v>
      </c>
      <c r="G938" s="9">
        <f t="shared" si="101"/>
        <v>-0.51799866872618294</v>
      </c>
      <c r="H938" s="9">
        <f t="shared" si="102"/>
        <v>6.1302738212940541E-4</v>
      </c>
      <c r="I938" s="9">
        <f t="shared" si="103"/>
        <v>-6.3276516235452704E-4</v>
      </c>
      <c r="J938" s="9">
        <f t="shared" si="104"/>
        <v>17.574773227045185</v>
      </c>
    </row>
    <row r="939" spans="2:10" x14ac:dyDescent="0.25">
      <c r="B939" s="1">
        <v>42919</v>
      </c>
      <c r="C939" s="13">
        <v>35.875</v>
      </c>
      <c r="D939" s="6">
        <f t="shared" si="98"/>
        <v>-3.6106096375504437E-3</v>
      </c>
      <c r="E939" s="14">
        <f t="shared" si="99"/>
        <v>1.1849694158695487E-4</v>
      </c>
      <c r="F939" s="9">
        <f t="shared" si="100"/>
        <v>18.09320662453953</v>
      </c>
      <c r="G939" s="9">
        <f t="shared" si="101"/>
        <v>-2.6409559460083682E-2</v>
      </c>
      <c r="H939" s="9">
        <f t="shared" si="102"/>
        <v>1.1719159215156773E-3</v>
      </c>
      <c r="I939" s="9">
        <f t="shared" si="103"/>
        <v>-2.4078291665869107E-3</v>
      </c>
      <c r="J939" s="9">
        <f t="shared" si="104"/>
        <v>18.065561151834373</v>
      </c>
    </row>
    <row r="940" spans="2:10" x14ac:dyDescent="0.25">
      <c r="B940" s="1">
        <v>42916</v>
      </c>
      <c r="C940" s="13">
        <v>36.005000000000003</v>
      </c>
      <c r="D940" s="6">
        <f t="shared" si="98"/>
        <v>2.366369710467664E-3</v>
      </c>
      <c r="E940" s="14">
        <f t="shared" si="99"/>
        <v>1.1873410858352796E-4</v>
      </c>
      <c r="F940" s="9">
        <f t="shared" si="100"/>
        <v>18.091207163883638</v>
      </c>
      <c r="G940" s="9">
        <f t="shared" si="101"/>
        <v>-0.11587823544970223</v>
      </c>
      <c r="H940" s="9">
        <f t="shared" si="102"/>
        <v>-3.3864261206203879E-3</v>
      </c>
      <c r="I940" s="9">
        <f t="shared" si="103"/>
        <v>-5.5122233208958751E-3</v>
      </c>
      <c r="J940" s="9">
        <f t="shared" si="104"/>
        <v>17.966430278992419</v>
      </c>
    </row>
    <row r="941" spans="2:10" x14ac:dyDescent="0.25">
      <c r="B941" s="1">
        <v>42915</v>
      </c>
      <c r="C941" s="13">
        <v>35.92</v>
      </c>
      <c r="D941" s="6">
        <f t="shared" si="98"/>
        <v>-1.4756706347029414E-2</v>
      </c>
      <c r="E941" s="14">
        <f t="shared" si="99"/>
        <v>1.1946710636907342E-4</v>
      </c>
      <c r="F941" s="9">
        <f t="shared" si="100"/>
        <v>18.085052702418267</v>
      </c>
      <c r="G941" s="9">
        <f t="shared" si="101"/>
        <v>-2.2925476611603537E-3</v>
      </c>
      <c r="H941" s="9">
        <f t="shared" si="102"/>
        <v>7.0165413366982631E-4</v>
      </c>
      <c r="I941" s="9">
        <f t="shared" si="103"/>
        <v>-1.3808854757575347E-2</v>
      </c>
      <c r="J941" s="9">
        <f t="shared" si="104"/>
        <v>18.069652954133204</v>
      </c>
    </row>
    <row r="942" spans="2:10" x14ac:dyDescent="0.25">
      <c r="B942" s="1">
        <v>42914</v>
      </c>
      <c r="C942" s="13">
        <v>36.457999999999998</v>
      </c>
      <c r="D942" s="6">
        <f t="shared" si="98"/>
        <v>1.4610525144018061E-2</v>
      </c>
      <c r="E942" s="14">
        <f t="shared" si="99"/>
        <v>1.17251299537877E-4</v>
      </c>
      <c r="F942" s="9">
        <f t="shared" si="100"/>
        <v>18.103774284645198</v>
      </c>
      <c r="G942" s="9">
        <f t="shared" si="101"/>
        <v>-1.1480965445687872</v>
      </c>
      <c r="H942" s="9">
        <f t="shared" si="102"/>
        <v>1.4618412531557804E-2</v>
      </c>
      <c r="I942" s="9">
        <f t="shared" si="103"/>
        <v>-2.0392939305096336E-2</v>
      </c>
      <c r="J942" s="9">
        <f t="shared" si="104"/>
        <v>16.949903213302871</v>
      </c>
    </row>
    <row r="943" spans="2:10" x14ac:dyDescent="0.25">
      <c r="B943" s="1">
        <v>42913</v>
      </c>
      <c r="C943" s="13">
        <v>35.933</v>
      </c>
      <c r="D943" s="6">
        <f t="shared" si="98"/>
        <v>-1.4319023453572832E-2</v>
      </c>
      <c r="E943" s="14">
        <f t="shared" si="99"/>
        <v>1.1597773926539958E-4</v>
      </c>
      <c r="F943" s="9">
        <f t="shared" si="100"/>
        <v>18.114695505582695</v>
      </c>
      <c r="G943" s="9">
        <f t="shared" si="101"/>
        <v>-0.72885400532048172</v>
      </c>
      <c r="H943" s="9">
        <f t="shared" si="102"/>
        <v>-3.9117631761223515E-3</v>
      </c>
      <c r="I943" s="9">
        <f t="shared" si="103"/>
        <v>-3.5168322206104788E-3</v>
      </c>
      <c r="J943" s="9">
        <f t="shared" si="104"/>
        <v>17.378412904865478</v>
      </c>
    </row>
    <row r="944" spans="2:10" x14ac:dyDescent="0.25">
      <c r="B944" s="1">
        <v>42912</v>
      </c>
      <c r="C944" s="13">
        <v>36.454999999999998</v>
      </c>
      <c r="D944" s="6">
        <f t="shared" si="98"/>
        <v>-3.1446540880503138E-3</v>
      </c>
      <c r="E944" s="14">
        <f t="shared" si="99"/>
        <v>1.1379613609104476E-4</v>
      </c>
      <c r="F944" s="9">
        <f t="shared" si="100"/>
        <v>18.133685207778822</v>
      </c>
      <c r="G944" s="9">
        <f t="shared" si="101"/>
        <v>-1.12059725094239</v>
      </c>
      <c r="H944" s="9">
        <f t="shared" si="102"/>
        <v>1.4305488726055441E-2</v>
      </c>
      <c r="I944" s="9">
        <f t="shared" si="103"/>
        <v>-1.9982296057198201E-2</v>
      </c>
      <c r="J944" s="9">
        <f t="shared" si="104"/>
        <v>17.007411149505291</v>
      </c>
    </row>
    <row r="945" spans="2:10" x14ac:dyDescent="0.25">
      <c r="B945" s="1">
        <v>42909</v>
      </c>
      <c r="C945" s="13">
        <v>36.57</v>
      </c>
      <c r="D945" s="6">
        <f t="shared" si="98"/>
        <v>4.4495715227421684E-3</v>
      </c>
      <c r="E945" s="14">
        <f t="shared" si="99"/>
        <v>1.1437349066333156E-4</v>
      </c>
      <c r="F945" s="9">
        <f t="shared" si="100"/>
        <v>18.128624448266422</v>
      </c>
      <c r="G945" s="9">
        <f t="shared" si="101"/>
        <v>-9.9845683231332291E-2</v>
      </c>
      <c r="H945" s="9">
        <f t="shared" si="102"/>
        <v>-4.2523180936385281E-3</v>
      </c>
      <c r="I945" s="9">
        <f t="shared" si="103"/>
        <v>-1.1420883030159099E-2</v>
      </c>
      <c r="J945" s="9">
        <f t="shared" si="104"/>
        <v>18.013105563911292</v>
      </c>
    </row>
    <row r="946" spans="2:10" x14ac:dyDescent="0.25">
      <c r="B946" s="1">
        <v>42908</v>
      </c>
      <c r="C946" s="13">
        <v>36.408000000000001</v>
      </c>
      <c r="D946" s="6">
        <f t="shared" si="98"/>
        <v>-1.6452780519908838E-3</v>
      </c>
      <c r="E946" s="14">
        <f t="shared" si="99"/>
        <v>1.143577475867975E-4</v>
      </c>
      <c r="F946" s="9">
        <f t="shared" si="100"/>
        <v>18.128762103941959</v>
      </c>
      <c r="G946" s="9">
        <f t="shared" si="101"/>
        <v>-3.4927720711446342E-2</v>
      </c>
      <c r="H946" s="9">
        <f t="shared" si="102"/>
        <v>1.4329240223468465E-3</v>
      </c>
      <c r="I946" s="9">
        <f t="shared" si="103"/>
        <v>-2.8698602585071516E-3</v>
      </c>
      <c r="J946" s="9">
        <f t="shared" si="104"/>
        <v>18.092397446994351</v>
      </c>
    </row>
    <row r="947" spans="2:10" x14ac:dyDescent="0.25">
      <c r="B947" s="1">
        <v>42907</v>
      </c>
      <c r="C947" s="13">
        <v>36.468000000000004</v>
      </c>
      <c r="D947" s="6">
        <f t="shared" si="98"/>
        <v>5.9305436791439181E-3</v>
      </c>
      <c r="E947" s="14">
        <f t="shared" si="99"/>
        <v>1.1456846559606419E-4</v>
      </c>
      <c r="F947" s="9">
        <f t="shared" si="100"/>
        <v>18.12692117829306</v>
      </c>
      <c r="G947" s="9">
        <f t="shared" si="101"/>
        <v>-4.687930410458966E-2</v>
      </c>
      <c r="H947" s="9">
        <f t="shared" si="102"/>
        <v>-2.136872132997797E-3</v>
      </c>
      <c r="I947" s="9">
        <f t="shared" si="103"/>
        <v>-5.4502636686857798E-3</v>
      </c>
      <c r="J947" s="9">
        <f t="shared" si="104"/>
        <v>18.072454738386789</v>
      </c>
    </row>
    <row r="948" spans="2:10" x14ac:dyDescent="0.25">
      <c r="B948" s="1">
        <v>42906</v>
      </c>
      <c r="C948" s="13">
        <v>36.253</v>
      </c>
      <c r="D948" s="6">
        <f t="shared" si="98"/>
        <v>-9.0747574142407972E-3</v>
      </c>
      <c r="E948" s="14">
        <f t="shared" si="99"/>
        <v>1.1459842246466743E-4</v>
      </c>
      <c r="F948" s="9">
        <f t="shared" si="100"/>
        <v>18.126659736781786</v>
      </c>
      <c r="G948" s="9">
        <f t="shared" si="101"/>
        <v>-8.1032019091748925E-2</v>
      </c>
      <c r="H948" s="9">
        <f t="shared" si="102"/>
        <v>2.3071564085106093E-3</v>
      </c>
      <c r="I948" s="9">
        <f t="shared" si="103"/>
        <v>-3.3157098326133095E-3</v>
      </c>
      <c r="J948" s="9">
        <f t="shared" si="104"/>
        <v>18.044619164265935</v>
      </c>
    </row>
    <row r="949" spans="2:10" x14ac:dyDescent="0.25">
      <c r="B949" s="1">
        <v>42905</v>
      </c>
      <c r="C949" s="13">
        <v>36.585000000000001</v>
      </c>
      <c r="D949" s="6">
        <f t="shared" si="98"/>
        <v>2.859311740890691E-2</v>
      </c>
      <c r="E949" s="14">
        <f t="shared" si="99"/>
        <v>1.1359262618411109E-4</v>
      </c>
      <c r="F949" s="9">
        <f t="shared" si="100"/>
        <v>18.135475181559713</v>
      </c>
      <c r="G949" s="9">
        <f t="shared" si="101"/>
        <v>-0.50564026025533759</v>
      </c>
      <c r="H949" s="9">
        <f t="shared" si="102"/>
        <v>1.426820212440815E-3</v>
      </c>
      <c r="I949" s="9">
        <f t="shared" si="103"/>
        <v>-1.2545081417309014E-3</v>
      </c>
      <c r="J949" s="9">
        <f t="shared" si="104"/>
        <v>17.630007233375085</v>
      </c>
    </row>
    <row r="950" spans="2:10" x14ac:dyDescent="0.25">
      <c r="B950" s="1">
        <v>42902</v>
      </c>
      <c r="C950" s="13">
        <v>35.567999999999998</v>
      </c>
      <c r="D950" s="6">
        <f t="shared" si="98"/>
        <v>-1.3999390125578715E-2</v>
      </c>
      <c r="E950" s="14">
        <f t="shared" si="99"/>
        <v>1.0819982089722084E-4</v>
      </c>
      <c r="F950" s="9">
        <f t="shared" si="100"/>
        <v>18.184114064271558</v>
      </c>
      <c r="G950" s="9">
        <f t="shared" si="101"/>
        <v>-3.3701741037419217</v>
      </c>
      <c r="H950" s="9">
        <f t="shared" si="102"/>
        <v>-8.4618571298169853E-2</v>
      </c>
      <c r="I950" s="9">
        <f t="shared" si="103"/>
        <v>-0.19433331307072954</v>
      </c>
      <c r="J950" s="9">
        <f t="shared" si="104"/>
        <v>14.534988076160737</v>
      </c>
    </row>
    <row r="951" spans="2:10" x14ac:dyDescent="0.25">
      <c r="B951" s="1">
        <v>42901</v>
      </c>
      <c r="C951" s="13">
        <v>36.073</v>
      </c>
      <c r="D951" s="6">
        <f t="shared" si="98"/>
        <v>-5.9796087076329218E-3</v>
      </c>
      <c r="E951" s="14">
        <f t="shared" si="99"/>
        <v>1.0614389800748686E-4</v>
      </c>
      <c r="F951" s="9">
        <f t="shared" si="100"/>
        <v>18.203298073512844</v>
      </c>
      <c r="G951" s="9">
        <f t="shared" si="101"/>
        <v>-1.1537054733854109</v>
      </c>
      <c r="H951" s="9">
        <f t="shared" si="102"/>
        <v>1.3661246064539282E-2</v>
      </c>
      <c r="I951" s="9">
        <f t="shared" si="103"/>
        <v>-1.7811426043297222E-2</v>
      </c>
      <c r="J951" s="9">
        <f t="shared" si="104"/>
        <v>17.045442420148675</v>
      </c>
    </row>
    <row r="952" spans="2:10" x14ac:dyDescent="0.25">
      <c r="B952" s="1">
        <v>42900</v>
      </c>
      <c r="C952" s="13">
        <v>36.29</v>
      </c>
      <c r="D952" s="6">
        <f t="shared" si="98"/>
        <v>-9.7686094739141138E-3</v>
      </c>
      <c r="E952" s="14">
        <f t="shared" si="99"/>
        <v>1.0564222149191833E-4</v>
      </c>
      <c r="F952" s="9">
        <f t="shared" si="100"/>
        <v>18.208035659291234</v>
      </c>
      <c r="G952" s="9">
        <f t="shared" si="101"/>
        <v>-0.27468676100515776</v>
      </c>
      <c r="H952" s="9">
        <f t="shared" si="102"/>
        <v>-1.5936235043981721E-3</v>
      </c>
      <c r="I952" s="9">
        <f t="shared" si="103"/>
        <v>-1.3559053113613618E-4</v>
      </c>
      <c r="J952" s="9">
        <f t="shared" si="104"/>
        <v>17.931619684250542</v>
      </c>
    </row>
    <row r="953" spans="2:10" x14ac:dyDescent="0.25">
      <c r="B953" s="1">
        <v>42899</v>
      </c>
      <c r="C953" s="13">
        <v>36.648000000000003</v>
      </c>
      <c r="D953" s="6">
        <f t="shared" si="98"/>
        <v>8.0594141108514261E-3</v>
      </c>
      <c r="E953" s="14">
        <f t="shared" si="99"/>
        <v>1.0462512296751297E-4</v>
      </c>
      <c r="F953" s="9">
        <f t="shared" si="100"/>
        <v>18.217710071263184</v>
      </c>
      <c r="G953" s="9">
        <f t="shared" si="101"/>
        <v>-0.62247081218457168</v>
      </c>
      <c r="H953" s="9">
        <f t="shared" si="102"/>
        <v>1.7405759729744777E-3</v>
      </c>
      <c r="I953" s="9">
        <f t="shared" si="103"/>
        <v>-1.3376276270993823E-3</v>
      </c>
      <c r="J953" s="9">
        <f t="shared" si="104"/>
        <v>17.59564220742449</v>
      </c>
    </row>
    <row r="954" spans="2:10" x14ac:dyDescent="0.25">
      <c r="B954" s="1">
        <v>42898</v>
      </c>
      <c r="C954" s="13">
        <v>36.354999999999997</v>
      </c>
      <c r="D954" s="6">
        <f t="shared" si="98"/>
        <v>-2.3895824942945398E-2</v>
      </c>
      <c r="E954" s="14">
        <f t="shared" si="99"/>
        <v>1.0431880652085914E-4</v>
      </c>
      <c r="F954" s="9">
        <f t="shared" si="100"/>
        <v>18.220642117835212</v>
      </c>
      <c r="G954" s="9">
        <f t="shared" si="101"/>
        <v>-0.19888020209020685</v>
      </c>
      <c r="H954" s="9">
        <f t="shared" si="102"/>
        <v>2.2552560538885492E-3</v>
      </c>
      <c r="I954" s="9">
        <f t="shared" si="103"/>
        <v>-9.1859266601473401E-4</v>
      </c>
      <c r="J954" s="9">
        <f t="shared" si="104"/>
        <v>18.023098579132878</v>
      </c>
    </row>
    <row r="955" spans="2:10" x14ac:dyDescent="0.25">
      <c r="B955" s="1">
        <v>42895</v>
      </c>
      <c r="C955" s="13">
        <v>37.244999999999997</v>
      </c>
      <c r="D955" s="6">
        <f t="shared" si="98"/>
        <v>-3.878909879219572E-2</v>
      </c>
      <c r="E955" s="14">
        <f t="shared" si="99"/>
        <v>9.8802776418166827E-5</v>
      </c>
      <c r="F955" s="9">
        <f t="shared" si="100"/>
        <v>18.274968069631427</v>
      </c>
      <c r="G955" s="9">
        <f t="shared" si="101"/>
        <v>-3.3063854214545878</v>
      </c>
      <c r="H955" s="9">
        <f t="shared" si="102"/>
        <v>9.0062898958670118E-2</v>
      </c>
      <c r="I955" s="9">
        <f t="shared" si="103"/>
        <v>-0.22253105783672733</v>
      </c>
      <c r="J955" s="9">
        <f t="shared" si="104"/>
        <v>14.836114489298783</v>
      </c>
    </row>
    <row r="956" spans="2:10" x14ac:dyDescent="0.25">
      <c r="B956" s="1">
        <v>42894</v>
      </c>
      <c r="C956" s="13">
        <v>38.747999999999998</v>
      </c>
      <c r="D956" s="6">
        <f t="shared" si="98"/>
        <v>-2.4457431197385526E-3</v>
      </c>
      <c r="E956" s="14">
        <f t="shared" si="99"/>
        <v>8.4753762987752385E-5</v>
      </c>
      <c r="F956" s="9">
        <f t="shared" si="100"/>
        <v>18.428343629078572</v>
      </c>
      <c r="G956" s="9">
        <f t="shared" si="101"/>
        <v>-9.6651936465406543</v>
      </c>
      <c r="H956" s="9">
        <f t="shared" si="102"/>
        <v>0.4671376723627117</v>
      </c>
      <c r="I956" s="9">
        <f t="shared" si="103"/>
        <v>-1.953768782583434</v>
      </c>
      <c r="J956" s="9">
        <f t="shared" si="104"/>
        <v>7.2765188723171965</v>
      </c>
    </row>
    <row r="957" spans="2:10" x14ac:dyDescent="0.25">
      <c r="B957" s="1">
        <v>42893</v>
      </c>
      <c r="C957" s="13">
        <v>38.843000000000004</v>
      </c>
      <c r="D957" s="6">
        <f t="shared" si="98"/>
        <v>5.9565431331418672E-3</v>
      </c>
      <c r="E957" s="14">
        <f t="shared" si="99"/>
        <v>8.6205706379005126E-5</v>
      </c>
      <c r="F957" s="9">
        <f t="shared" si="100"/>
        <v>18.411357400617888</v>
      </c>
      <c r="G957" s="9">
        <f t="shared" si="101"/>
        <v>-9.6508525664771666E-2</v>
      </c>
      <c r="H957" s="9">
        <f t="shared" si="102"/>
        <v>-7.8709995152906921E-3</v>
      </c>
      <c r="I957" s="9">
        <f t="shared" si="103"/>
        <v>-4.7723903743141477E-2</v>
      </c>
      <c r="J957" s="9">
        <f t="shared" si="104"/>
        <v>18.259253971694687</v>
      </c>
    </row>
    <row r="958" spans="2:10" x14ac:dyDescent="0.25">
      <c r="B958" s="1">
        <v>42892</v>
      </c>
      <c r="C958" s="13">
        <v>38.613</v>
      </c>
      <c r="D958" s="6">
        <f t="shared" si="98"/>
        <v>3.3781150118235015E-3</v>
      </c>
      <c r="E958" s="14">
        <f t="shared" si="99"/>
        <v>8.669028884734086E-5</v>
      </c>
      <c r="F958" s="9">
        <f t="shared" si="100"/>
        <v>18.405751906556993</v>
      </c>
      <c r="G958" s="9">
        <f t="shared" si="101"/>
        <v>-0.10841689954996692</v>
      </c>
      <c r="H958" s="9">
        <f t="shared" si="102"/>
        <v>4.7470705058315658E-3</v>
      </c>
      <c r="I958" s="9">
        <f t="shared" si="103"/>
        <v>-1.3901104185862618E-2</v>
      </c>
      <c r="J958" s="9">
        <f t="shared" si="104"/>
        <v>18.288180973326998</v>
      </c>
    </row>
    <row r="959" spans="2:10" x14ac:dyDescent="0.25">
      <c r="B959" s="1">
        <v>42891</v>
      </c>
      <c r="C959" s="13">
        <v>38.482999999999997</v>
      </c>
      <c r="D959" s="6">
        <f t="shared" si="98"/>
        <v>-9.7779378843630971E-3</v>
      </c>
      <c r="E959" s="14">
        <f t="shared" si="99"/>
        <v>8.825571407264032E-5</v>
      </c>
      <c r="F959" s="9">
        <f t="shared" si="100"/>
        <v>18.387855332973089</v>
      </c>
      <c r="G959" s="9">
        <f t="shared" si="101"/>
        <v>-1.7416735190770156E-2</v>
      </c>
      <c r="H959" s="9">
        <f t="shared" si="102"/>
        <v>3.4711202838835806E-3</v>
      </c>
      <c r="I959" s="9">
        <f t="shared" si="103"/>
        <v>-5.1605895835398562E-2</v>
      </c>
      <c r="J959" s="9">
        <f t="shared" si="104"/>
        <v>18.322303822230804</v>
      </c>
    </row>
    <row r="960" spans="2:10" x14ac:dyDescent="0.25">
      <c r="B960" s="1">
        <v>42888</v>
      </c>
      <c r="C960" s="13">
        <v>38.863</v>
      </c>
      <c r="D960" s="6">
        <f t="shared" si="98"/>
        <v>1.4832223527875721E-2</v>
      </c>
      <c r="E960" s="14">
        <f t="shared" si="99"/>
        <v>8.7362901072995388E-5</v>
      </c>
      <c r="F960" s="9">
        <f t="shared" si="100"/>
        <v>18.398023055690494</v>
      </c>
      <c r="G960" s="9">
        <f t="shared" si="101"/>
        <v>-0.74668708185694588</v>
      </c>
      <c r="H960" s="9">
        <f t="shared" si="102"/>
        <v>8.8644696938778623E-4</v>
      </c>
      <c r="I960" s="9">
        <f t="shared" si="103"/>
        <v>-5.9081362517196913E-4</v>
      </c>
      <c r="J960" s="9">
        <f t="shared" si="104"/>
        <v>17.651631607177762</v>
      </c>
    </row>
    <row r="961" spans="2:10" x14ac:dyDescent="0.25">
      <c r="B961" s="1">
        <v>42887</v>
      </c>
      <c r="C961" s="13">
        <v>38.295000000000002</v>
      </c>
      <c r="D961" s="6">
        <f t="shared" si="98"/>
        <v>2.749410840534372E-3</v>
      </c>
      <c r="E961" s="14">
        <f t="shared" si="99"/>
        <v>8.6567994187185159E-5</v>
      </c>
      <c r="F961" s="9">
        <f t="shared" si="100"/>
        <v>18.407163610266899</v>
      </c>
      <c r="G961" s="9">
        <f t="shared" si="101"/>
        <v>-1.0101002715093879</v>
      </c>
      <c r="H961" s="9">
        <f t="shared" si="102"/>
        <v>6.8545606992815008E-5</v>
      </c>
      <c r="I961" s="9">
        <f t="shared" si="103"/>
        <v>-2.0073594829699007E-4</v>
      </c>
      <c r="J961" s="9">
        <f t="shared" si="104"/>
        <v>17.396931148416208</v>
      </c>
    </row>
    <row r="962" spans="2:10" x14ac:dyDescent="0.25">
      <c r="B962" s="1">
        <v>42886</v>
      </c>
      <c r="C962" s="13">
        <v>38.19</v>
      </c>
      <c r="D962" s="6">
        <f t="shared" si="98"/>
        <v>-5.9347181008903016E-3</v>
      </c>
      <c r="E962" s="14">
        <f t="shared" si="99"/>
        <v>8.6767374782324917E-5</v>
      </c>
      <c r="F962" s="9">
        <f t="shared" si="100"/>
        <v>18.404863090941177</v>
      </c>
      <c r="G962" s="9">
        <f t="shared" si="101"/>
        <v>-7.2766343130433436E-3</v>
      </c>
      <c r="H962" s="9">
        <f t="shared" si="102"/>
        <v>9.5656228322067651E-4</v>
      </c>
      <c r="I962" s="9">
        <f t="shared" si="103"/>
        <v>-7.8161561993958534E-3</v>
      </c>
      <c r="J962" s="9">
        <f t="shared" si="104"/>
        <v>18.390726862711958</v>
      </c>
    </row>
    <row r="963" spans="2:10" x14ac:dyDescent="0.25">
      <c r="B963" s="1">
        <v>42885</v>
      </c>
      <c r="C963" s="13">
        <v>38.417999999999999</v>
      </c>
      <c r="D963" s="6">
        <f t="shared" si="98"/>
        <v>3.905944848059395E-4</v>
      </c>
      <c r="E963" s="14">
        <f t="shared" si="99"/>
        <v>8.6960402889704625E-5</v>
      </c>
      <c r="F963" s="9">
        <f t="shared" si="100"/>
        <v>18.402640899540359</v>
      </c>
      <c r="G963" s="9">
        <f t="shared" si="101"/>
        <v>-0.32977122700931277</v>
      </c>
      <c r="H963" s="9">
        <f t="shared" si="102"/>
        <v>-6.3915350830111416E-3</v>
      </c>
      <c r="I963" s="9">
        <f t="shared" si="103"/>
        <v>-7.6778225133610628E-3</v>
      </c>
      <c r="J963" s="9">
        <f t="shared" si="104"/>
        <v>18.058800314934672</v>
      </c>
    </row>
    <row r="964" spans="2:10" x14ac:dyDescent="0.25">
      <c r="B964" s="1">
        <v>42881</v>
      </c>
      <c r="C964" s="13">
        <v>38.402999999999999</v>
      </c>
      <c r="D964" s="6">
        <f t="shared" si="98"/>
        <v>-1.6897161276906436E-3</v>
      </c>
      <c r="E964" s="14">
        <f t="shared" si="99"/>
        <v>8.6917463186002446E-5</v>
      </c>
      <c r="F964" s="9">
        <f t="shared" si="100"/>
        <v>18.403134806045472</v>
      </c>
      <c r="G964" s="9">
        <f t="shared" si="101"/>
        <v>-8.8249672686841786E-3</v>
      </c>
      <c r="H964" s="9">
        <f t="shared" si="102"/>
        <v>-7.9756397611373156E-4</v>
      </c>
      <c r="I964" s="9">
        <f t="shared" si="103"/>
        <v>-4.0100551262751182E-3</v>
      </c>
      <c r="J964" s="9">
        <f t="shared" si="104"/>
        <v>18.389502219674398</v>
      </c>
    </row>
    <row r="965" spans="2:10" x14ac:dyDescent="0.25">
      <c r="B965" s="1">
        <v>42880</v>
      </c>
      <c r="C965" s="13">
        <v>38.468000000000004</v>
      </c>
      <c r="D965" s="6">
        <f t="shared" si="98"/>
        <v>3.4694143732882932E-3</v>
      </c>
      <c r="E965" s="14">
        <f t="shared" si="99"/>
        <v>8.7971533489894339E-5</v>
      </c>
      <c r="F965" s="9">
        <f t="shared" si="100"/>
        <v>18.391080496311972</v>
      </c>
      <c r="G965" s="9">
        <f t="shared" si="101"/>
        <v>-6.2721878412920193E-2</v>
      </c>
      <c r="H965" s="9">
        <f t="shared" si="102"/>
        <v>-5.1720526580007397E-3</v>
      </c>
      <c r="I965" s="9">
        <f t="shared" si="103"/>
        <v>-3.0688961745405918E-2</v>
      </c>
      <c r="J965" s="9">
        <f t="shared" si="104"/>
        <v>18.292497603495647</v>
      </c>
    </row>
    <row r="966" spans="2:10" x14ac:dyDescent="0.25">
      <c r="B966" s="1">
        <v>42879</v>
      </c>
      <c r="C966" s="13">
        <v>38.335000000000001</v>
      </c>
      <c r="D966" s="6">
        <f t="shared" si="98"/>
        <v>-2.9908972691807811E-3</v>
      </c>
      <c r="E966" s="14">
        <f t="shared" si="99"/>
        <v>8.9006008560621323E-5</v>
      </c>
      <c r="F966" s="9">
        <f t="shared" si="100"/>
        <v>18.379389896018452</v>
      </c>
      <c r="G966" s="9">
        <f t="shared" si="101"/>
        <v>-1.9118072988719974E-2</v>
      </c>
      <c r="H966" s="9">
        <f t="shared" si="102"/>
        <v>2.8088268197745737E-3</v>
      </c>
      <c r="I966" s="9">
        <f t="shared" si="103"/>
        <v>-2.9580883801065917E-2</v>
      </c>
      <c r="J966" s="9">
        <f t="shared" si="104"/>
        <v>18.333499766048437</v>
      </c>
    </row>
    <row r="967" spans="2:10" x14ac:dyDescent="0.25">
      <c r="B967" s="1">
        <v>42878</v>
      </c>
      <c r="C967" s="13">
        <v>38.450000000000003</v>
      </c>
      <c r="D967" s="6">
        <f t="shared" si="98"/>
        <v>-1.246818016520157E-3</v>
      </c>
      <c r="E967" s="14">
        <f t="shared" si="99"/>
        <v>8.8850723199512948E-5</v>
      </c>
      <c r="F967" s="9">
        <f t="shared" si="100"/>
        <v>18.381136081265751</v>
      </c>
      <c r="G967" s="9">
        <f t="shared" si="101"/>
        <v>-0.12037781188393483</v>
      </c>
      <c r="H967" s="9">
        <f t="shared" si="102"/>
        <v>-2.4816500525848837E-3</v>
      </c>
      <c r="I967" s="9">
        <f t="shared" si="103"/>
        <v>-2.5857756545314367E-3</v>
      </c>
      <c r="J967" s="9">
        <f t="shared" si="104"/>
        <v>18.255690843674703</v>
      </c>
    </row>
    <row r="968" spans="2:10" x14ac:dyDescent="0.25">
      <c r="B968" s="1">
        <v>42877</v>
      </c>
      <c r="C968" s="13">
        <v>38.497999999999998</v>
      </c>
      <c r="D968" s="6">
        <f t="shared" si="98"/>
        <v>6.0891153795896713E-3</v>
      </c>
      <c r="E968" s="14">
        <f t="shared" si="99"/>
        <v>8.8902453385919381E-5</v>
      </c>
      <c r="F968" s="9">
        <f t="shared" si="100"/>
        <v>18.380554036107846</v>
      </c>
      <c r="G968" s="9">
        <f t="shared" si="101"/>
        <v>-4.659759152628741E-2</v>
      </c>
      <c r="H968" s="9">
        <f t="shared" si="102"/>
        <v>-2.0384321275076812E-3</v>
      </c>
      <c r="I968" s="9">
        <f t="shared" si="103"/>
        <v>-5.1738829134497285E-3</v>
      </c>
      <c r="J968" s="9">
        <f t="shared" si="104"/>
        <v>18.326744129540604</v>
      </c>
    </row>
    <row r="969" spans="2:10" x14ac:dyDescent="0.25">
      <c r="B969" s="1">
        <v>42874</v>
      </c>
      <c r="C969" s="13">
        <v>38.265000000000001</v>
      </c>
      <c r="D969" s="6">
        <f t="shared" si="98"/>
        <v>3.4089419168743529E-3</v>
      </c>
      <c r="E969" s="14">
        <f t="shared" si="99"/>
        <v>8.8851966561281391E-5</v>
      </c>
      <c r="F969" s="9">
        <f t="shared" si="100"/>
        <v>18.381122087535324</v>
      </c>
      <c r="G969" s="9">
        <f t="shared" si="101"/>
        <v>-0.11235694408129658</v>
      </c>
      <c r="H969" s="9">
        <f t="shared" si="102"/>
        <v>2.7866563501585144E-3</v>
      </c>
      <c r="I969" s="9">
        <f t="shared" si="103"/>
        <v>-3.7866697699950893E-3</v>
      </c>
      <c r="J969" s="9">
        <f t="shared" si="104"/>
        <v>18.267765130034192</v>
      </c>
    </row>
    <row r="970" spans="2:10" x14ac:dyDescent="0.25">
      <c r="B970" s="1">
        <v>42873</v>
      </c>
      <c r="C970" s="13">
        <v>38.134999999999998</v>
      </c>
      <c r="D970" s="6">
        <f t="shared" si="98"/>
        <v>1.5227750712136778E-2</v>
      </c>
      <c r="E970" s="14">
        <f t="shared" si="99"/>
        <v>8.9345169704386102E-5</v>
      </c>
      <c r="F970" s="9">
        <f t="shared" si="100"/>
        <v>18.375586595632136</v>
      </c>
      <c r="G970" s="9">
        <f t="shared" si="101"/>
        <v>-1.7815550357017325E-2</v>
      </c>
      <c r="H970" s="9">
        <f t="shared" si="102"/>
        <v>1.9082226327206838E-3</v>
      </c>
      <c r="I970" s="9">
        <f t="shared" si="103"/>
        <v>-1.358808336629827E-2</v>
      </c>
      <c r="J970" s="9">
        <f t="shared" si="104"/>
        <v>18.346091184541542</v>
      </c>
    </row>
    <row r="971" spans="2:10" x14ac:dyDescent="0.25">
      <c r="B971" s="1">
        <v>42872</v>
      </c>
      <c r="C971" s="13">
        <v>37.563000000000002</v>
      </c>
      <c r="D971" s="6">
        <f t="shared" si="98"/>
        <v>-3.3575177523927136E-2</v>
      </c>
      <c r="E971" s="14">
        <f t="shared" si="99"/>
        <v>8.803829524767261E-5</v>
      </c>
      <c r="F971" s="9">
        <f t="shared" si="100"/>
        <v>18.390321882302075</v>
      </c>
      <c r="G971" s="9">
        <f t="shared" si="101"/>
        <v>-1.0536227333846635</v>
      </c>
      <c r="H971" s="9">
        <f t="shared" si="102"/>
        <v>-5.778710512712888E-3</v>
      </c>
      <c r="I971" s="9">
        <f t="shared" si="103"/>
        <v>-4.4546103127525091E-3</v>
      </c>
      <c r="J971" s="9">
        <f t="shared" si="104"/>
        <v>17.326465828091948</v>
      </c>
    </row>
    <row r="972" spans="2:10" x14ac:dyDescent="0.25">
      <c r="B972" s="1">
        <v>42871</v>
      </c>
      <c r="C972" s="13">
        <v>38.868000000000002</v>
      </c>
      <c r="D972" s="6">
        <f t="shared" si="98"/>
        <v>-1.4643545279382497E-3</v>
      </c>
      <c r="E972" s="14">
        <f t="shared" si="99"/>
        <v>7.8376491393788991E-5</v>
      </c>
      <c r="F972" s="9">
        <f t="shared" si="100"/>
        <v>18.506569747668959</v>
      </c>
      <c r="G972" s="9">
        <f t="shared" si="101"/>
        <v>-7.9289397587225698</v>
      </c>
      <c r="H972" s="9">
        <f t="shared" si="102"/>
        <v>0.29427703929195964</v>
      </c>
      <c r="I972" s="9">
        <f t="shared" si="103"/>
        <v>-0.95272056093189972</v>
      </c>
      <c r="J972" s="9">
        <f t="shared" si="104"/>
        <v>9.9191864673064476</v>
      </c>
    </row>
    <row r="973" spans="2:10" x14ac:dyDescent="0.25">
      <c r="B973" s="1">
        <v>42870</v>
      </c>
      <c r="C973" s="13">
        <v>38.924999999999997</v>
      </c>
      <c r="D973" s="6">
        <f t="shared" si="98"/>
        <v>-2.5624599615631238E-3</v>
      </c>
      <c r="E973" s="14">
        <f t="shared" si="99"/>
        <v>7.8248114958948557E-5</v>
      </c>
      <c r="F973" s="9">
        <f t="shared" si="100"/>
        <v>18.508209036240252</v>
      </c>
      <c r="G973" s="9">
        <f t="shared" si="101"/>
        <v>-6.1259721347723464E-2</v>
      </c>
      <c r="H973" s="9">
        <f t="shared" si="102"/>
        <v>-1.9650800212339409E-3</v>
      </c>
      <c r="I973" s="9">
        <f t="shared" si="103"/>
        <v>-3.4829037965523331E-3</v>
      </c>
      <c r="J973" s="9">
        <f t="shared" si="104"/>
        <v>18.441501331074743</v>
      </c>
    </row>
    <row r="974" spans="2:10" x14ac:dyDescent="0.25">
      <c r="B974" s="1">
        <v>42867</v>
      </c>
      <c r="C974" s="13">
        <v>39.024999999999999</v>
      </c>
      <c r="D974" s="6">
        <f t="shared" si="98"/>
        <v>1.3952400748285188E-2</v>
      </c>
      <c r="E974" s="14">
        <f t="shared" si="99"/>
        <v>7.8087255232084978E-5</v>
      </c>
      <c r="F974" s="9">
        <f t="shared" si="100"/>
        <v>18.510266917107973</v>
      </c>
      <c r="G974" s="9">
        <f t="shared" si="101"/>
        <v>-0.11273571332429216</v>
      </c>
      <c r="H974" s="9">
        <f t="shared" si="102"/>
        <v>-2.5396443722812694E-3</v>
      </c>
      <c r="I974" s="9">
        <f t="shared" si="103"/>
        <v>-3.0883233769796571E-3</v>
      </c>
      <c r="J974" s="9">
        <f t="shared" si="104"/>
        <v>18.391903236034423</v>
      </c>
    </row>
    <row r="975" spans="2:10" x14ac:dyDescent="0.25">
      <c r="B975" s="1">
        <v>42866</v>
      </c>
      <c r="C975" s="13">
        <v>38.488</v>
      </c>
      <c r="D975" s="6">
        <f t="shared" si="98"/>
        <v>4.5152029231372293E-3</v>
      </c>
      <c r="E975" s="14">
        <f t="shared" si="99"/>
        <v>8.1845212175713319E-5</v>
      </c>
      <c r="F975" s="9">
        <f t="shared" si="100"/>
        <v>18.463263968386919</v>
      </c>
      <c r="G975" s="9">
        <f t="shared" si="101"/>
        <v>-0.93075956865761378</v>
      </c>
      <c r="H975" s="9">
        <f t="shared" si="102"/>
        <v>5.0763776611965863E-2</v>
      </c>
      <c r="I975" s="9">
        <f t="shared" si="103"/>
        <v>-0.2208656461439564</v>
      </c>
      <c r="J975" s="9">
        <f t="shared" si="104"/>
        <v>17.362402530197315</v>
      </c>
    </row>
    <row r="976" spans="2:10" x14ac:dyDescent="0.25">
      <c r="B976" s="1">
        <v>42865</v>
      </c>
      <c r="C976" s="13">
        <v>38.314999999999998</v>
      </c>
      <c r="D976" s="6">
        <f t="shared" ref="D976:D1039" si="105">C976/C977-1</f>
        <v>-4.7534936879838341E-3</v>
      </c>
      <c r="E976" s="14">
        <f t="shared" ref="E976:E1039" si="106">_xlfn.VAR.S(D976:D1096)</f>
        <v>8.268907947835461E-5</v>
      </c>
      <c r="F976" s="9">
        <f t="shared" si="100"/>
        <v>18.45300623191708</v>
      </c>
      <c r="G976" s="9">
        <f t="shared" si="101"/>
        <v>-5.0577297035105093E-2</v>
      </c>
      <c r="H976" s="9">
        <f t="shared" si="102"/>
        <v>4.2476452684872858E-3</v>
      </c>
      <c r="I976" s="9">
        <f t="shared" si="103"/>
        <v>-2.5407515794686274E-2</v>
      </c>
      <c r="J976" s="9">
        <f t="shared" si="104"/>
        <v>18.381269064355777</v>
      </c>
    </row>
    <row r="977" spans="2:10" x14ac:dyDescent="0.25">
      <c r="B977" s="1">
        <v>42864</v>
      </c>
      <c r="C977" s="13">
        <v>38.497999999999998</v>
      </c>
      <c r="D977" s="6">
        <f t="shared" si="105"/>
        <v>6.4047264266853254E-3</v>
      </c>
      <c r="E977" s="14">
        <f t="shared" si="106"/>
        <v>8.8771441491669091E-5</v>
      </c>
      <c r="F977" s="9">
        <f t="shared" ref="F977:F1040" si="107">LN(2*PI())-LN($C$6)-LN(E977)-0.5*LN(1-POWER($C$7,2))</f>
        <v>18.382028781940207</v>
      </c>
      <c r="G977" s="9">
        <f t="shared" ref="G977:G1040" si="108">-POWER(D976-1-$C$3,2)/(2*E977*(1-POWER($C$7,2)))</f>
        <v>-0.23000434971776662</v>
      </c>
      <c r="H977" s="9">
        <f t="shared" ref="H977:H1040" si="109">$C$7*(D976-1-$C$3)*(E976-E977-$C$5*$C$4)/(E977*$C$6*(1-POWER($C$7,2)))</f>
        <v>-3.6584643509487737E-2</v>
      </c>
      <c r="I977" s="9">
        <f t="shared" ref="I977:I1040" si="110">-POWER(E976-E977-$C$5*$C$4+$C$4*E977,2)/(2*POWER($C$6,2)*E977*(1-POWER($C$7,2)))</f>
        <v>-0.47225429315726469</v>
      </c>
      <c r="J977" s="9">
        <f t="shared" ref="J977:J1040" si="111">SUM(F977:I977)</f>
        <v>17.643185495555688</v>
      </c>
    </row>
    <row r="978" spans="2:10" x14ac:dyDescent="0.25">
      <c r="B978" s="1">
        <v>42863</v>
      </c>
      <c r="C978" s="13">
        <v>38.253</v>
      </c>
      <c r="D978" s="6">
        <f t="shared" si="105"/>
        <v>2.7201933404940926E-2</v>
      </c>
      <c r="E978" s="14">
        <f t="shared" si="106"/>
        <v>8.874630924978105E-5</v>
      </c>
      <c r="F978" s="9">
        <f t="shared" si="107"/>
        <v>18.382311933816013</v>
      </c>
      <c r="G978" s="9">
        <f t="shared" si="108"/>
        <v>-0.12896804390391969</v>
      </c>
      <c r="H978" s="9">
        <f t="shared" si="109"/>
        <v>3.0882508352496922E-3</v>
      </c>
      <c r="I978" s="9">
        <f t="shared" si="110"/>
        <v>-4.1187182639789918E-3</v>
      </c>
      <c r="J978" s="9">
        <f t="shared" si="111"/>
        <v>18.252313422483365</v>
      </c>
    </row>
    <row r="979" spans="2:10" x14ac:dyDescent="0.25">
      <c r="B979" s="1">
        <v>42860</v>
      </c>
      <c r="C979" s="13">
        <v>37.24</v>
      </c>
      <c r="D979" s="6">
        <f t="shared" si="105"/>
        <v>1.6569759506456005E-2</v>
      </c>
      <c r="E979" s="14">
        <f t="shared" si="106"/>
        <v>9.1534838807503065E-5</v>
      </c>
      <c r="F979" s="9">
        <f t="shared" si="107"/>
        <v>18.351374123580463</v>
      </c>
      <c r="G979" s="9">
        <f t="shared" si="108"/>
        <v>-3.5833070802406439</v>
      </c>
      <c r="H979" s="9">
        <f t="shared" si="109"/>
        <v>7.4157016308972951E-2</v>
      </c>
      <c r="I979" s="9">
        <f t="shared" si="110"/>
        <v>-0.1192961855411338</v>
      </c>
      <c r="J979" s="9">
        <f t="shared" si="111"/>
        <v>14.722927874107659</v>
      </c>
    </row>
    <row r="980" spans="2:10" x14ac:dyDescent="0.25">
      <c r="B980" s="1">
        <v>42859</v>
      </c>
      <c r="C980" s="13">
        <v>36.633000000000003</v>
      </c>
      <c r="D980" s="6">
        <f t="shared" si="105"/>
        <v>-3.5903712770297691E-3</v>
      </c>
      <c r="E980" s="14">
        <f t="shared" si="106"/>
        <v>9.000016892878141E-5</v>
      </c>
      <c r="F980" s="9">
        <f t="shared" si="107"/>
        <v>18.368282228073898</v>
      </c>
      <c r="G980" s="9">
        <f t="shared" si="108"/>
        <v>-1.2440885287556465</v>
      </c>
      <c r="H980" s="9">
        <f t="shared" si="109"/>
        <v>-9.007035596851877E-3</v>
      </c>
      <c r="I980" s="9">
        <f t="shared" si="110"/>
        <v>-7.9957910356850976E-3</v>
      </c>
      <c r="J980" s="9">
        <f t="shared" si="111"/>
        <v>17.107190872685713</v>
      </c>
    </row>
    <row r="981" spans="2:10" x14ac:dyDescent="0.25">
      <c r="B981" s="1">
        <v>42858</v>
      </c>
      <c r="C981" s="13">
        <v>36.765000000000001</v>
      </c>
      <c r="D981" s="6">
        <f t="shared" si="105"/>
        <v>-3.0641574922718462E-3</v>
      </c>
      <c r="E981" s="14">
        <f t="shared" si="106"/>
        <v>8.9805124890033345E-5</v>
      </c>
      <c r="F981" s="9">
        <f t="shared" si="107"/>
        <v>18.370451731664225</v>
      </c>
      <c r="G981" s="9">
        <f t="shared" si="108"/>
        <v>-0.15202454224113665</v>
      </c>
      <c r="H981" s="9">
        <f t="shared" si="109"/>
        <v>-2.6031777475379989E-3</v>
      </c>
      <c r="I981" s="9">
        <f t="shared" si="110"/>
        <v>-2.1517488391666166E-3</v>
      </c>
      <c r="J981" s="9">
        <f t="shared" si="111"/>
        <v>18.213672262836383</v>
      </c>
    </row>
    <row r="982" spans="2:10" x14ac:dyDescent="0.25">
      <c r="B982" s="1">
        <v>42857</v>
      </c>
      <c r="C982" s="13">
        <v>36.878</v>
      </c>
      <c r="D982" s="6">
        <f t="shared" si="105"/>
        <v>6.3583026333742243E-3</v>
      </c>
      <c r="E982" s="14">
        <f t="shared" si="106"/>
        <v>9.0739336871774467E-5</v>
      </c>
      <c r="F982" s="9">
        <f t="shared" si="107"/>
        <v>18.360102809183115</v>
      </c>
      <c r="G982" s="9">
        <f t="shared" si="108"/>
        <v>-0.12164164331514901</v>
      </c>
      <c r="H982" s="9">
        <f t="shared" si="109"/>
        <v>-6.6337597368224871E-3</v>
      </c>
      <c r="I982" s="9">
        <f t="shared" si="110"/>
        <v>-2.5578989025124503E-2</v>
      </c>
      <c r="J982" s="9">
        <f t="shared" si="111"/>
        <v>18.206248417106021</v>
      </c>
    </row>
    <row r="983" spans="2:10" x14ac:dyDescent="0.25">
      <c r="B983" s="1">
        <v>42856</v>
      </c>
      <c r="C983" s="13">
        <v>36.645000000000003</v>
      </c>
      <c r="D983" s="6">
        <f t="shared" si="105"/>
        <v>2.0382591262217309E-2</v>
      </c>
      <c r="E983" s="14">
        <f t="shared" si="106"/>
        <v>9.1722635412277442E-5</v>
      </c>
      <c r="F983" s="9">
        <f t="shared" si="107"/>
        <v>18.349324584577349</v>
      </c>
      <c r="G983" s="9">
        <f t="shared" si="108"/>
        <v>-0.12236977639352953</v>
      </c>
      <c r="H983" s="9">
        <f t="shared" si="109"/>
        <v>6.8050341940034875E-3</v>
      </c>
      <c r="I983" s="9">
        <f t="shared" si="110"/>
        <v>-2.6842798241457941E-2</v>
      </c>
      <c r="J983" s="9">
        <f t="shared" si="111"/>
        <v>18.206917044136365</v>
      </c>
    </row>
    <row r="984" spans="2:10" x14ac:dyDescent="0.25">
      <c r="B984" s="1">
        <v>42853</v>
      </c>
      <c r="C984" s="13">
        <v>35.912999999999997</v>
      </c>
      <c r="D984" s="6">
        <f t="shared" si="105"/>
        <v>-9.7362857460792096E-4</v>
      </c>
      <c r="E984" s="14">
        <f t="shared" si="106"/>
        <v>9.1709497213935171E-5</v>
      </c>
      <c r="F984" s="9">
        <f t="shared" si="107"/>
        <v>18.34946783318027</v>
      </c>
      <c r="G984" s="9">
        <f t="shared" si="108"/>
        <v>-1.9234651644318794</v>
      </c>
      <c r="H984" s="9">
        <f t="shared" si="109"/>
        <v>1.1913630959033458E-2</v>
      </c>
      <c r="I984" s="9">
        <f t="shared" si="110"/>
        <v>-4.076012651774449E-3</v>
      </c>
      <c r="J984" s="9">
        <f t="shared" si="111"/>
        <v>16.433840287055649</v>
      </c>
    </row>
    <row r="985" spans="2:10" x14ac:dyDescent="0.25">
      <c r="B985" s="1">
        <v>42852</v>
      </c>
      <c r="C985" s="13">
        <v>35.948</v>
      </c>
      <c r="D985" s="6">
        <f t="shared" si="105"/>
        <v>7.7951002227161226E-4</v>
      </c>
      <c r="E985" s="14">
        <f t="shared" si="106"/>
        <v>9.164152423808194E-5</v>
      </c>
      <c r="F985" s="9">
        <f t="shared" si="107"/>
        <v>18.350209285051427</v>
      </c>
      <c r="G985" s="9">
        <f t="shared" si="108"/>
        <v>-3.7019804346303108E-2</v>
      </c>
      <c r="H985" s="9">
        <f t="shared" si="109"/>
        <v>-1.5383293700344843E-3</v>
      </c>
      <c r="I985" s="9">
        <f t="shared" si="110"/>
        <v>-3.407413656655851E-3</v>
      </c>
      <c r="J985" s="9">
        <f t="shared" si="111"/>
        <v>18.308243737678431</v>
      </c>
    </row>
    <row r="986" spans="2:10" x14ac:dyDescent="0.25">
      <c r="B986" s="1">
        <v>42851</v>
      </c>
      <c r="C986" s="13">
        <v>35.92</v>
      </c>
      <c r="D986" s="6">
        <f t="shared" si="105"/>
        <v>-5.8948883292281318E-3</v>
      </c>
      <c r="E986" s="14">
        <f t="shared" si="106"/>
        <v>9.4997578926688379E-5</v>
      </c>
      <c r="F986" s="9">
        <f t="shared" si="107"/>
        <v>18.314242369095297</v>
      </c>
      <c r="G986" s="9">
        <f t="shared" si="108"/>
        <v>-3.7946112860214377E-3</v>
      </c>
      <c r="H986" s="9">
        <f t="shared" si="109"/>
        <v>-2.7433378074297296E-3</v>
      </c>
      <c r="I986" s="9">
        <f t="shared" si="110"/>
        <v>-0.15558293931194608</v>
      </c>
      <c r="J986" s="9">
        <f t="shared" si="111"/>
        <v>18.1521214806899</v>
      </c>
    </row>
    <row r="987" spans="2:10" x14ac:dyDescent="0.25">
      <c r="B987" s="1">
        <v>42850</v>
      </c>
      <c r="C987" s="13">
        <v>36.133000000000003</v>
      </c>
      <c r="D987" s="6">
        <f t="shared" si="105"/>
        <v>6.209969367864332E-3</v>
      </c>
      <c r="E987" s="14">
        <f t="shared" si="106"/>
        <v>9.4584279456263456E-5</v>
      </c>
      <c r="F987" s="9">
        <f t="shared" si="107"/>
        <v>18.318602492249575</v>
      </c>
      <c r="G987" s="9">
        <f t="shared" si="108"/>
        <v>-0.30000490336538504</v>
      </c>
      <c r="H987" s="9">
        <f t="shared" si="109"/>
        <v>-2.279823182766916E-3</v>
      </c>
      <c r="I987" s="9">
        <f t="shared" si="110"/>
        <v>-5.220541154067796E-4</v>
      </c>
      <c r="J987" s="9">
        <f t="shared" si="111"/>
        <v>18.015795711586016</v>
      </c>
    </row>
    <row r="988" spans="2:10" x14ac:dyDescent="0.25">
      <c r="B988" s="1">
        <v>42849</v>
      </c>
      <c r="C988" s="13">
        <v>35.909999999999997</v>
      </c>
      <c r="D988" s="6">
        <f t="shared" si="105"/>
        <v>9.6153846153845812E-3</v>
      </c>
      <c r="E988" s="14">
        <f t="shared" si="106"/>
        <v>9.5053488665450606E-5</v>
      </c>
      <c r="F988" s="9">
        <f t="shared" si="107"/>
        <v>18.313654003651379</v>
      </c>
      <c r="G988" s="9">
        <f t="shared" si="108"/>
        <v>-0.1107931754376273</v>
      </c>
      <c r="H988" s="9">
        <f t="shared" si="109"/>
        <v>4.5280388134135464E-3</v>
      </c>
      <c r="I988" s="9">
        <f t="shared" si="110"/>
        <v>-1.2037834472978725E-2</v>
      </c>
      <c r="J988" s="9">
        <f t="shared" si="111"/>
        <v>18.195351032554189</v>
      </c>
    </row>
    <row r="989" spans="2:10" x14ac:dyDescent="0.25">
      <c r="B989" s="1">
        <v>42846</v>
      </c>
      <c r="C989" s="13">
        <v>35.567999999999998</v>
      </c>
      <c r="D989" s="6">
        <f t="shared" si="105"/>
        <v>-1.1794439764111209E-3</v>
      </c>
      <c r="E989" s="14">
        <f t="shared" si="106"/>
        <v>9.5645446879807813E-5</v>
      </c>
      <c r="F989" s="9">
        <f t="shared" si="107"/>
        <v>18.307445682519475</v>
      </c>
      <c r="G989" s="9">
        <f t="shared" si="108"/>
        <v>-0.33455611910942523</v>
      </c>
      <c r="H989" s="9">
        <f t="shared" si="109"/>
        <v>8.6020767697427194E-3</v>
      </c>
      <c r="I989" s="9">
        <f t="shared" si="110"/>
        <v>-1.4724460122909665E-2</v>
      </c>
      <c r="J989" s="9">
        <f t="shared" si="111"/>
        <v>17.966767180056884</v>
      </c>
    </row>
    <row r="990" spans="2:10" x14ac:dyDescent="0.25">
      <c r="B990" s="1">
        <v>42845</v>
      </c>
      <c r="C990" s="13">
        <v>35.61</v>
      </c>
      <c r="D990" s="6">
        <f t="shared" si="105"/>
        <v>1.2510662496445724E-2</v>
      </c>
      <c r="E990" s="14">
        <f t="shared" si="106"/>
        <v>1.0044607843957967E-4</v>
      </c>
      <c r="F990" s="9">
        <f t="shared" si="107"/>
        <v>18.258472724814538</v>
      </c>
      <c r="G990" s="9">
        <f t="shared" si="108"/>
        <v>-3.9331543385423842E-2</v>
      </c>
      <c r="H990" s="9">
        <f t="shared" si="109"/>
        <v>-1.1574044317560754E-2</v>
      </c>
      <c r="I990" s="9">
        <f t="shared" si="110"/>
        <v>-0.27171793610805639</v>
      </c>
      <c r="J990" s="9">
        <f t="shared" si="111"/>
        <v>17.935849201003496</v>
      </c>
    </row>
    <row r="991" spans="2:10" x14ac:dyDescent="0.25">
      <c r="B991" s="1">
        <v>42844</v>
      </c>
      <c r="C991" s="13">
        <v>35.17</v>
      </c>
      <c r="D991" s="6">
        <f t="shared" si="105"/>
        <v>-3.6827195467420415E-3</v>
      </c>
      <c r="E991" s="14">
        <f t="shared" si="106"/>
        <v>9.9550924109521145E-5</v>
      </c>
      <c r="F991" s="9">
        <f t="shared" si="107"/>
        <v>18.267424462053626</v>
      </c>
      <c r="G991" s="9">
        <f t="shared" si="108"/>
        <v>-0.59666459775881386</v>
      </c>
      <c r="H991" s="9">
        <f t="shared" si="109"/>
        <v>-7.6124369514236261E-4</v>
      </c>
      <c r="I991" s="9">
        <f t="shared" si="110"/>
        <v>-6.2191711044938731E-4</v>
      </c>
      <c r="J991" s="9">
        <f t="shared" si="111"/>
        <v>17.66937670348922</v>
      </c>
    </row>
    <row r="992" spans="2:10" x14ac:dyDescent="0.25">
      <c r="B992" s="1">
        <v>42843</v>
      </c>
      <c r="C992" s="13">
        <v>35.299999999999997</v>
      </c>
      <c r="D992" s="6">
        <f t="shared" si="105"/>
        <v>-4.4559760843815299E-3</v>
      </c>
      <c r="E992" s="14">
        <f t="shared" si="106"/>
        <v>9.97817413465695E-5</v>
      </c>
      <c r="F992" s="9">
        <f t="shared" si="107"/>
        <v>18.265108561248468</v>
      </c>
      <c r="G992" s="9">
        <f t="shared" si="108"/>
        <v>-0.14171062598535339</v>
      </c>
      <c r="H992" s="9">
        <f t="shared" si="109"/>
        <v>-4.0601268740558423E-3</v>
      </c>
      <c r="I992" s="9">
        <f t="shared" si="110"/>
        <v>-6.9547472878961729E-3</v>
      </c>
      <c r="J992" s="9">
        <f t="shared" si="111"/>
        <v>18.112383061101163</v>
      </c>
    </row>
    <row r="993" spans="2:10" x14ac:dyDescent="0.25">
      <c r="B993" s="1">
        <v>42842</v>
      </c>
      <c r="C993" s="13">
        <v>35.457999999999998</v>
      </c>
      <c r="D993" s="6">
        <f t="shared" si="105"/>
        <v>5.5298755069053129E-3</v>
      </c>
      <c r="E993" s="14">
        <f t="shared" si="106"/>
        <v>9.9730620440484683E-5</v>
      </c>
      <c r="F993" s="9">
        <f t="shared" si="107"/>
        <v>18.265621019792341</v>
      </c>
      <c r="G993" s="9">
        <f t="shared" si="108"/>
        <v>-0.18608303213010771</v>
      </c>
      <c r="H993" s="9">
        <f t="shared" si="109"/>
        <v>-3.3821200723666779E-3</v>
      </c>
      <c r="I993" s="9">
        <f t="shared" si="110"/>
        <v>-3.168510643260659E-3</v>
      </c>
      <c r="J993" s="9">
        <f t="shared" si="111"/>
        <v>18.072987356946609</v>
      </c>
    </row>
    <row r="994" spans="2:10" x14ac:dyDescent="0.25">
      <c r="B994" s="1">
        <v>42838</v>
      </c>
      <c r="C994" s="13">
        <v>35.262999999999998</v>
      </c>
      <c r="D994" s="6">
        <f t="shared" si="105"/>
        <v>-5.2750352609309825E-3</v>
      </c>
      <c r="E994" s="14">
        <f t="shared" si="106"/>
        <v>9.9640273613259845E-5</v>
      </c>
      <c r="F994" s="9">
        <f t="shared" si="107"/>
        <v>18.266527338980389</v>
      </c>
      <c r="G994" s="9">
        <f t="shared" si="108"/>
        <v>-7.6649641314420563E-2</v>
      </c>
      <c r="H994" s="9">
        <f t="shared" si="109"/>
        <v>2.0580382860521788E-3</v>
      </c>
      <c r="I994" s="9">
        <f t="shared" si="110"/>
        <v>-2.7617574297362103E-3</v>
      </c>
      <c r="J994" s="9">
        <f t="shared" si="111"/>
        <v>18.189173978522284</v>
      </c>
    </row>
    <row r="995" spans="2:10" x14ac:dyDescent="0.25">
      <c r="B995" s="1">
        <v>42837</v>
      </c>
      <c r="C995" s="13">
        <v>35.450000000000003</v>
      </c>
      <c r="D995" s="6">
        <f t="shared" si="105"/>
        <v>1.1861726163580055E-3</v>
      </c>
      <c r="E995" s="14">
        <f t="shared" si="106"/>
        <v>9.9422600341313728E-5</v>
      </c>
      <c r="F995" s="9">
        <f t="shared" si="107"/>
        <v>18.268714319951584</v>
      </c>
      <c r="G995" s="9">
        <f t="shared" si="108"/>
        <v>-0.24030698600291417</v>
      </c>
      <c r="H995" s="9">
        <f t="shared" si="109"/>
        <v>-2.9943912445124518E-3</v>
      </c>
      <c r="I995" s="9">
        <f t="shared" si="110"/>
        <v>-1.6298294917447349E-3</v>
      </c>
      <c r="J995" s="9">
        <f t="shared" si="111"/>
        <v>18.023783113212414</v>
      </c>
    </row>
    <row r="996" spans="2:10" x14ac:dyDescent="0.25">
      <c r="B996" s="1">
        <v>42836</v>
      </c>
      <c r="C996" s="13">
        <v>35.408000000000001</v>
      </c>
      <c r="D996" s="6">
        <f t="shared" si="105"/>
        <v>-1.075629312994153E-2</v>
      </c>
      <c r="E996" s="14">
        <f t="shared" si="106"/>
        <v>9.9464444981266741E-5</v>
      </c>
      <c r="F996" s="9">
        <f t="shared" si="107"/>
        <v>18.26829353195604</v>
      </c>
      <c r="G996" s="9">
        <f t="shared" si="108"/>
        <v>-9.8131749364610207E-4</v>
      </c>
      <c r="H996" s="9">
        <f t="shared" si="109"/>
        <v>-2.7642545284534337E-4</v>
      </c>
      <c r="I996" s="9">
        <f t="shared" si="110"/>
        <v>-4.272800290935368E-3</v>
      </c>
      <c r="J996" s="9">
        <f t="shared" si="111"/>
        <v>18.262762988718613</v>
      </c>
    </row>
    <row r="997" spans="2:10" x14ac:dyDescent="0.25">
      <c r="B997" s="1">
        <v>42835</v>
      </c>
      <c r="C997" s="13">
        <v>35.792999999999999</v>
      </c>
      <c r="D997" s="6">
        <f t="shared" si="105"/>
        <v>-1.1720385098368258E-3</v>
      </c>
      <c r="E997" s="14">
        <f t="shared" si="106"/>
        <v>9.8230128042182081E-5</v>
      </c>
      <c r="F997" s="9">
        <f t="shared" si="107"/>
        <v>18.280780804209272</v>
      </c>
      <c r="G997" s="9">
        <f t="shared" si="108"/>
        <v>-0.78289827198882778</v>
      </c>
      <c r="H997" s="9">
        <f t="shared" si="109"/>
        <v>4.039426318595934E-3</v>
      </c>
      <c r="I997" s="9">
        <f t="shared" si="110"/>
        <v>-3.3390471444735858E-3</v>
      </c>
      <c r="J997" s="9">
        <f t="shared" si="111"/>
        <v>17.498582911394568</v>
      </c>
    </row>
    <row r="998" spans="2:10" x14ac:dyDescent="0.25">
      <c r="B998" s="1">
        <v>42832</v>
      </c>
      <c r="C998" s="13">
        <v>35.835000000000001</v>
      </c>
      <c r="D998" s="6">
        <f t="shared" si="105"/>
        <v>-2.2274815536683645E-3</v>
      </c>
      <c r="E998" s="14">
        <f t="shared" si="106"/>
        <v>9.8286293286249115E-5</v>
      </c>
      <c r="F998" s="9">
        <f t="shared" si="107"/>
        <v>18.280209195534368</v>
      </c>
      <c r="G998" s="9">
        <f t="shared" si="108"/>
        <v>-3.9984005330488209E-2</v>
      </c>
      <c r="H998" s="9">
        <f t="shared" si="109"/>
        <v>-1.8051821122154522E-3</v>
      </c>
      <c r="I998" s="9">
        <f t="shared" si="110"/>
        <v>-4.5339514496425641E-3</v>
      </c>
      <c r="J998" s="9">
        <f t="shared" si="111"/>
        <v>18.233886056642024</v>
      </c>
    </row>
    <row r="999" spans="2:10" x14ac:dyDescent="0.25">
      <c r="B999" s="1">
        <v>42831</v>
      </c>
      <c r="C999" s="13">
        <v>35.914999999999999</v>
      </c>
      <c r="D999" s="6">
        <f t="shared" si="105"/>
        <v>-2.4996528259965123E-3</v>
      </c>
      <c r="E999" s="14">
        <f t="shared" si="106"/>
        <v>9.8347558641063312E-5</v>
      </c>
      <c r="F999" s="9">
        <f t="shared" si="107"/>
        <v>18.279586054033594</v>
      </c>
      <c r="G999" s="9">
        <f t="shared" si="108"/>
        <v>-7.5770513452217192E-2</v>
      </c>
      <c r="H999" s="9">
        <f t="shared" si="109"/>
        <v>-2.4990163978541391E-3</v>
      </c>
      <c r="I999" s="9">
        <f t="shared" si="110"/>
        <v>-4.5965853084826069E-3</v>
      </c>
      <c r="J999" s="9">
        <f t="shared" si="111"/>
        <v>18.196719938875038</v>
      </c>
    </row>
    <row r="1000" spans="2:10" x14ac:dyDescent="0.25">
      <c r="B1000" s="1">
        <v>42830</v>
      </c>
      <c r="C1000" s="13">
        <v>36.005000000000003</v>
      </c>
      <c r="D1000" s="6">
        <f t="shared" si="105"/>
        <v>-5.1943746028235704E-3</v>
      </c>
      <c r="E1000" s="14">
        <f t="shared" si="106"/>
        <v>9.8624445955868841E-5</v>
      </c>
      <c r="F1000" s="9">
        <f t="shared" si="107"/>
        <v>18.276774613923074</v>
      </c>
      <c r="G1000" s="9">
        <f t="shared" si="108"/>
        <v>-8.6604005130995629E-2</v>
      </c>
      <c r="H1000" s="9">
        <f t="shared" si="109"/>
        <v>-3.3351202994089863E-3</v>
      </c>
      <c r="I1000" s="9">
        <f t="shared" si="110"/>
        <v>-7.8370509128808889E-3</v>
      </c>
      <c r="J1000" s="9">
        <f t="shared" si="111"/>
        <v>18.178998437579789</v>
      </c>
    </row>
    <row r="1001" spans="2:10" x14ac:dyDescent="0.25">
      <c r="B1001" s="1">
        <v>42829</v>
      </c>
      <c r="C1001" s="13">
        <v>36.192999999999998</v>
      </c>
      <c r="D1001" s="6">
        <f t="shared" si="105"/>
        <v>7.4599860821156216E-3</v>
      </c>
      <c r="E1001" s="14">
        <f t="shared" si="106"/>
        <v>9.821197228111952E-5</v>
      </c>
      <c r="F1001" s="9">
        <f t="shared" si="107"/>
        <v>18.280965650136743</v>
      </c>
      <c r="G1001" s="9">
        <f t="shared" si="108"/>
        <v>-0.23761675082640193</v>
      </c>
      <c r="H1001" s="9">
        <f t="shared" si="109"/>
        <v>-1.995385780938312E-3</v>
      </c>
      <c r="I1001" s="9">
        <f t="shared" si="110"/>
        <v>-4.8050932014810773E-4</v>
      </c>
      <c r="J1001" s="9">
        <f t="shared" si="111"/>
        <v>18.040873004209256</v>
      </c>
    </row>
    <row r="1002" spans="2:10" x14ac:dyDescent="0.25">
      <c r="B1002" s="1">
        <v>42828</v>
      </c>
      <c r="C1002" s="13">
        <v>35.924999999999997</v>
      </c>
      <c r="D1002" s="6">
        <f t="shared" si="105"/>
        <v>2.7843519420844842E-4</v>
      </c>
      <c r="E1002" s="14">
        <f t="shared" si="106"/>
        <v>9.9970031753106092E-5</v>
      </c>
      <c r="F1002" s="9">
        <f t="shared" si="107"/>
        <v>18.263223316783474</v>
      </c>
      <c r="G1002" s="9">
        <f t="shared" si="108"/>
        <v>-0.1706527849768707</v>
      </c>
      <c r="H1002" s="9">
        <f t="shared" si="109"/>
        <v>1.1039954727239554E-2</v>
      </c>
      <c r="I1002" s="9">
        <f t="shared" si="110"/>
        <v>-5.2945917830245312E-2</v>
      </c>
      <c r="J1002" s="9">
        <f t="shared" si="111"/>
        <v>18.050664568703596</v>
      </c>
    </row>
    <row r="1003" spans="2:10" x14ac:dyDescent="0.25">
      <c r="B1003" s="1">
        <v>42825</v>
      </c>
      <c r="C1003" s="13">
        <v>35.914999999999999</v>
      </c>
      <c r="D1003" s="6">
        <f t="shared" si="105"/>
        <v>-1.8897812856070173E-3</v>
      </c>
      <c r="E1003" s="14">
        <f t="shared" si="106"/>
        <v>9.99483293533233E-5</v>
      </c>
      <c r="F1003" s="9">
        <f t="shared" si="107"/>
        <v>18.263440429406323</v>
      </c>
      <c r="G1003" s="9">
        <f t="shared" si="108"/>
        <v>-9.1294792876765261E-3</v>
      </c>
      <c r="H1003" s="9">
        <f t="shared" si="109"/>
        <v>-7.7767398122915781E-4</v>
      </c>
      <c r="I1003" s="9">
        <f t="shared" si="110"/>
        <v>-3.4835791128739915E-3</v>
      </c>
      <c r="J1003" s="9">
        <f t="shared" si="111"/>
        <v>18.250049697024544</v>
      </c>
    </row>
    <row r="1004" spans="2:10" x14ac:dyDescent="0.25">
      <c r="B1004" s="1">
        <v>42824</v>
      </c>
      <c r="C1004" s="13">
        <v>35.982999999999997</v>
      </c>
      <c r="D1004" s="6">
        <f t="shared" si="105"/>
        <v>-1.3044684984736543E-3</v>
      </c>
      <c r="E1004" s="14">
        <f t="shared" si="106"/>
        <v>1.0006666796302684E-4</v>
      </c>
      <c r="F1004" s="9">
        <f t="shared" si="107"/>
        <v>18.262257131902643</v>
      </c>
      <c r="G1004" s="9">
        <f t="shared" si="108"/>
        <v>-6.1992720886106231E-2</v>
      </c>
      <c r="H1004" s="9">
        <f t="shared" si="109"/>
        <v>-2.3892493173773739E-3</v>
      </c>
      <c r="I1004" s="9">
        <f t="shared" si="110"/>
        <v>-5.2451945748253383E-3</v>
      </c>
      <c r="J1004" s="9">
        <f t="shared" si="111"/>
        <v>18.192629967124333</v>
      </c>
    </row>
    <row r="1005" spans="2:10" x14ac:dyDescent="0.25">
      <c r="B1005" s="1">
        <v>42823</v>
      </c>
      <c r="C1005" s="13">
        <v>36.03</v>
      </c>
      <c r="D1005" s="6">
        <f t="shared" si="105"/>
        <v>2.2253129346314626E-3</v>
      </c>
      <c r="E1005" s="14">
        <f t="shared" si="106"/>
        <v>9.9993837319780992E-5</v>
      </c>
      <c r="F1005" s="9">
        <f t="shared" si="107"/>
        <v>18.262985218101967</v>
      </c>
      <c r="G1005" s="9">
        <f t="shared" si="108"/>
        <v>-4.3107600074945671E-2</v>
      </c>
      <c r="H1005" s="9">
        <f t="shared" si="109"/>
        <v>-1.578632645113269E-3</v>
      </c>
      <c r="I1005" s="9">
        <f t="shared" si="110"/>
        <v>-2.9253852670524105E-3</v>
      </c>
      <c r="J1005" s="9">
        <f t="shared" si="111"/>
        <v>18.215373600114855</v>
      </c>
    </row>
    <row r="1006" spans="2:10" x14ac:dyDescent="0.25">
      <c r="B1006" s="1">
        <v>42822</v>
      </c>
      <c r="C1006" s="13">
        <v>35.950000000000003</v>
      </c>
      <c r="D1006" s="6">
        <f t="shared" si="105"/>
        <v>2.0726859738784853E-2</v>
      </c>
      <c r="E1006" s="14">
        <f t="shared" si="106"/>
        <v>1.0003382297643445E-4</v>
      </c>
      <c r="F1006" s="9">
        <f t="shared" si="107"/>
        <v>18.262585416823217</v>
      </c>
      <c r="G1006" s="9">
        <f t="shared" si="108"/>
        <v>-1.7924896975813169E-3</v>
      </c>
      <c r="H1006" s="9">
        <f t="shared" si="109"/>
        <v>3.7170904862512873E-4</v>
      </c>
      <c r="I1006" s="9">
        <f t="shared" si="110"/>
        <v>-4.2134626070623E-3</v>
      </c>
      <c r="J1006" s="9">
        <f t="shared" si="111"/>
        <v>18.256951173567199</v>
      </c>
    </row>
    <row r="1007" spans="2:10" x14ac:dyDescent="0.25">
      <c r="B1007" s="1">
        <v>42821</v>
      </c>
      <c r="C1007" s="13">
        <v>35.22</v>
      </c>
      <c r="D1007" s="6">
        <f t="shared" si="105"/>
        <v>1.7064846416383617E-3</v>
      </c>
      <c r="E1007" s="14">
        <f t="shared" si="106"/>
        <v>9.7474752076994481E-5</v>
      </c>
      <c r="F1007" s="9">
        <f t="shared" si="107"/>
        <v>18.288500383975659</v>
      </c>
      <c r="G1007" s="9">
        <f t="shared" si="108"/>
        <v>-1.8767465506893197</v>
      </c>
      <c r="H1007" s="9">
        <f t="shared" si="109"/>
        <v>-2.5472107090147002E-2</v>
      </c>
      <c r="I1007" s="9">
        <f t="shared" si="110"/>
        <v>-3.4914442722257868E-2</v>
      </c>
      <c r="J1007" s="9">
        <f t="shared" si="111"/>
        <v>16.351367283473937</v>
      </c>
    </row>
    <row r="1008" spans="2:10" x14ac:dyDescent="0.25">
      <c r="B1008" s="1">
        <v>42818</v>
      </c>
      <c r="C1008" s="13">
        <v>35.159999999999997</v>
      </c>
      <c r="D1008" s="6">
        <f t="shared" si="105"/>
        <v>-1.9869429463525989E-3</v>
      </c>
      <c r="E1008" s="14">
        <f t="shared" si="106"/>
        <v>9.7762581740600045E-5</v>
      </c>
      <c r="F1008" s="9">
        <f t="shared" si="107"/>
        <v>18.28555187134743</v>
      </c>
      <c r="G1008" s="9">
        <f t="shared" si="108"/>
        <v>-3.2123805472695531E-5</v>
      </c>
      <c r="H1008" s="9">
        <f t="shared" si="109"/>
        <v>6.5170133921475486E-5</v>
      </c>
      <c r="I1008" s="9">
        <f t="shared" si="110"/>
        <v>-8.1213973839866348E-3</v>
      </c>
      <c r="J1008" s="9">
        <f t="shared" si="111"/>
        <v>18.277463520291892</v>
      </c>
    </row>
    <row r="1009" spans="2:10" x14ac:dyDescent="0.25">
      <c r="B1009" s="1">
        <v>42817</v>
      </c>
      <c r="C1009" s="13">
        <v>35.229999999999997</v>
      </c>
      <c r="D1009" s="6">
        <f t="shared" si="105"/>
        <v>-3.5355678121906653E-3</v>
      </c>
      <c r="E1009" s="14">
        <f t="shared" si="106"/>
        <v>1.0016578254977017E-4</v>
      </c>
      <c r="F1009" s="9">
        <f t="shared" si="107"/>
        <v>18.261267136578866</v>
      </c>
      <c r="G1009" s="9">
        <f t="shared" si="108"/>
        <v>-6.5400383867497275E-2</v>
      </c>
      <c r="H1009" s="9">
        <f t="shared" si="109"/>
        <v>-8.5490106934029021E-3</v>
      </c>
      <c r="I1009" s="9">
        <f t="shared" si="110"/>
        <v>-8.5147415728829265E-2</v>
      </c>
      <c r="J1009" s="9">
        <f t="shared" si="111"/>
        <v>18.102170326289134</v>
      </c>
    </row>
    <row r="1010" spans="2:10" x14ac:dyDescent="0.25">
      <c r="B1010" s="1">
        <v>42816</v>
      </c>
      <c r="C1010" s="13">
        <v>35.354999999999997</v>
      </c>
      <c r="D1010" s="6">
        <f t="shared" si="105"/>
        <v>1.129862700228812E-2</v>
      </c>
      <c r="E1010" s="14">
        <f t="shared" si="106"/>
        <v>1.0019961168309955E-4</v>
      </c>
      <c r="F1010" s="9">
        <f t="shared" si="107"/>
        <v>18.260929462163773</v>
      </c>
      <c r="G1010" s="9">
        <f t="shared" si="108"/>
        <v>-0.13340664310732089</v>
      </c>
      <c r="H1010" s="9">
        <f t="shared" si="109"/>
        <v>-3.1806280789825466E-3</v>
      </c>
      <c r="I1010" s="9">
        <f t="shared" si="110"/>
        <v>-4.1267754762341806E-3</v>
      </c>
      <c r="J1010" s="9">
        <f t="shared" si="111"/>
        <v>18.120215415501235</v>
      </c>
    </row>
    <row r="1011" spans="2:10" x14ac:dyDescent="0.25">
      <c r="B1011" s="1">
        <v>42815</v>
      </c>
      <c r="C1011" s="13">
        <v>34.96</v>
      </c>
      <c r="D1011" s="6">
        <f t="shared" si="105"/>
        <v>-1.1452000565530973E-2</v>
      </c>
      <c r="E1011" s="14">
        <f t="shared" si="106"/>
        <v>9.9457112171285911E-5</v>
      </c>
      <c r="F1011" s="9">
        <f t="shared" si="107"/>
        <v>18.26836725760035</v>
      </c>
      <c r="G1011" s="9">
        <f t="shared" si="108"/>
        <v>-0.47161236075178797</v>
      </c>
      <c r="H1011" s="9">
        <f t="shared" si="109"/>
        <v>4.2051773326867156E-4</v>
      </c>
      <c r="I1011" s="9">
        <f t="shared" si="110"/>
        <v>-1.0450210002695133E-4</v>
      </c>
      <c r="J1011" s="9">
        <f t="shared" si="111"/>
        <v>17.797070912481804</v>
      </c>
    </row>
    <row r="1012" spans="2:10" x14ac:dyDescent="0.25">
      <c r="B1012" s="1">
        <v>42814</v>
      </c>
      <c r="C1012" s="13">
        <v>35.365000000000002</v>
      </c>
      <c r="D1012" s="6">
        <f t="shared" si="105"/>
        <v>1.048631350362883E-2</v>
      </c>
      <c r="E1012" s="14">
        <f t="shared" si="106"/>
        <v>9.7978509884096305E-5</v>
      </c>
      <c r="F1012" s="9">
        <f t="shared" si="107"/>
        <v>18.283345607662152</v>
      </c>
      <c r="G1012" s="9">
        <f t="shared" si="108"/>
        <v>-0.87557776323740766</v>
      </c>
      <c r="H1012" s="9">
        <f t="shared" si="109"/>
        <v>6.6885933929661141E-3</v>
      </c>
      <c r="I1012" s="9">
        <f t="shared" si="110"/>
        <v>-6.6485641835582442E-3</v>
      </c>
      <c r="J1012" s="9">
        <f t="shared" si="111"/>
        <v>17.407807873634152</v>
      </c>
    </row>
    <row r="1013" spans="2:10" x14ac:dyDescent="0.25">
      <c r="B1013" s="1">
        <v>42811</v>
      </c>
      <c r="C1013" s="13">
        <v>34.997999999999998</v>
      </c>
      <c r="D1013" s="6">
        <f t="shared" si="105"/>
        <v>-4.9754072726240217E-3</v>
      </c>
      <c r="E1013" s="14">
        <f t="shared" si="106"/>
        <v>1.00192191309992E-4</v>
      </c>
      <c r="F1013" s="9">
        <f t="shared" si="107"/>
        <v>18.261003520812881</v>
      </c>
      <c r="G1013" s="9">
        <f t="shared" si="108"/>
        <v>-0.39281253585841075</v>
      </c>
      <c r="H1013" s="9">
        <f t="shared" si="109"/>
        <v>1.9709821994173229E-2</v>
      </c>
      <c r="I1013" s="9">
        <f t="shared" si="110"/>
        <v>-7.4834763060350154E-2</v>
      </c>
      <c r="J1013" s="9">
        <f t="shared" si="111"/>
        <v>17.813066043888291</v>
      </c>
    </row>
    <row r="1014" spans="2:10" x14ac:dyDescent="0.25">
      <c r="B1014" s="1">
        <v>42810</v>
      </c>
      <c r="C1014" s="13">
        <v>35.173000000000002</v>
      </c>
      <c r="D1014" s="6">
        <f t="shared" si="105"/>
        <v>1.6517157909725633E-3</v>
      </c>
      <c r="E1014" s="14">
        <f t="shared" si="106"/>
        <v>1.0030063023330714E-4</v>
      </c>
      <c r="F1014" s="9">
        <f t="shared" si="107"/>
        <v>18.259921796958089</v>
      </c>
      <c r="G1014" s="9">
        <f t="shared" si="108"/>
        <v>-0.21797170323090354</v>
      </c>
      <c r="H1014" s="9">
        <f t="shared" si="109"/>
        <v>-4.4267197218951929E-3</v>
      </c>
      <c r="I1014" s="9">
        <f t="shared" si="110"/>
        <v>-5.0911028960497007E-3</v>
      </c>
      <c r="J1014" s="9">
        <f t="shared" si="111"/>
        <v>18.03243227110924</v>
      </c>
    </row>
    <row r="1015" spans="2:10" x14ac:dyDescent="0.25">
      <c r="B1015" s="1">
        <v>42809</v>
      </c>
      <c r="C1015" s="13">
        <v>35.115000000000002</v>
      </c>
      <c r="D1015" s="6">
        <f t="shared" si="105"/>
        <v>1.0561758950155431E-2</v>
      </c>
      <c r="E1015" s="14">
        <f t="shared" si="106"/>
        <v>1.003334279155823E-4</v>
      </c>
      <c r="F1015" s="9">
        <f t="shared" si="107"/>
        <v>18.259594856628318</v>
      </c>
      <c r="G1015" s="9">
        <f t="shared" si="108"/>
        <v>-2.9676397962598224E-6</v>
      </c>
      <c r="H1015" s="9">
        <f t="shared" si="109"/>
        <v>1.4972800043987256E-5</v>
      </c>
      <c r="I1015" s="9">
        <f t="shared" si="110"/>
        <v>-4.1058506950301075E-3</v>
      </c>
      <c r="J1015" s="9">
        <f t="shared" si="111"/>
        <v>18.255501011093536</v>
      </c>
    </row>
    <row r="1016" spans="2:10" x14ac:dyDescent="0.25">
      <c r="B1016" s="1">
        <v>42808</v>
      </c>
      <c r="C1016" s="13">
        <v>34.747999999999998</v>
      </c>
      <c r="D1016" s="6">
        <f t="shared" si="105"/>
        <v>-1.4942528735631955E-3</v>
      </c>
      <c r="E1016" s="14">
        <f t="shared" si="106"/>
        <v>9.9716278212593729E-5</v>
      </c>
      <c r="F1016" s="9">
        <f t="shared" si="107"/>
        <v>18.265764839806721</v>
      </c>
      <c r="G1016" s="9">
        <f t="shared" si="108"/>
        <v>-0.40143846395498184</v>
      </c>
      <c r="H1016" s="9">
        <f t="shared" si="109"/>
        <v>1.2179267963121289E-3</v>
      </c>
      <c r="I1016" s="9">
        <f t="shared" si="110"/>
        <v>-3.2925689617197654E-6</v>
      </c>
      <c r="J1016" s="9">
        <f t="shared" si="111"/>
        <v>17.865541010079088</v>
      </c>
    </row>
    <row r="1017" spans="2:10" x14ac:dyDescent="0.25">
      <c r="B1017" s="1">
        <v>42807</v>
      </c>
      <c r="C1017" s="13">
        <v>34.799999999999997</v>
      </c>
      <c r="D1017" s="6">
        <f t="shared" si="105"/>
        <v>4.3122035360076971E-4</v>
      </c>
      <c r="E1017" s="14">
        <f t="shared" si="106"/>
        <v>1.0111483039795959E-4</v>
      </c>
      <c r="F1017" s="9">
        <f t="shared" si="107"/>
        <v>18.251836969735059</v>
      </c>
      <c r="G1017" s="9">
        <f t="shared" si="108"/>
        <v>-4.8327395017068064E-2</v>
      </c>
      <c r="H1017" s="9">
        <f t="shared" si="109"/>
        <v>-5.0209770152691248E-3</v>
      </c>
      <c r="I1017" s="9">
        <f t="shared" si="110"/>
        <v>-3.7732821138588786E-2</v>
      </c>
      <c r="J1017" s="9">
        <f t="shared" si="111"/>
        <v>18.16075577656413</v>
      </c>
    </row>
    <row r="1018" spans="2:10" x14ac:dyDescent="0.25">
      <c r="B1018" s="1">
        <v>42804</v>
      </c>
      <c r="C1018" s="13">
        <v>34.784999999999997</v>
      </c>
      <c r="D1018" s="6">
        <f t="shared" si="105"/>
        <v>3.316988751081551E-3</v>
      </c>
      <c r="E1018" s="14">
        <f t="shared" si="106"/>
        <v>1.0154144301329896E-4</v>
      </c>
      <c r="F1018" s="9">
        <f t="shared" si="107"/>
        <v>18.247626754691304</v>
      </c>
      <c r="G1018" s="9">
        <f t="shared" si="108"/>
        <v>-7.0658690419103058E-3</v>
      </c>
      <c r="H1018" s="9">
        <f t="shared" si="109"/>
        <v>-1.0692633731217574E-3</v>
      </c>
      <c r="I1018" s="9">
        <f t="shared" si="110"/>
        <v>-1.0214574474763885E-2</v>
      </c>
      <c r="J1018" s="9">
        <f t="shared" si="111"/>
        <v>18.22927704780151</v>
      </c>
    </row>
    <row r="1019" spans="2:10" x14ac:dyDescent="0.25">
      <c r="B1019" s="1">
        <v>42803</v>
      </c>
      <c r="C1019" s="13">
        <v>34.67</v>
      </c>
      <c r="D1019" s="6">
        <f t="shared" si="105"/>
        <v>-2.3021582733812052E-3</v>
      </c>
      <c r="E1019" s="14">
        <f t="shared" si="106"/>
        <v>1.1020662165338341E-4</v>
      </c>
      <c r="F1019" s="9">
        <f t="shared" si="107"/>
        <v>18.165736792876473</v>
      </c>
      <c r="G1019" s="9">
        <f t="shared" si="108"/>
        <v>-1.2990740837020837E-2</v>
      </c>
      <c r="H1019" s="9">
        <f t="shared" si="109"/>
        <v>1.073136364236966E-2</v>
      </c>
      <c r="I1019" s="9">
        <f t="shared" si="110"/>
        <v>-0.72248734516744728</v>
      </c>
      <c r="J1019" s="9">
        <f t="shared" si="111"/>
        <v>17.440990070514374</v>
      </c>
    </row>
    <row r="1020" spans="2:10" x14ac:dyDescent="0.25">
      <c r="B1020" s="1">
        <v>42802</v>
      </c>
      <c r="C1020" s="13">
        <v>34.75</v>
      </c>
      <c r="D1020" s="6">
        <f t="shared" si="105"/>
        <v>-3.7270642201835402E-3</v>
      </c>
      <c r="E1020" s="14">
        <f t="shared" si="106"/>
        <v>1.1934468743118514E-4</v>
      </c>
      <c r="F1020" s="9">
        <f t="shared" si="107"/>
        <v>18.086077936110989</v>
      </c>
      <c r="G1020" s="9">
        <f t="shared" si="108"/>
        <v>-6.4882314241917358E-2</v>
      </c>
      <c r="H1020" s="9">
        <f t="shared" si="109"/>
        <v>-2.4197712961203086E-2</v>
      </c>
      <c r="I1020" s="9">
        <f t="shared" si="110"/>
        <v>-0.73458308214916379</v>
      </c>
      <c r="J1020" s="9">
        <f t="shared" si="111"/>
        <v>17.262414826758704</v>
      </c>
    </row>
    <row r="1021" spans="2:10" x14ac:dyDescent="0.25">
      <c r="B1021" s="1">
        <v>42801</v>
      </c>
      <c r="C1021" s="13">
        <v>34.880000000000003</v>
      </c>
      <c r="D1021" s="6">
        <f t="shared" si="105"/>
        <v>1.2918042198939439E-3</v>
      </c>
      <c r="E1021" s="14">
        <f t="shared" si="106"/>
        <v>1.2291933151598101E-4</v>
      </c>
      <c r="F1021" s="9">
        <f t="shared" si="107"/>
        <v>18.056565476507934</v>
      </c>
      <c r="G1021" s="9">
        <f t="shared" si="108"/>
        <v>-0.11696524090784662</v>
      </c>
      <c r="H1021" s="9">
        <f t="shared" si="109"/>
        <v>-1.4093749860773155E-2</v>
      </c>
      <c r="I1021" s="9">
        <f t="shared" si="110"/>
        <v>-0.13082954788521078</v>
      </c>
      <c r="J1021" s="9">
        <f t="shared" si="111"/>
        <v>17.794676937854106</v>
      </c>
    </row>
    <row r="1022" spans="2:10" x14ac:dyDescent="0.25">
      <c r="B1022" s="1">
        <v>42800</v>
      </c>
      <c r="C1022" s="13">
        <v>34.835000000000001</v>
      </c>
      <c r="D1022" s="6">
        <f t="shared" si="105"/>
        <v>-3.1478036915152385E-3</v>
      </c>
      <c r="E1022" s="14">
        <f t="shared" si="106"/>
        <v>1.2621273630542852E-4</v>
      </c>
      <c r="F1022" s="9">
        <f t="shared" si="107"/>
        <v>18.030124908777886</v>
      </c>
      <c r="G1022" s="9">
        <f t="shared" si="108"/>
        <v>-4.4735321592612566E-4</v>
      </c>
      <c r="H1022" s="9">
        <f t="shared" si="109"/>
        <v>-8.048790331003496E-4</v>
      </c>
      <c r="I1022" s="9">
        <f t="shared" si="110"/>
        <v>-0.11050703164101489</v>
      </c>
      <c r="J1022" s="9">
        <f t="shared" si="111"/>
        <v>17.918365644887846</v>
      </c>
    </row>
    <row r="1023" spans="2:10" x14ac:dyDescent="0.25">
      <c r="B1023" s="1">
        <v>42797</v>
      </c>
      <c r="C1023" s="13">
        <v>34.945</v>
      </c>
      <c r="D1023" s="6">
        <f t="shared" si="105"/>
        <v>5.9009786989061563E-3</v>
      </c>
      <c r="E1023" s="14">
        <f t="shared" si="106"/>
        <v>1.3120056916804976E-4</v>
      </c>
      <c r="F1023" s="9">
        <f t="shared" si="107"/>
        <v>17.991366560717172</v>
      </c>
      <c r="G1023" s="9">
        <f t="shared" si="108"/>
        <v>-8.7154947264719937E-2</v>
      </c>
      <c r="H1023" s="9">
        <f t="shared" si="109"/>
        <v>-1.5578864945900399E-2</v>
      </c>
      <c r="I1023" s="9">
        <f t="shared" si="110"/>
        <v>-0.21859016596129607</v>
      </c>
      <c r="J1023" s="9">
        <f t="shared" si="111"/>
        <v>17.670042582545257</v>
      </c>
    </row>
    <row r="1024" spans="2:10" x14ac:dyDescent="0.25">
      <c r="B1024" s="1">
        <v>42796</v>
      </c>
      <c r="C1024" s="13">
        <v>34.74</v>
      </c>
      <c r="D1024" s="6">
        <f t="shared" si="105"/>
        <v>-5.9516996680782919E-3</v>
      </c>
      <c r="E1024" s="14">
        <f t="shared" si="106"/>
        <v>1.3784308160175659E-4</v>
      </c>
      <c r="F1024" s="9">
        <f t="shared" si="107"/>
        <v>17.941977827051147</v>
      </c>
      <c r="G1024" s="9">
        <f t="shared" si="108"/>
        <v>-6.6444970870452078E-2</v>
      </c>
      <c r="H1024" s="9">
        <f t="shared" si="109"/>
        <v>1.7064100193468993E-2</v>
      </c>
      <c r="I1024" s="9">
        <f t="shared" si="110"/>
        <v>-0.34891844585138626</v>
      </c>
      <c r="J1024" s="9">
        <f t="shared" si="111"/>
        <v>17.543678510522778</v>
      </c>
    </row>
    <row r="1025" spans="2:10" x14ac:dyDescent="0.25">
      <c r="B1025" s="1">
        <v>42795</v>
      </c>
      <c r="C1025" s="13">
        <v>34.948</v>
      </c>
      <c r="D1025" s="6">
        <f t="shared" si="105"/>
        <v>2.0439149731371176E-2</v>
      </c>
      <c r="E1025" s="14">
        <f t="shared" si="106"/>
        <v>1.3742288151948802E-4</v>
      </c>
      <c r="F1025" s="9">
        <f t="shared" si="107"/>
        <v>17.945030877300432</v>
      </c>
      <c r="G1025" s="9">
        <f t="shared" si="108"/>
        <v>-0.2096155953994458</v>
      </c>
      <c r="H1025" s="9">
        <f t="shared" si="109"/>
        <v>-1.5528477209607152E-3</v>
      </c>
      <c r="I1025" s="9">
        <f t="shared" si="110"/>
        <v>-1.5822058786797095E-4</v>
      </c>
      <c r="J1025" s="9">
        <f t="shared" si="111"/>
        <v>17.733704213592159</v>
      </c>
    </row>
    <row r="1026" spans="2:10" x14ac:dyDescent="0.25">
      <c r="B1026" s="1">
        <v>42794</v>
      </c>
      <c r="C1026" s="13">
        <v>34.247999999999998</v>
      </c>
      <c r="D1026" s="6">
        <f t="shared" si="105"/>
        <v>4.3817369205156886E-4</v>
      </c>
      <c r="E1026" s="14">
        <f t="shared" si="106"/>
        <v>1.3468173232809036E-4</v>
      </c>
      <c r="F1026" s="9">
        <f t="shared" si="107"/>
        <v>17.965179318629776</v>
      </c>
      <c r="G1026" s="9">
        <f t="shared" si="108"/>
        <v>-1.3176659600641134</v>
      </c>
      <c r="H1026" s="9">
        <f t="shared" si="109"/>
        <v>-2.0038020622072574E-2</v>
      </c>
      <c r="I1026" s="9">
        <f t="shared" si="110"/>
        <v>-3.2091340518283544E-2</v>
      </c>
      <c r="J1026" s="9">
        <f t="shared" si="111"/>
        <v>16.595383997425301</v>
      </c>
    </row>
    <row r="1027" spans="2:10" x14ac:dyDescent="0.25">
      <c r="B1027" s="1">
        <v>42793</v>
      </c>
      <c r="C1027" s="13">
        <v>34.232999999999997</v>
      </c>
      <c r="D1027" s="6">
        <f t="shared" si="105"/>
        <v>1.9903409922434889E-3</v>
      </c>
      <c r="E1027" s="14">
        <f t="shared" si="106"/>
        <v>1.3510044205366416E-4</v>
      </c>
      <c r="F1027" s="9">
        <f t="shared" si="107"/>
        <v>17.962075258380214</v>
      </c>
      <c r="G1027" s="9">
        <f t="shared" si="108"/>
        <v>-5.2491396472193761E-3</v>
      </c>
      <c r="H1027" s="9">
        <f t="shared" si="109"/>
        <v>-7.9384250750107849E-4</v>
      </c>
      <c r="I1027" s="9">
        <f t="shared" si="110"/>
        <v>-6.7856633097390269E-3</v>
      </c>
      <c r="J1027" s="9">
        <f t="shared" si="111"/>
        <v>17.949246612915754</v>
      </c>
    </row>
    <row r="1028" spans="2:10" x14ac:dyDescent="0.25">
      <c r="B1028" s="1">
        <v>42790</v>
      </c>
      <c r="C1028" s="13">
        <v>34.164999999999999</v>
      </c>
      <c r="D1028" s="6">
        <f t="shared" si="105"/>
        <v>9.3750915536272572E-4</v>
      </c>
      <c r="E1028" s="14">
        <f t="shared" si="106"/>
        <v>1.3522137577316341E-4</v>
      </c>
      <c r="F1028" s="9">
        <f t="shared" si="107"/>
        <v>17.96118051944616</v>
      </c>
      <c r="G1028" s="9">
        <f t="shared" si="108"/>
        <v>-4.8865514212542032E-4</v>
      </c>
      <c r="H1028" s="9">
        <f t="shared" si="109"/>
        <v>1.8299474706100728E-4</v>
      </c>
      <c r="I1028" s="9">
        <f t="shared" si="110"/>
        <v>-3.3303361492770947E-3</v>
      </c>
      <c r="J1028" s="9">
        <f t="shared" si="111"/>
        <v>17.95754452290182</v>
      </c>
    </row>
    <row r="1029" spans="2:10" x14ac:dyDescent="0.25">
      <c r="B1029" s="1">
        <v>42789</v>
      </c>
      <c r="C1029" s="13">
        <v>34.133000000000003</v>
      </c>
      <c r="D1029" s="6">
        <f t="shared" si="105"/>
        <v>-4.230118443316333E-3</v>
      </c>
      <c r="E1029" s="14">
        <f t="shared" si="106"/>
        <v>1.352212560657346E-4</v>
      </c>
      <c r="F1029" s="9">
        <f t="shared" si="107"/>
        <v>17.961181404716562</v>
      </c>
      <c r="G1029" s="9">
        <f t="shared" si="108"/>
        <v>-1.7648370544965399E-3</v>
      </c>
      <c r="H1029" s="9">
        <f t="shared" si="109"/>
        <v>-3.0210413164710173E-4</v>
      </c>
      <c r="I1029" s="9">
        <f t="shared" si="110"/>
        <v>-2.2756167608533077E-3</v>
      </c>
      <c r="J1029" s="9">
        <f t="shared" si="111"/>
        <v>17.956838846769561</v>
      </c>
    </row>
    <row r="1030" spans="2:10" x14ac:dyDescent="0.25">
      <c r="B1030" s="1">
        <v>42788</v>
      </c>
      <c r="C1030" s="13">
        <v>34.277999999999999</v>
      </c>
      <c r="D1030" s="6">
        <f t="shared" si="105"/>
        <v>3.0138990490125028E-3</v>
      </c>
      <c r="E1030" s="14">
        <f t="shared" si="106"/>
        <v>1.3568648786933335E-4</v>
      </c>
      <c r="F1030" s="9">
        <f t="shared" si="107"/>
        <v>17.957746787055306</v>
      </c>
      <c r="G1030" s="9">
        <f t="shared" si="108"/>
        <v>-0.1268050089536954</v>
      </c>
      <c r="H1030" s="9">
        <f t="shared" si="109"/>
        <v>-4.0418064592932278E-3</v>
      </c>
      <c r="I1030" s="9">
        <f t="shared" si="110"/>
        <v>-7.3883880362980835E-3</v>
      </c>
      <c r="J1030" s="9">
        <f t="shared" si="111"/>
        <v>17.819511583606019</v>
      </c>
    </row>
    <row r="1031" spans="2:10" x14ac:dyDescent="0.25">
      <c r="B1031" s="1">
        <v>42787</v>
      </c>
      <c r="C1031" s="13">
        <v>34.174999999999997</v>
      </c>
      <c r="D1031" s="6">
        <f t="shared" si="105"/>
        <v>7.220748600058835E-3</v>
      </c>
      <c r="E1031" s="14">
        <f t="shared" si="106"/>
        <v>1.3576707510238486E-4</v>
      </c>
      <c r="F1031" s="9">
        <f t="shared" si="107"/>
        <v>17.957153041041906</v>
      </c>
      <c r="G1031" s="9">
        <f t="shared" si="108"/>
        <v>-7.1011720068640399E-3</v>
      </c>
      <c r="H1031" s="9">
        <f t="shared" si="109"/>
        <v>6.6572228951550835E-4</v>
      </c>
      <c r="I1031" s="9">
        <f t="shared" si="110"/>
        <v>-2.9365953217002265E-3</v>
      </c>
      <c r="J1031" s="9">
        <f t="shared" si="111"/>
        <v>17.947780996002859</v>
      </c>
    </row>
    <row r="1032" spans="2:10" x14ac:dyDescent="0.25">
      <c r="B1032" s="1">
        <v>42783</v>
      </c>
      <c r="C1032" s="13">
        <v>33.93</v>
      </c>
      <c r="D1032" s="6">
        <f t="shared" si="105"/>
        <v>2.7781061591205525E-3</v>
      </c>
      <c r="E1032" s="14">
        <f t="shared" si="106"/>
        <v>1.3606630029772661E-4</v>
      </c>
      <c r="F1032" s="9">
        <f t="shared" si="107"/>
        <v>17.954951506254229</v>
      </c>
      <c r="G1032" s="9">
        <f t="shared" si="108"/>
        <v>-0.11530666729909575</v>
      </c>
      <c r="H1032" s="9">
        <f t="shared" si="109"/>
        <v>3.344221850419762E-3</v>
      </c>
      <c r="I1032" s="9">
        <f t="shared" si="110"/>
        <v>-5.1991722934847367E-3</v>
      </c>
      <c r="J1032" s="9">
        <f t="shared" si="111"/>
        <v>17.83778988851207</v>
      </c>
    </row>
    <row r="1033" spans="2:10" x14ac:dyDescent="0.25">
      <c r="B1033" s="1">
        <v>42782</v>
      </c>
      <c r="C1033" s="13">
        <v>33.835999999999999</v>
      </c>
      <c r="D1033" s="6">
        <f t="shared" si="105"/>
        <v>-1.2397426058209371E-3</v>
      </c>
      <c r="E1033" s="14">
        <f t="shared" si="106"/>
        <v>1.3638298248770312E-4</v>
      </c>
      <c r="F1033" s="9">
        <f t="shared" si="107"/>
        <v>17.95262679958326</v>
      </c>
      <c r="G1033" s="9">
        <f t="shared" si="108"/>
        <v>-4.8692335452257124E-3</v>
      </c>
      <c r="H1033" s="9">
        <f t="shared" si="109"/>
        <v>6.9731693301209468E-4</v>
      </c>
      <c r="I1033" s="9">
        <f t="shared" si="110"/>
        <v>-5.389784404041793E-3</v>
      </c>
      <c r="J1033" s="9">
        <f t="shared" si="111"/>
        <v>17.943065098567008</v>
      </c>
    </row>
    <row r="1034" spans="2:10" x14ac:dyDescent="0.25">
      <c r="B1034" s="1">
        <v>42781</v>
      </c>
      <c r="C1034" s="13">
        <v>33.878</v>
      </c>
      <c r="D1034" s="6">
        <f t="shared" si="105"/>
        <v>3.6439046067249237E-3</v>
      </c>
      <c r="E1034" s="14">
        <f t="shared" si="106"/>
        <v>1.3704294399158052E-4</v>
      </c>
      <c r="F1034" s="9">
        <f t="shared" si="107"/>
        <v>17.947799438886435</v>
      </c>
      <c r="G1034" s="9">
        <f t="shared" si="108"/>
        <v>-3.0080127473176298E-2</v>
      </c>
      <c r="H1034" s="9">
        <f t="shared" si="109"/>
        <v>-2.2600257412381799E-3</v>
      </c>
      <c r="I1034" s="9">
        <f t="shared" si="110"/>
        <v>-1.0268393141194631E-2</v>
      </c>
      <c r="J1034" s="9">
        <f t="shared" si="111"/>
        <v>17.905190892530825</v>
      </c>
    </row>
    <row r="1035" spans="2:10" x14ac:dyDescent="0.25">
      <c r="B1035" s="1">
        <v>42780</v>
      </c>
      <c r="C1035" s="13">
        <v>33.755000000000003</v>
      </c>
      <c r="D1035" s="6">
        <f t="shared" si="105"/>
        <v>1.2964018845842196E-2</v>
      </c>
      <c r="E1035" s="14">
        <f t="shared" si="106"/>
        <v>1.3703008297814766E-4</v>
      </c>
      <c r="F1035" s="9">
        <f t="shared" si="107"/>
        <v>17.947893289883627</v>
      </c>
      <c r="G1035" s="9">
        <f t="shared" si="108"/>
        <v>-1.4881881400143208E-2</v>
      </c>
      <c r="H1035" s="9">
        <f t="shared" si="109"/>
        <v>8.5759623409783147E-4</v>
      </c>
      <c r="I1035" s="9">
        <f t="shared" si="110"/>
        <v>-2.124808446342883E-3</v>
      </c>
      <c r="J1035" s="9">
        <f t="shared" si="111"/>
        <v>17.931744196271239</v>
      </c>
    </row>
    <row r="1036" spans="2:10" x14ac:dyDescent="0.25">
      <c r="B1036" s="1">
        <v>42779</v>
      </c>
      <c r="C1036" s="13">
        <v>33.323</v>
      </c>
      <c r="D1036" s="6">
        <f t="shared" si="105"/>
        <v>8.8707235846199328E-3</v>
      </c>
      <c r="E1036" s="14">
        <f t="shared" si="106"/>
        <v>1.3674856356223785E-4</v>
      </c>
      <c r="F1036" s="9">
        <f t="shared" si="107"/>
        <v>17.949949838257204</v>
      </c>
      <c r="G1036" s="9">
        <f t="shared" si="108"/>
        <v>-0.47130441911966214</v>
      </c>
      <c r="H1036" s="9">
        <f t="shared" si="109"/>
        <v>3.1842948021414152E-3</v>
      </c>
      <c r="I1036" s="9">
        <f t="shared" si="110"/>
        <v>-5.8079660345641045E-4</v>
      </c>
      <c r="J1036" s="9">
        <f t="shared" si="111"/>
        <v>17.481248917336227</v>
      </c>
    </row>
    <row r="1037" spans="2:10" x14ac:dyDescent="0.25">
      <c r="B1037" s="1">
        <v>42776</v>
      </c>
      <c r="C1037" s="13">
        <v>33.03</v>
      </c>
      <c r="D1037" s="6">
        <f t="shared" si="105"/>
        <v>-2.2655188038059881E-3</v>
      </c>
      <c r="E1037" s="14">
        <f t="shared" si="106"/>
        <v>1.3632401743553566E-4</v>
      </c>
      <c r="F1037" s="9">
        <f t="shared" si="107"/>
        <v>17.953059242117575</v>
      </c>
      <c r="G1037" s="9">
        <f t="shared" si="108"/>
        <v>-0.19300244422434873</v>
      </c>
      <c r="H1037" s="9">
        <f t="shared" si="109"/>
        <v>1.4789603487749721E-3</v>
      </c>
      <c r="I1037" s="9">
        <f t="shared" si="110"/>
        <v>-1.5428296316700448E-4</v>
      </c>
      <c r="J1037" s="9">
        <f t="shared" si="111"/>
        <v>17.761381475278835</v>
      </c>
    </row>
    <row r="1038" spans="2:10" x14ac:dyDescent="0.25">
      <c r="B1038" s="1">
        <v>42775</v>
      </c>
      <c r="C1038" s="13">
        <v>33.104999999999997</v>
      </c>
      <c r="D1038" s="6">
        <f t="shared" si="105"/>
        <v>2.8779157830960411E-3</v>
      </c>
      <c r="E1038" s="14">
        <f t="shared" si="106"/>
        <v>1.3626778822094969E-4</v>
      </c>
      <c r="F1038" s="9">
        <f t="shared" si="107"/>
        <v>17.95347179461708</v>
      </c>
      <c r="G1038" s="9">
        <f t="shared" si="108"/>
        <v>-5.5769831721321987E-2</v>
      </c>
      <c r="H1038" s="9">
        <f t="shared" si="109"/>
        <v>-1.5732012490033778E-3</v>
      </c>
      <c r="I1038" s="9">
        <f t="shared" si="110"/>
        <v>-1.8281979356583504E-3</v>
      </c>
      <c r="J1038" s="9">
        <f t="shared" si="111"/>
        <v>17.894300563711099</v>
      </c>
    </row>
    <row r="1039" spans="2:10" x14ac:dyDescent="0.25">
      <c r="B1039" s="1">
        <v>42774</v>
      </c>
      <c r="C1039" s="13">
        <v>33.01</v>
      </c>
      <c r="D1039" s="6">
        <f t="shared" si="105"/>
        <v>3.8621780251191229E-3</v>
      </c>
      <c r="E1039" s="14">
        <f t="shared" si="106"/>
        <v>1.3633539804330496E-4</v>
      </c>
      <c r="F1039" s="9">
        <f t="shared" si="107"/>
        <v>17.952975763556928</v>
      </c>
      <c r="G1039" s="9">
        <f t="shared" si="108"/>
        <v>-5.7525255190922107E-3</v>
      </c>
      <c r="H1039" s="9">
        <f t="shared" si="109"/>
        <v>5.8912791529292571E-4</v>
      </c>
      <c r="I1039" s="9">
        <f t="shared" si="110"/>
        <v>-2.8017581275274713E-3</v>
      </c>
      <c r="J1039" s="9">
        <f t="shared" si="111"/>
        <v>17.945010607825601</v>
      </c>
    </row>
    <row r="1040" spans="2:10" x14ac:dyDescent="0.25">
      <c r="B1040" s="1">
        <v>42773</v>
      </c>
      <c r="C1040" s="13">
        <v>32.883000000000003</v>
      </c>
      <c r="D1040" s="6">
        <f t="shared" ref="D1040:D1103" si="112">C1040/C1041-1</f>
        <v>9.517084702053813E-3</v>
      </c>
      <c r="E1040" s="14">
        <f t="shared" ref="E1040:E1103" si="113">_xlfn.VAR.S(D1040:D1160)</f>
        <v>1.3634574940637396E-4</v>
      </c>
      <c r="F1040" s="9">
        <f t="shared" si="107"/>
        <v>17.952899840720526</v>
      </c>
      <c r="G1040" s="9">
        <f t="shared" si="108"/>
        <v>-1.8369627524114442E-2</v>
      </c>
      <c r="H1040" s="9">
        <f t="shared" si="109"/>
        <v>9.833263757860857E-4</v>
      </c>
      <c r="I1040" s="9">
        <f t="shared" si="110"/>
        <v>-2.324693062941413E-3</v>
      </c>
      <c r="J1040" s="9">
        <f t="shared" si="111"/>
        <v>17.933188846509253</v>
      </c>
    </row>
    <row r="1041" spans="2:10" x14ac:dyDescent="0.25">
      <c r="B1041" s="1">
        <v>42772</v>
      </c>
      <c r="C1041" s="13">
        <v>32.573</v>
      </c>
      <c r="D1041" s="6">
        <f t="shared" si="112"/>
        <v>9.3895258754259636E-3</v>
      </c>
      <c r="E1041" s="14">
        <f t="shared" si="113"/>
        <v>1.3672790496028483E-4</v>
      </c>
      <c r="F1041" s="9">
        <f t="shared" ref="F1041:F1104" si="114">LN(2*PI())-LN($C$6)-LN(E1041)-0.5*LN(1-POWER($C$7,2))</f>
        <v>17.950100919643504</v>
      </c>
      <c r="G1041" s="9">
        <f t="shared" ref="G1041:G1104" si="115">-POWER(D1040-1-$C$3,2)/(2*E1041*(1-POWER($C$7,2)))</f>
        <v>-0.22830795512139082</v>
      </c>
      <c r="H1041" s="9">
        <f t="shared" ref="H1041:H1104" si="116">$C$7*(D1040-1-$C$3)*(E1040-E1041-$C$5*$C$4)/(E1041*$C$6*(1-POWER($C$7,2)))</f>
        <v>5.0481912513414273E-3</v>
      </c>
      <c r="I1041" s="9">
        <f t="shared" ref="I1041:I1104" si="117">-POWER(E1040-E1041-$C$5*$C$4+$C$4*E1041,2)/(2*POWER($C$6,2)*E1041*(1-POWER($C$7,2)))</f>
        <v>-6.1869848374510508E-3</v>
      </c>
      <c r="J1041" s="9">
        <f t="shared" ref="J1041:J1104" si="118">SUM(F1041:I1041)</f>
        <v>17.720654170936001</v>
      </c>
    </row>
    <row r="1042" spans="2:10" x14ac:dyDescent="0.25">
      <c r="B1042" s="1">
        <v>42769</v>
      </c>
      <c r="C1042" s="13">
        <v>32.270000000000003</v>
      </c>
      <c r="D1042" s="6">
        <f t="shared" si="112"/>
        <v>4.2635297046649256E-3</v>
      </c>
      <c r="E1042" s="14">
        <f t="shared" si="113"/>
        <v>1.3622349309371396E-4</v>
      </c>
      <c r="F1042" s="9">
        <f t="shared" si="114"/>
        <v>17.953796906873237</v>
      </c>
      <c r="G1042" s="9">
        <f t="shared" si="115"/>
        <v>-0.22180347746168019</v>
      </c>
      <c r="H1042" s="9">
        <f t="shared" si="116"/>
        <v>1.249558406580186E-3</v>
      </c>
      <c r="I1042" s="9">
        <f t="shared" si="117"/>
        <v>-3.4367346499092275E-5</v>
      </c>
      <c r="J1042" s="9">
        <f t="shared" si="118"/>
        <v>17.73320862047164</v>
      </c>
    </row>
    <row r="1043" spans="2:10" x14ac:dyDescent="0.25">
      <c r="B1043" s="1">
        <v>42768</v>
      </c>
      <c r="C1043" s="13">
        <v>32.133000000000003</v>
      </c>
      <c r="D1043" s="6">
        <f t="shared" si="112"/>
        <v>-1.7087113209891536E-3</v>
      </c>
      <c r="E1043" s="14">
        <f t="shared" si="113"/>
        <v>1.3619980900453669E-4</v>
      </c>
      <c r="F1043" s="9">
        <f t="shared" si="114"/>
        <v>17.953970783990609</v>
      </c>
      <c r="G1043" s="9">
        <f t="shared" si="115"/>
        <v>-2.5587460846712807E-2</v>
      </c>
      <c r="H1043" s="9">
        <f t="shared" si="116"/>
        <v>1.1124535261763286E-3</v>
      </c>
      <c r="I1043" s="9">
        <f t="shared" si="117"/>
        <v>-2.0664027364335727E-3</v>
      </c>
      <c r="J1043" s="9">
        <f t="shared" si="118"/>
        <v>17.927429373933641</v>
      </c>
    </row>
    <row r="1044" spans="2:10" x14ac:dyDescent="0.25">
      <c r="B1044" s="1">
        <v>42767</v>
      </c>
      <c r="C1044" s="13">
        <v>32.188000000000002</v>
      </c>
      <c r="D1044" s="6">
        <f t="shared" si="112"/>
        <v>6.0979629507548427E-2</v>
      </c>
      <c r="E1044" s="14">
        <f t="shared" si="113"/>
        <v>1.3678170972231845E-4</v>
      </c>
      <c r="F1044" s="9">
        <f t="shared" si="114"/>
        <v>17.949707479999411</v>
      </c>
      <c r="G1044" s="9">
        <f t="shared" si="115"/>
        <v>-4.0803083432549E-2</v>
      </c>
      <c r="H1044" s="9">
        <f t="shared" si="116"/>
        <v>-2.4939418939080669E-3</v>
      </c>
      <c r="I1044" s="9">
        <f t="shared" si="117"/>
        <v>-9.0345232640339345E-3</v>
      </c>
      <c r="J1044" s="9">
        <f t="shared" si="118"/>
        <v>17.897375931408916</v>
      </c>
    </row>
    <row r="1045" spans="2:10" x14ac:dyDescent="0.25">
      <c r="B1045" s="1">
        <v>42766</v>
      </c>
      <c r="C1045" s="13">
        <v>30.338000000000001</v>
      </c>
      <c r="D1045" s="6">
        <f t="shared" si="112"/>
        <v>-2.302025782688788E-3</v>
      </c>
      <c r="E1045" s="14">
        <f t="shared" si="113"/>
        <v>1.0709219325550845E-4</v>
      </c>
      <c r="F1045" s="9">
        <f t="shared" si="114"/>
        <v>18.194403692697346</v>
      </c>
      <c r="G1045" s="9">
        <f t="shared" si="115"/>
        <v>-16.495682281117794</v>
      </c>
      <c r="H1045" s="9">
        <f t="shared" si="116"/>
        <v>-1.1838578035122824</v>
      </c>
      <c r="I1045" s="9">
        <f t="shared" si="117"/>
        <v>-7.2876658547924151</v>
      </c>
      <c r="J1045" s="9">
        <f t="shared" si="118"/>
        <v>-6.7728022467251456</v>
      </c>
    </row>
    <row r="1046" spans="2:10" x14ac:dyDescent="0.25">
      <c r="B1046" s="1">
        <v>42765</v>
      </c>
      <c r="C1046" s="13">
        <v>30.408000000000001</v>
      </c>
      <c r="D1046" s="6">
        <f t="shared" si="112"/>
        <v>-2.6239832065074742E-3</v>
      </c>
      <c r="E1046" s="14">
        <f t="shared" si="113"/>
        <v>1.0743963746837335E-4</v>
      </c>
      <c r="F1046" s="9">
        <f t="shared" si="114"/>
        <v>18.191164597450111</v>
      </c>
      <c r="G1046" s="9">
        <f t="shared" si="115"/>
        <v>-7.20668604298976E-2</v>
      </c>
      <c r="H1046" s="9">
        <f t="shared" si="116"/>
        <v>-3.1056840571802077E-3</v>
      </c>
      <c r="I1046" s="9">
        <f t="shared" si="117"/>
        <v>-8.101409860009753E-3</v>
      </c>
      <c r="J1046" s="9">
        <f t="shared" si="118"/>
        <v>18.107890643103023</v>
      </c>
    </row>
    <row r="1047" spans="2:10" x14ac:dyDescent="0.25">
      <c r="B1047" s="1">
        <v>42762</v>
      </c>
      <c r="C1047" s="13">
        <v>30.488</v>
      </c>
      <c r="D1047" s="6">
        <f t="shared" si="112"/>
        <v>9.8409053632897425E-5</v>
      </c>
      <c r="E1047" s="14">
        <f t="shared" si="113"/>
        <v>1.0896332068054331E-4</v>
      </c>
      <c r="F1047" s="9">
        <f t="shared" si="114"/>
        <v>18.177082457309027</v>
      </c>
      <c r="G1047" s="9">
        <f t="shared" si="115"/>
        <v>-8.3180779968942145E-2</v>
      </c>
      <c r="H1047" s="9">
        <f t="shared" si="116"/>
        <v>-6.7065624935408038E-3</v>
      </c>
      <c r="I1047" s="9">
        <f t="shared" si="117"/>
        <v>-3.8986079211704577E-2</v>
      </c>
      <c r="J1047" s="9">
        <f t="shared" si="118"/>
        <v>18.048209035634841</v>
      </c>
    </row>
    <row r="1048" spans="2:10" x14ac:dyDescent="0.25">
      <c r="B1048" s="1">
        <v>42761</v>
      </c>
      <c r="C1048" s="13">
        <v>30.484999999999999</v>
      </c>
      <c r="D1048" s="6">
        <f t="shared" si="112"/>
        <v>4.9228749589769194E-4</v>
      </c>
      <c r="E1048" s="14">
        <f t="shared" si="113"/>
        <v>1.0895456558662623E-4</v>
      </c>
      <c r="F1048" s="9">
        <f t="shared" si="114"/>
        <v>18.177162809537769</v>
      </c>
      <c r="G1048" s="9">
        <f t="shared" si="115"/>
        <v>-1.0759413143508629E-2</v>
      </c>
      <c r="H1048" s="9">
        <f t="shared" si="116"/>
        <v>-8.2203473869837962E-4</v>
      </c>
      <c r="I1048" s="9">
        <f t="shared" si="117"/>
        <v>-3.1753181518639245E-3</v>
      </c>
      <c r="J1048" s="9">
        <f t="shared" si="118"/>
        <v>18.162406043503701</v>
      </c>
    </row>
    <row r="1049" spans="2:10" x14ac:dyDescent="0.25">
      <c r="B1049" s="1">
        <v>42760</v>
      </c>
      <c r="C1049" s="13">
        <v>30.47</v>
      </c>
      <c r="D1049" s="6">
        <f t="shared" si="112"/>
        <v>1.5903710865868614E-2</v>
      </c>
      <c r="E1049" s="14">
        <f t="shared" si="113"/>
        <v>1.1000953915651271E-4</v>
      </c>
      <c r="F1049" s="9">
        <f t="shared" si="114"/>
        <v>18.167526693751711</v>
      </c>
      <c r="G1049" s="9">
        <f t="shared" si="115"/>
        <v>-5.8730211974812674E-3</v>
      </c>
      <c r="H1049" s="9">
        <f t="shared" si="116"/>
        <v>-1.4159617391267885E-3</v>
      </c>
      <c r="I1049" s="9">
        <f t="shared" si="117"/>
        <v>-2.353076949634279E-2</v>
      </c>
      <c r="J1049" s="9">
        <f t="shared" si="118"/>
        <v>18.13670694131876</v>
      </c>
    </row>
    <row r="1050" spans="2:10" x14ac:dyDescent="0.25">
      <c r="B1050" s="1">
        <v>42759</v>
      </c>
      <c r="C1050" s="13">
        <v>29.992999999999999</v>
      </c>
      <c r="D1050" s="6">
        <f t="shared" si="112"/>
        <v>-8.9940039973357422E-4</v>
      </c>
      <c r="E1050" s="14">
        <f t="shared" si="113"/>
        <v>1.1034802270694407E-4</v>
      </c>
      <c r="F1050" s="9">
        <f t="shared" si="114"/>
        <v>18.16445456122505</v>
      </c>
      <c r="G1050" s="9">
        <f t="shared" si="115"/>
        <v>-0.92624062122001538</v>
      </c>
      <c r="H1050" s="9">
        <f t="shared" si="116"/>
        <v>1.0900576867218908E-2</v>
      </c>
      <c r="I1050" s="9">
        <f t="shared" si="117"/>
        <v>-7.6656334737495065E-3</v>
      </c>
      <c r="J1050" s="9">
        <f t="shared" si="118"/>
        <v>17.241448883398505</v>
      </c>
    </row>
    <row r="1051" spans="2:10" x14ac:dyDescent="0.25">
      <c r="B1051" s="1">
        <v>42758</v>
      </c>
      <c r="C1051" s="13">
        <v>30.02</v>
      </c>
      <c r="D1051" s="6">
        <f t="shared" si="112"/>
        <v>6.6666666666659324E-4</v>
      </c>
      <c r="E1051" s="14">
        <f t="shared" si="113"/>
        <v>1.1258318115734237E-4</v>
      </c>
      <c r="F1051" s="9">
        <f t="shared" si="114"/>
        <v>18.144401438891812</v>
      </c>
      <c r="G1051" s="9">
        <f t="shared" si="115"/>
        <v>-2.8438326247660652E-2</v>
      </c>
      <c r="H1051" s="9">
        <f t="shared" si="116"/>
        <v>-5.0385462790853265E-3</v>
      </c>
      <c r="I1051" s="9">
        <f t="shared" si="117"/>
        <v>-6.6644027700091771E-2</v>
      </c>
      <c r="J1051" s="9">
        <f t="shared" si="118"/>
        <v>18.044280538664975</v>
      </c>
    </row>
    <row r="1052" spans="2:10" x14ac:dyDescent="0.25">
      <c r="B1052" s="1">
        <v>42755</v>
      </c>
      <c r="C1052" s="13">
        <v>30</v>
      </c>
      <c r="D1052" s="6">
        <f t="shared" si="112"/>
        <v>1.8367006177992806E-3</v>
      </c>
      <c r="E1052" s="14">
        <f t="shared" si="113"/>
        <v>1.1263051554140281E-4</v>
      </c>
      <c r="F1052" s="9">
        <f t="shared" si="114"/>
        <v>18.14398108803881</v>
      </c>
      <c r="G1052" s="9">
        <f t="shared" si="115"/>
        <v>-4.1091938918808683E-3</v>
      </c>
      <c r="H1052" s="9">
        <f t="shared" si="116"/>
        <v>-5.3502868319409928E-4</v>
      </c>
      <c r="I1052" s="9">
        <f t="shared" si="117"/>
        <v>-3.5942125205950196E-3</v>
      </c>
      <c r="J1052" s="9">
        <f t="shared" si="118"/>
        <v>18.135742652943136</v>
      </c>
    </row>
    <row r="1053" spans="2:10" x14ac:dyDescent="0.25">
      <c r="B1053" s="1">
        <v>42754</v>
      </c>
      <c r="C1053" s="13">
        <v>29.945</v>
      </c>
      <c r="D1053" s="6">
        <f t="shared" si="112"/>
        <v>-1.7667844522968323E-3</v>
      </c>
      <c r="E1053" s="14">
        <f t="shared" si="113"/>
        <v>1.1387251591921453E-4</v>
      </c>
      <c r="F1053" s="9">
        <f t="shared" si="114"/>
        <v>18.133014234147971</v>
      </c>
      <c r="G1053" s="9">
        <f t="shared" si="115"/>
        <v>-1.930135508603185E-4</v>
      </c>
      <c r="H1053" s="9">
        <f t="shared" si="116"/>
        <v>2.7772651734854866E-4</v>
      </c>
      <c r="I1053" s="9">
        <f t="shared" si="117"/>
        <v>-2.7903362723810249E-2</v>
      </c>
      <c r="J1053" s="9">
        <f t="shared" si="118"/>
        <v>18.105195584390653</v>
      </c>
    </row>
    <row r="1054" spans="2:10" x14ac:dyDescent="0.25">
      <c r="B1054" s="1">
        <v>42753</v>
      </c>
      <c r="C1054" s="13">
        <v>29.998000000000001</v>
      </c>
      <c r="D1054" s="6">
        <f t="shared" si="112"/>
        <v>-6.6666666666659324E-5</v>
      </c>
      <c r="E1054" s="14">
        <f t="shared" si="113"/>
        <v>1.4725189231336807E-4</v>
      </c>
      <c r="F1054" s="9">
        <f t="shared" si="114"/>
        <v>17.875949101915168</v>
      </c>
      <c r="G1054" s="9">
        <f t="shared" si="115"/>
        <v>-3.9232877878523198E-2</v>
      </c>
      <c r="H1054" s="9">
        <f t="shared" si="116"/>
        <v>-5.8255791671208014E-2</v>
      </c>
      <c r="I1054" s="9">
        <f t="shared" si="117"/>
        <v>-7.2254223104194102</v>
      </c>
      <c r="J1054" s="9">
        <f t="shared" si="118"/>
        <v>10.553038121946027</v>
      </c>
    </row>
    <row r="1055" spans="2:10" x14ac:dyDescent="0.25">
      <c r="B1055" s="1">
        <v>42752</v>
      </c>
      <c r="C1055" s="13">
        <v>30</v>
      </c>
      <c r="D1055" s="6">
        <f t="shared" si="112"/>
        <v>8.0645161290322509E-3</v>
      </c>
      <c r="E1055" s="14">
        <f t="shared" si="113"/>
        <v>1.4785177939447941E-4</v>
      </c>
      <c r="F1055" s="9">
        <f t="shared" si="114"/>
        <v>17.871883494029355</v>
      </c>
      <c r="G1055" s="9">
        <f t="shared" si="115"/>
        <v>-9.7333303228189887E-3</v>
      </c>
      <c r="H1055" s="9">
        <f t="shared" si="116"/>
        <v>-1.1868162893787317E-3</v>
      </c>
      <c r="I1055" s="9">
        <f t="shared" si="117"/>
        <v>-8.3533253408369229E-3</v>
      </c>
      <c r="J1055" s="9">
        <f t="shared" si="118"/>
        <v>17.852610022076316</v>
      </c>
    </row>
    <row r="1056" spans="2:10" x14ac:dyDescent="0.25">
      <c r="B1056" s="1">
        <v>42748</v>
      </c>
      <c r="C1056" s="13">
        <v>29.76</v>
      </c>
      <c r="D1056" s="6">
        <f t="shared" si="112"/>
        <v>-1.7777479622982373E-3</v>
      </c>
      <c r="E1056" s="14">
        <f t="shared" si="113"/>
        <v>1.494144667932706E-4</v>
      </c>
      <c r="F1056" s="9">
        <f t="shared" si="114"/>
        <v>17.861369674759175</v>
      </c>
      <c r="G1056" s="9">
        <f t="shared" si="115"/>
        <v>-0.13907536831820858</v>
      </c>
      <c r="H1056" s="9">
        <f t="shared" si="116"/>
        <v>7.5298051977797089E-3</v>
      </c>
      <c r="I1056" s="9">
        <f t="shared" si="117"/>
        <v>-2.7695721552069324E-2</v>
      </c>
      <c r="J1056" s="9">
        <f t="shared" si="118"/>
        <v>17.702128390086674</v>
      </c>
    </row>
    <row r="1057" spans="2:10" x14ac:dyDescent="0.25">
      <c r="B1057" s="1">
        <v>42747</v>
      </c>
      <c r="C1057" s="13">
        <v>29.812999999999999</v>
      </c>
      <c r="D1057" s="6">
        <f t="shared" si="112"/>
        <v>-4.1752956109292194E-3</v>
      </c>
      <c r="E1057" s="14">
        <f t="shared" si="113"/>
        <v>1.500502783357816E-4</v>
      </c>
      <c r="F1057" s="9">
        <f t="shared" si="114"/>
        <v>17.857123348550644</v>
      </c>
      <c r="G1057" s="9">
        <f t="shared" si="115"/>
        <v>-3.8750328095231143E-2</v>
      </c>
      <c r="H1057" s="9">
        <f t="shared" si="116"/>
        <v>-2.4109163111422239E-3</v>
      </c>
      <c r="I1057" s="9">
        <f t="shared" si="117"/>
        <v>-8.6970329741604228E-3</v>
      </c>
      <c r="J1057" s="9">
        <f t="shared" si="118"/>
        <v>17.807265071170111</v>
      </c>
    </row>
    <row r="1058" spans="2:10" x14ac:dyDescent="0.25">
      <c r="B1058" s="1">
        <v>42746</v>
      </c>
      <c r="C1058" s="13">
        <v>29.937999999999999</v>
      </c>
      <c r="D1058" s="6">
        <f t="shared" si="112"/>
        <v>5.3730942306400298E-3</v>
      </c>
      <c r="E1058" s="14">
        <f t="shared" si="113"/>
        <v>1.5016651407623736E-4</v>
      </c>
      <c r="F1058" s="9">
        <f t="shared" si="114"/>
        <v>17.856349003149578</v>
      </c>
      <c r="G1058" s="9">
        <f t="shared" si="115"/>
        <v>-0.11244291324338986</v>
      </c>
      <c r="H1058" s="9">
        <f t="shared" si="116"/>
        <v>-2.6207209944877278E-3</v>
      </c>
      <c r="I1058" s="9">
        <f t="shared" si="117"/>
        <v>-2.7514413290811667E-3</v>
      </c>
      <c r="J1058" s="9">
        <f t="shared" si="118"/>
        <v>17.738533927582619</v>
      </c>
    </row>
    <row r="1059" spans="2:10" x14ac:dyDescent="0.25">
      <c r="B1059" s="1">
        <v>42745</v>
      </c>
      <c r="C1059" s="13">
        <v>29.777999999999999</v>
      </c>
      <c r="D1059" s="6">
        <f t="shared" si="112"/>
        <v>1.0084711577247329E-3</v>
      </c>
      <c r="E1059" s="14">
        <f t="shared" si="113"/>
        <v>1.5004838507094143E-4</v>
      </c>
      <c r="F1059" s="9">
        <f t="shared" si="114"/>
        <v>17.857135966166592</v>
      </c>
      <c r="G1059" s="9">
        <f t="shared" si="115"/>
        <v>-4.6891968202290094E-2</v>
      </c>
      <c r="H1059" s="9">
        <f t="shared" si="116"/>
        <v>1.260462655231867E-3</v>
      </c>
      <c r="I1059" s="9">
        <f t="shared" si="117"/>
        <v>-1.1628587426616996E-3</v>
      </c>
      <c r="J1059" s="9">
        <f t="shared" si="118"/>
        <v>17.810341601876875</v>
      </c>
    </row>
    <row r="1060" spans="2:10" x14ac:dyDescent="0.25">
      <c r="B1060" s="1">
        <v>42744</v>
      </c>
      <c r="C1060" s="13">
        <v>29.748000000000001</v>
      </c>
      <c r="D1060" s="6">
        <f t="shared" si="112"/>
        <v>9.1593730917971516E-3</v>
      </c>
      <c r="E1060" s="14">
        <f t="shared" si="113"/>
        <v>1.5005672806316716E-4</v>
      </c>
      <c r="F1060" s="9">
        <f t="shared" si="114"/>
        <v>17.857080365699538</v>
      </c>
      <c r="G1060" s="9">
        <f t="shared" si="115"/>
        <v>-1.2799924151433656E-3</v>
      </c>
      <c r="H1060" s="9">
        <f t="shared" si="116"/>
        <v>-2.4681292346726854E-4</v>
      </c>
      <c r="I1060" s="9">
        <f t="shared" si="117"/>
        <v>-1.937940258207844E-3</v>
      </c>
      <c r="J1060" s="9">
        <f t="shared" si="118"/>
        <v>17.853615620102719</v>
      </c>
    </row>
    <row r="1061" spans="2:10" x14ac:dyDescent="0.25">
      <c r="B1061" s="1">
        <v>42741</v>
      </c>
      <c r="C1061" s="13">
        <v>29.478000000000002</v>
      </c>
      <c r="D1061" s="6">
        <f t="shared" si="112"/>
        <v>1.1148080815010619E-2</v>
      </c>
      <c r="E1061" s="14">
        <f t="shared" si="113"/>
        <v>1.5026473108525611E-4</v>
      </c>
      <c r="F1061" s="9">
        <f t="shared" si="114"/>
        <v>17.855695162950866</v>
      </c>
      <c r="G1061" s="9">
        <f t="shared" si="115"/>
        <v>-0.18933008807270305</v>
      </c>
      <c r="H1061" s="9">
        <f t="shared" si="116"/>
        <v>3.7396827647816298E-3</v>
      </c>
      <c r="I1061" s="9">
        <f t="shared" si="117"/>
        <v>-3.5545011832765041E-3</v>
      </c>
      <c r="J1061" s="9">
        <f t="shared" si="118"/>
        <v>17.666550256459665</v>
      </c>
    </row>
    <row r="1062" spans="2:10" x14ac:dyDescent="0.25">
      <c r="B1062" s="1">
        <v>42740</v>
      </c>
      <c r="C1062" s="13">
        <v>29.152999999999999</v>
      </c>
      <c r="D1062" s="6">
        <f t="shared" si="112"/>
        <v>5.1025685226684381E-3</v>
      </c>
      <c r="E1062" s="14">
        <f t="shared" si="113"/>
        <v>1.4950931435842968E-4</v>
      </c>
      <c r="F1062" s="9">
        <f t="shared" si="114"/>
        <v>17.860735081098028</v>
      </c>
      <c r="G1062" s="9">
        <f t="shared" si="115"/>
        <v>-0.30403648554840945</v>
      </c>
      <c r="H1062" s="9">
        <f t="shared" si="116"/>
        <v>2.1456112641513874E-4</v>
      </c>
      <c r="I1062" s="9">
        <f t="shared" si="117"/>
        <v>-2.5162375417491721E-4</v>
      </c>
      <c r="J1062" s="9">
        <f t="shared" si="118"/>
        <v>17.556661532921861</v>
      </c>
    </row>
    <row r="1063" spans="2:10" x14ac:dyDescent="0.25">
      <c r="B1063" s="1">
        <v>42739</v>
      </c>
      <c r="C1063" s="13">
        <v>29.004999999999999</v>
      </c>
      <c r="D1063" s="6">
        <f t="shared" si="112"/>
        <v>-1.1364419037124263E-3</v>
      </c>
      <c r="E1063" s="14">
        <f t="shared" si="113"/>
        <v>1.521966172303882E-4</v>
      </c>
      <c r="F1063" s="9">
        <f t="shared" si="114"/>
        <v>17.842920556027011</v>
      </c>
      <c r="G1063" s="9">
        <f t="shared" si="115"/>
        <v>-3.9793561254826415E-2</v>
      </c>
      <c r="H1063" s="9">
        <f t="shared" si="116"/>
        <v>5.8895748321393286E-3</v>
      </c>
      <c r="I1063" s="9">
        <f t="shared" si="117"/>
        <v>-6.3580456326445114E-2</v>
      </c>
      <c r="J1063" s="9">
        <f t="shared" si="118"/>
        <v>17.745436113277879</v>
      </c>
    </row>
    <row r="1064" spans="2:10" x14ac:dyDescent="0.25">
      <c r="B1064" s="1">
        <v>42738</v>
      </c>
      <c r="C1064" s="13">
        <v>29.038</v>
      </c>
      <c r="D1064" s="6">
        <f t="shared" si="112"/>
        <v>2.8665170091521919E-3</v>
      </c>
      <c r="E1064" s="14">
        <f t="shared" si="113"/>
        <v>1.5256534081523756E-4</v>
      </c>
      <c r="F1064" s="9">
        <f t="shared" si="114"/>
        <v>17.840500806743826</v>
      </c>
      <c r="G1064" s="9">
        <f t="shared" si="115"/>
        <v>-2.5107744129847828E-2</v>
      </c>
      <c r="H1064" s="9">
        <f t="shared" si="116"/>
        <v>-1.5668271764790935E-3</v>
      </c>
      <c r="I1064" s="9">
        <f t="shared" si="117"/>
        <v>-5.0949203819678542E-3</v>
      </c>
      <c r="J1064" s="9">
        <f t="shared" si="118"/>
        <v>17.808731315055532</v>
      </c>
    </row>
    <row r="1065" spans="2:10" x14ac:dyDescent="0.25">
      <c r="B1065" s="1">
        <v>42734</v>
      </c>
      <c r="C1065" s="13">
        <v>28.954999999999998</v>
      </c>
      <c r="D1065" s="6">
        <f t="shared" si="112"/>
        <v>-7.8127677072268309E-3</v>
      </c>
      <c r="E1065" s="14">
        <f t="shared" si="113"/>
        <v>1.5262563175800624E-4</v>
      </c>
      <c r="F1065" s="9">
        <f t="shared" si="114"/>
        <v>17.840105703683964</v>
      </c>
      <c r="G1065" s="9">
        <f t="shared" si="115"/>
        <v>-5.0452921458933207E-3</v>
      </c>
      <c r="H1065" s="9">
        <f t="shared" si="116"/>
        <v>5.1705785370094145E-4</v>
      </c>
      <c r="I1065" s="9">
        <f t="shared" si="117"/>
        <v>-2.2430511424572472E-3</v>
      </c>
      <c r="J1065" s="9">
        <f t="shared" si="118"/>
        <v>17.833334418249315</v>
      </c>
    </row>
    <row r="1066" spans="2:10" x14ac:dyDescent="0.25">
      <c r="B1066" s="1">
        <v>42733</v>
      </c>
      <c r="C1066" s="13">
        <v>29.183</v>
      </c>
      <c r="D1066" s="6">
        <f t="shared" si="112"/>
        <v>-2.3980815347723894E-4</v>
      </c>
      <c r="E1066" s="14">
        <f t="shared" si="113"/>
        <v>1.5190825371204234E-4</v>
      </c>
      <c r="F1066" s="9">
        <f t="shared" si="114"/>
        <v>17.844817030778501</v>
      </c>
      <c r="G1066" s="9">
        <f t="shared" si="115"/>
        <v>-0.29418912196495756</v>
      </c>
      <c r="H1066" s="9">
        <f t="shared" si="116"/>
        <v>-3.8417441807368216E-4</v>
      </c>
      <c r="I1066" s="9">
        <f t="shared" si="117"/>
        <v>-1.7108757219691832E-4</v>
      </c>
      <c r="J1066" s="9">
        <f t="shared" si="118"/>
        <v>17.550072646823271</v>
      </c>
    </row>
    <row r="1067" spans="2:10" x14ac:dyDescent="0.25">
      <c r="B1067" s="1">
        <v>42732</v>
      </c>
      <c r="C1067" s="13">
        <v>29.19</v>
      </c>
      <c r="D1067" s="6">
        <f t="shared" si="112"/>
        <v>-4.2640286542725558E-3</v>
      </c>
      <c r="E1067" s="14">
        <f t="shared" si="113"/>
        <v>1.5218268632322452E-4</v>
      </c>
      <c r="F1067" s="9">
        <f t="shared" si="114"/>
        <v>17.843012092521185</v>
      </c>
      <c r="G1067" s="9">
        <f t="shared" si="115"/>
        <v>-1.1488139009303896E-2</v>
      </c>
      <c r="H1067" s="9">
        <f t="shared" si="116"/>
        <v>-9.7563382265105237E-4</v>
      </c>
      <c r="I1067" s="9">
        <f t="shared" si="117"/>
        <v>-4.1179475627778489E-3</v>
      </c>
      <c r="J1067" s="9">
        <f t="shared" si="118"/>
        <v>17.826430372126449</v>
      </c>
    </row>
    <row r="1068" spans="2:10" x14ac:dyDescent="0.25">
      <c r="B1068" s="1">
        <v>42731</v>
      </c>
      <c r="C1068" s="13">
        <v>29.315000000000001</v>
      </c>
      <c r="D1068" s="6">
        <f t="shared" si="112"/>
        <v>6.3508410573291929E-3</v>
      </c>
      <c r="E1068" s="14">
        <f t="shared" si="113"/>
        <v>1.5193645727895058E-4</v>
      </c>
      <c r="F1068" s="9">
        <f t="shared" si="114"/>
        <v>17.84463138616486</v>
      </c>
      <c r="G1068" s="9">
        <f t="shared" si="115"/>
        <v>-0.11455788165704624</v>
      </c>
      <c r="H1068" s="9">
        <f t="shared" si="116"/>
        <v>-1.5905620882372339E-3</v>
      </c>
      <c r="I1068" s="9">
        <f t="shared" si="117"/>
        <v>-5.5959949679068317E-4</v>
      </c>
      <c r="J1068" s="9">
        <f t="shared" si="118"/>
        <v>17.727923342922789</v>
      </c>
    </row>
    <row r="1069" spans="2:10" x14ac:dyDescent="0.25">
      <c r="B1069" s="1">
        <v>42727</v>
      </c>
      <c r="C1069" s="13">
        <v>29.13</v>
      </c>
      <c r="D1069" s="6">
        <f t="shared" si="112"/>
        <v>1.9605819832833049E-3</v>
      </c>
      <c r="E1069" s="14">
        <f t="shared" si="113"/>
        <v>1.5188926193753988E-4</v>
      </c>
      <c r="F1069" s="9">
        <f t="shared" si="114"/>
        <v>17.844942059941339</v>
      </c>
      <c r="G1069" s="9">
        <f t="shared" si="115"/>
        <v>-7.3663544941354006E-2</v>
      </c>
      <c r="H1069" s="9">
        <f t="shared" si="116"/>
        <v>1.7333261366373703E-3</v>
      </c>
      <c r="I1069" s="9">
        <f t="shared" si="117"/>
        <v>-1.5356905222191643E-3</v>
      </c>
      <c r="J1069" s="9">
        <f t="shared" si="118"/>
        <v>17.771476150614404</v>
      </c>
    </row>
    <row r="1070" spans="2:10" x14ac:dyDescent="0.25">
      <c r="B1070" s="1">
        <v>42726</v>
      </c>
      <c r="C1070" s="13">
        <v>29.073</v>
      </c>
      <c r="D1070" s="6">
        <f t="shared" si="112"/>
        <v>-6.5607380830343676E-3</v>
      </c>
      <c r="E1070" s="14">
        <f t="shared" si="113"/>
        <v>1.5291604085638011E-4</v>
      </c>
      <c r="F1070" s="9">
        <f t="shared" si="114"/>
        <v>17.838204757188905</v>
      </c>
      <c r="G1070" s="9">
        <f t="shared" si="115"/>
        <v>-3.6416373364141224E-4</v>
      </c>
      <c r="H1070" s="9">
        <f t="shared" si="116"/>
        <v>2.9451644544265556E-4</v>
      </c>
      <c r="I1070" s="9">
        <f t="shared" si="117"/>
        <v>-1.4981669963375653E-2</v>
      </c>
      <c r="J1070" s="9">
        <f t="shared" si="118"/>
        <v>17.823153439937329</v>
      </c>
    </row>
    <row r="1071" spans="2:10" x14ac:dyDescent="0.25">
      <c r="B1071" s="1">
        <v>42725</v>
      </c>
      <c r="C1071" s="13">
        <v>29.265000000000001</v>
      </c>
      <c r="D1071" s="6">
        <f t="shared" si="112"/>
        <v>9.234557767290319E-4</v>
      </c>
      <c r="E1071" s="14">
        <f t="shared" si="113"/>
        <v>1.5236104209269543E-4</v>
      </c>
      <c r="F1071" s="9">
        <f t="shared" si="114"/>
        <v>17.841840794128082</v>
      </c>
      <c r="G1071" s="9">
        <f t="shared" si="115"/>
        <v>-0.22067047153251376</v>
      </c>
      <c r="H1071" s="9">
        <f t="shared" si="116"/>
        <v>-9.7748990791521719E-4</v>
      </c>
      <c r="I1071" s="9">
        <f t="shared" si="117"/>
        <v>-2.2552307102653534E-7</v>
      </c>
      <c r="J1071" s="9">
        <f t="shared" si="118"/>
        <v>17.620192607164583</v>
      </c>
    </row>
    <row r="1072" spans="2:10" x14ac:dyDescent="0.25">
      <c r="B1072" s="1">
        <v>42724</v>
      </c>
      <c r="C1072" s="13">
        <v>29.238</v>
      </c>
      <c r="D1072" s="6">
        <f t="shared" si="112"/>
        <v>2.6748971193415461E-3</v>
      </c>
      <c r="E1072" s="14">
        <f t="shared" si="113"/>
        <v>1.5334716302715386E-4</v>
      </c>
      <c r="F1072" s="9">
        <f t="shared" si="114"/>
        <v>17.835389384985682</v>
      </c>
      <c r="G1072" s="9">
        <f t="shared" si="115"/>
        <v>-1.6202829275852703E-3</v>
      </c>
      <c r="H1072" s="9">
        <f t="shared" si="116"/>
        <v>-6.0656238397912416E-4</v>
      </c>
      <c r="I1072" s="9">
        <f t="shared" si="117"/>
        <v>-1.4164893432048103E-2</v>
      </c>
      <c r="J1072" s="9">
        <f t="shared" si="118"/>
        <v>17.818997646242067</v>
      </c>
    </row>
    <row r="1073" spans="2:10" x14ac:dyDescent="0.25">
      <c r="B1073" s="1">
        <v>42723</v>
      </c>
      <c r="C1073" s="13">
        <v>29.16</v>
      </c>
      <c r="D1073" s="6">
        <f t="shared" si="112"/>
        <v>5.7600110371469615E-3</v>
      </c>
      <c r="E1073" s="14">
        <f t="shared" si="113"/>
        <v>1.5372275241769221E-4</v>
      </c>
      <c r="F1073" s="9">
        <f t="shared" si="114"/>
        <v>17.83294310445509</v>
      </c>
      <c r="G1073" s="9">
        <f t="shared" si="115"/>
        <v>-3.5798369260649178E-3</v>
      </c>
      <c r="H1073" s="9">
        <f t="shared" si="116"/>
        <v>5.9285631731339789E-4</v>
      </c>
      <c r="I1073" s="9">
        <f t="shared" si="117"/>
        <v>-5.1112902682009121E-3</v>
      </c>
      <c r="J1073" s="9">
        <f t="shared" si="118"/>
        <v>17.82484483357814</v>
      </c>
    </row>
    <row r="1074" spans="2:10" x14ac:dyDescent="0.25">
      <c r="B1074" s="1">
        <v>42720</v>
      </c>
      <c r="C1074" s="13">
        <v>28.992999999999999</v>
      </c>
      <c r="D1074" s="6">
        <f t="shared" si="112"/>
        <v>1.3123812812985136E-3</v>
      </c>
      <c r="E1074" s="14">
        <f t="shared" si="113"/>
        <v>1.5545631551436371E-4</v>
      </c>
      <c r="F1074" s="9">
        <f t="shared" si="114"/>
        <v>17.82172901240564</v>
      </c>
      <c r="G1074" s="9">
        <f t="shared" si="115"/>
        <v>-5.5094053210318905E-2</v>
      </c>
      <c r="H1074" s="9">
        <f t="shared" si="116"/>
        <v>4.982145385390567E-3</v>
      </c>
      <c r="I1074" s="9">
        <f t="shared" si="117"/>
        <v>-3.0819973344435831E-2</v>
      </c>
      <c r="J1074" s="9">
        <f t="shared" si="118"/>
        <v>17.740797131236278</v>
      </c>
    </row>
    <row r="1075" spans="2:10" x14ac:dyDescent="0.25">
      <c r="B1075" s="1">
        <v>42719</v>
      </c>
      <c r="C1075" s="13">
        <v>28.954999999999998</v>
      </c>
      <c r="D1075" s="6">
        <f t="shared" si="112"/>
        <v>5.4517674838530095E-3</v>
      </c>
      <c r="E1075" s="14">
        <f t="shared" si="113"/>
        <v>1.5771748127062994E-4</v>
      </c>
      <c r="F1075" s="9">
        <f t="shared" si="114"/>
        <v>17.80728843613268</v>
      </c>
      <c r="G1075" s="9">
        <f t="shared" si="115"/>
        <v>-3.1543145275081088E-4</v>
      </c>
      <c r="H1075" s="9">
        <f t="shared" si="116"/>
        <v>-4.5217532307701244E-4</v>
      </c>
      <c r="I1075" s="9">
        <f t="shared" si="117"/>
        <v>-4.5961438883336196E-2</v>
      </c>
      <c r="J1075" s="9">
        <f t="shared" si="118"/>
        <v>17.760559390473517</v>
      </c>
    </row>
    <row r="1076" spans="2:10" x14ac:dyDescent="0.25">
      <c r="B1076" s="1">
        <v>42718</v>
      </c>
      <c r="C1076" s="13">
        <v>28.798000000000002</v>
      </c>
      <c r="D1076" s="6">
        <f t="shared" si="112"/>
        <v>0</v>
      </c>
      <c r="E1076" s="14">
        <f t="shared" si="113"/>
        <v>1.6500871526450706E-4</v>
      </c>
      <c r="F1076" s="9">
        <f t="shared" si="114"/>
        <v>17.762095483098307</v>
      </c>
      <c r="G1076" s="9">
        <f t="shared" si="115"/>
        <v>-4.4450561377188627E-2</v>
      </c>
      <c r="H1076" s="9">
        <f t="shared" si="116"/>
        <v>1.3868215877279952E-2</v>
      </c>
      <c r="I1076" s="9">
        <f t="shared" si="117"/>
        <v>-0.34229678204205843</v>
      </c>
      <c r="J1076" s="9">
        <f t="shared" si="118"/>
        <v>17.389216355556339</v>
      </c>
    </row>
    <row r="1077" spans="2:10" x14ac:dyDescent="0.25">
      <c r="B1077" s="1">
        <v>42717</v>
      </c>
      <c r="C1077" s="13">
        <v>28.798000000000002</v>
      </c>
      <c r="D1077" s="6">
        <f t="shared" si="112"/>
        <v>1.6699029126213683E-2</v>
      </c>
      <c r="E1077" s="14">
        <f t="shared" si="113"/>
        <v>1.6512953683778429E-4</v>
      </c>
      <c r="F1077" s="9">
        <f t="shared" si="114"/>
        <v>17.761363537751762</v>
      </c>
      <c r="G1077" s="9">
        <f t="shared" si="115"/>
        <v>-8.0424766561823704E-3</v>
      </c>
      <c r="H1077" s="9">
        <f t="shared" si="116"/>
        <v>-6.7172227810025195E-4</v>
      </c>
      <c r="I1077" s="9">
        <f t="shared" si="117"/>
        <v>-2.3534650840488142E-3</v>
      </c>
      <c r="J1077" s="9">
        <f t="shared" si="118"/>
        <v>17.750295873733432</v>
      </c>
    </row>
    <row r="1078" spans="2:10" x14ac:dyDescent="0.25">
      <c r="B1078" s="1">
        <v>42716</v>
      </c>
      <c r="C1078" s="13">
        <v>28.324999999999999</v>
      </c>
      <c r="D1078" s="6">
        <f t="shared" si="112"/>
        <v>-5.7217073855658773E-3</v>
      </c>
      <c r="E1078" s="14">
        <f t="shared" si="113"/>
        <v>1.6344899686287757E-4</v>
      </c>
      <c r="F1078" s="9">
        <f t="shared" si="114"/>
        <v>17.771592779509561</v>
      </c>
      <c r="G1078" s="9">
        <f t="shared" si="115"/>
        <v>-0.69693834605722582</v>
      </c>
      <c r="H1078" s="9">
        <f t="shared" si="116"/>
        <v>-5.9970447119176663E-3</v>
      </c>
      <c r="I1078" s="9">
        <f t="shared" si="117"/>
        <v>-7.4745727127988153E-3</v>
      </c>
      <c r="J1078" s="9">
        <f t="shared" si="118"/>
        <v>17.061182816027618</v>
      </c>
    </row>
    <row r="1079" spans="2:10" x14ac:dyDescent="0.25">
      <c r="B1079" s="1">
        <v>42713</v>
      </c>
      <c r="C1079" s="13">
        <v>28.488</v>
      </c>
      <c r="D1079" s="6">
        <f t="shared" si="112"/>
        <v>1.6339636104174105E-2</v>
      </c>
      <c r="E1079" s="14">
        <f t="shared" si="113"/>
        <v>1.6342314212778374E-4</v>
      </c>
      <c r="F1079" s="9">
        <f t="shared" si="114"/>
        <v>17.77175097430235</v>
      </c>
      <c r="G1079" s="9">
        <f t="shared" si="115"/>
        <v>-0.16573065697494027</v>
      </c>
      <c r="H1079" s="9">
        <f t="shared" si="116"/>
        <v>-2.5774289053835191E-3</v>
      </c>
      <c r="I1079" s="9">
        <f t="shared" si="117"/>
        <v>-1.4401605769604497E-3</v>
      </c>
      <c r="J1079" s="9">
        <f t="shared" si="118"/>
        <v>17.602002727845065</v>
      </c>
    </row>
    <row r="1080" spans="2:10" x14ac:dyDescent="0.25">
      <c r="B1080" s="1">
        <v>42712</v>
      </c>
      <c r="C1080" s="13">
        <v>28.03</v>
      </c>
      <c r="D1080" s="6">
        <f t="shared" si="112"/>
        <v>9.7989768715325276E-3</v>
      </c>
      <c r="E1080" s="14">
        <f t="shared" si="113"/>
        <v>1.6171648423442695E-4</v>
      </c>
      <c r="F1080" s="9">
        <f t="shared" si="114"/>
        <v>17.782249070684244</v>
      </c>
      <c r="G1080" s="9">
        <f t="shared" si="115"/>
        <v>-0.67121147920959368</v>
      </c>
      <c r="H1080" s="9">
        <f t="shared" si="116"/>
        <v>-6.0924524257445897E-3</v>
      </c>
      <c r="I1080" s="9">
        <f t="shared" si="117"/>
        <v>-7.8632317549567222E-3</v>
      </c>
      <c r="J1080" s="9">
        <f t="shared" si="118"/>
        <v>17.097081907293951</v>
      </c>
    </row>
    <row r="1081" spans="2:10" x14ac:dyDescent="0.25">
      <c r="B1081" s="1">
        <v>42711</v>
      </c>
      <c r="C1081" s="13">
        <v>27.757999999999999</v>
      </c>
      <c r="D1081" s="6">
        <f t="shared" si="112"/>
        <v>9.8224679860301478E-3</v>
      </c>
      <c r="E1081" s="14">
        <f t="shared" si="113"/>
        <v>1.6593001356643265E-4</v>
      </c>
      <c r="F1081" s="9">
        <f t="shared" si="114"/>
        <v>17.756527680954193</v>
      </c>
      <c r="G1081" s="9">
        <f t="shared" si="115"/>
        <v>-0.20181131212722656</v>
      </c>
      <c r="H1081" s="9">
        <f t="shared" si="116"/>
        <v>1.8260258033772511E-2</v>
      </c>
      <c r="I1081" s="9">
        <f t="shared" si="117"/>
        <v>-0.12508697059538562</v>
      </c>
      <c r="J1081" s="9">
        <f t="shared" si="118"/>
        <v>17.447889656265353</v>
      </c>
    </row>
    <row r="1082" spans="2:10" x14ac:dyDescent="0.25">
      <c r="B1082" s="1">
        <v>42710</v>
      </c>
      <c r="C1082" s="13">
        <v>27.488</v>
      </c>
      <c r="D1082" s="6">
        <f t="shared" si="112"/>
        <v>7.69851162108659E-3</v>
      </c>
      <c r="E1082" s="14">
        <f t="shared" si="113"/>
        <v>1.653809096573283E-4</v>
      </c>
      <c r="F1082" s="9">
        <f t="shared" si="114"/>
        <v>17.759842418702853</v>
      </c>
      <c r="G1082" s="9">
        <f t="shared" si="115"/>
        <v>-0.20364720004691381</v>
      </c>
      <c r="H1082" s="9">
        <f t="shared" si="116"/>
        <v>9.2290811423508944E-4</v>
      </c>
      <c r="I1082" s="9">
        <f t="shared" si="117"/>
        <v>-2.6414201881712313E-6</v>
      </c>
      <c r="J1082" s="9">
        <f t="shared" si="118"/>
        <v>17.557115485349986</v>
      </c>
    </row>
    <row r="1083" spans="2:10" x14ac:dyDescent="0.25">
      <c r="B1083" s="1">
        <v>42709</v>
      </c>
      <c r="C1083" s="13">
        <v>27.277999999999999</v>
      </c>
      <c r="D1083" s="6">
        <f t="shared" si="112"/>
        <v>-7.1701546860784005E-3</v>
      </c>
      <c r="E1083" s="14">
        <f t="shared" si="113"/>
        <v>1.6517093127595131E-4</v>
      </c>
      <c r="F1083" s="9">
        <f t="shared" si="114"/>
        <v>17.761112890584229</v>
      </c>
      <c r="G1083" s="9">
        <f t="shared" si="115"/>
        <v>-0.11190858753595828</v>
      </c>
      <c r="H1083" s="9">
        <f t="shared" si="116"/>
        <v>1.6062918195285068E-3</v>
      </c>
      <c r="I1083" s="9">
        <f t="shared" si="117"/>
        <v>-5.6462484056307488E-4</v>
      </c>
      <c r="J1083" s="9">
        <f t="shared" si="118"/>
        <v>17.650245970027235</v>
      </c>
    </row>
    <row r="1084" spans="2:10" x14ac:dyDescent="0.25">
      <c r="B1084" s="1">
        <v>42706</v>
      </c>
      <c r="C1084" s="13">
        <v>27.475000000000001</v>
      </c>
      <c r="D1084" s="6">
        <f t="shared" si="112"/>
        <v>3.7262996383298219E-3</v>
      </c>
      <c r="E1084" s="14">
        <f t="shared" si="113"/>
        <v>1.6460816383324735E-4</v>
      </c>
      <c r="F1084" s="9">
        <f t="shared" si="114"/>
        <v>17.764525890360964</v>
      </c>
      <c r="G1084" s="9">
        <f t="shared" si="115"/>
        <v>-0.23578751074679871</v>
      </c>
      <c r="H1084" s="9">
        <f t="shared" si="116"/>
        <v>-9.4140123121307193E-4</v>
      </c>
      <c r="I1084" s="9">
        <f t="shared" si="117"/>
        <v>-6.5375996583513087E-6</v>
      </c>
      <c r="J1084" s="9">
        <f t="shared" si="118"/>
        <v>17.527790440783292</v>
      </c>
    </row>
    <row r="1085" spans="2:10" x14ac:dyDescent="0.25">
      <c r="B1085" s="1">
        <v>42705</v>
      </c>
      <c r="C1085" s="13">
        <v>27.373000000000001</v>
      </c>
      <c r="D1085" s="6">
        <f t="shared" si="112"/>
        <v>-9.3014838943177303E-3</v>
      </c>
      <c r="E1085" s="14">
        <f t="shared" si="113"/>
        <v>1.6670739867983355E-4</v>
      </c>
      <c r="F1085" s="9">
        <f t="shared" si="114"/>
        <v>17.751853603414659</v>
      </c>
      <c r="G1085" s="9">
        <f t="shared" si="115"/>
        <v>-1.3252656084998139E-2</v>
      </c>
      <c r="H1085" s="9">
        <f t="shared" si="116"/>
        <v>2.70005522968365E-3</v>
      </c>
      <c r="I1085" s="9">
        <f t="shared" si="117"/>
        <v>-3.8167072516720489E-2</v>
      </c>
      <c r="J1085" s="9">
        <f t="shared" si="118"/>
        <v>17.703133930042625</v>
      </c>
    </row>
    <row r="1086" spans="2:10" x14ac:dyDescent="0.25">
      <c r="B1086" s="1">
        <v>42704</v>
      </c>
      <c r="C1086" s="13">
        <v>27.63</v>
      </c>
      <c r="D1086" s="6">
        <f t="shared" si="112"/>
        <v>-8.433518751121416E-3</v>
      </c>
      <c r="E1086" s="14">
        <f t="shared" si="113"/>
        <v>1.6653398467801251E-4</v>
      </c>
      <c r="F1086" s="9">
        <f t="shared" si="114"/>
        <v>17.752894374616165</v>
      </c>
      <c r="G1086" s="9">
        <f t="shared" si="115"/>
        <v>-0.35966481510588189</v>
      </c>
      <c r="H1086" s="9">
        <f t="shared" si="116"/>
        <v>-3.0452829201208075E-3</v>
      </c>
      <c r="I1086" s="9">
        <f t="shared" si="117"/>
        <v>-6.8747509376893489E-4</v>
      </c>
      <c r="J1086" s="9">
        <f t="shared" si="118"/>
        <v>17.389496801496392</v>
      </c>
    </row>
    <row r="1087" spans="2:10" x14ac:dyDescent="0.25">
      <c r="B1087" s="1">
        <v>42703</v>
      </c>
      <c r="C1087" s="13">
        <v>27.864999999999998</v>
      </c>
      <c r="D1087" s="6">
        <f t="shared" si="112"/>
        <v>-1.0038360879074393E-3</v>
      </c>
      <c r="E1087" s="14">
        <f t="shared" si="113"/>
        <v>1.6611174250321018E-4</v>
      </c>
      <c r="F1087" s="9">
        <f t="shared" si="114"/>
        <v>17.755433065884848</v>
      </c>
      <c r="G1087" s="9">
        <f t="shared" si="115"/>
        <v>-0.30557920879113376</v>
      </c>
      <c r="H1087" s="9">
        <f t="shared" si="116"/>
        <v>-1.6961841621876842E-3</v>
      </c>
      <c r="I1087" s="9">
        <f t="shared" si="117"/>
        <v>-6.0044595288923037E-5</v>
      </c>
      <c r="J1087" s="9">
        <f t="shared" si="118"/>
        <v>17.448097628336235</v>
      </c>
    </row>
    <row r="1088" spans="2:10" x14ac:dyDescent="0.25">
      <c r="B1088" s="1">
        <v>42702</v>
      </c>
      <c r="C1088" s="13">
        <v>27.893000000000001</v>
      </c>
      <c r="D1088" s="6">
        <f t="shared" si="112"/>
        <v>-1.9679404608559103E-3</v>
      </c>
      <c r="E1088" s="14">
        <f t="shared" si="113"/>
        <v>1.6610920580637013E-4</v>
      </c>
      <c r="F1088" s="9">
        <f t="shared" si="114"/>
        <v>17.755448337028064</v>
      </c>
      <c r="G1088" s="9">
        <f t="shared" si="115"/>
        <v>-2.09007709003452E-2</v>
      </c>
      <c r="H1088" s="9">
        <f t="shared" si="116"/>
        <v>-9.3518702011923481E-4</v>
      </c>
      <c r="I1088" s="9">
        <f t="shared" si="117"/>
        <v>-1.5248161342012805E-3</v>
      </c>
      <c r="J1088" s="9">
        <f t="shared" si="118"/>
        <v>17.732087562973401</v>
      </c>
    </row>
    <row r="1089" spans="2:10" x14ac:dyDescent="0.25">
      <c r="B1089" s="1">
        <v>42699</v>
      </c>
      <c r="C1089" s="13">
        <v>27.948</v>
      </c>
      <c r="D1089" s="6">
        <f t="shared" si="112"/>
        <v>5.0345224395857979E-3</v>
      </c>
      <c r="E1089" s="14">
        <f t="shared" si="113"/>
        <v>1.6610432499004224E-4</v>
      </c>
      <c r="F1089" s="9">
        <f t="shared" si="114"/>
        <v>17.75547772063755</v>
      </c>
      <c r="G1089" s="9">
        <f t="shared" si="115"/>
        <v>-3.9024739089616817E-2</v>
      </c>
      <c r="H1089" s="9">
        <f t="shared" si="116"/>
        <v>-1.2741389883839053E-3</v>
      </c>
      <c r="I1089" s="9">
        <f t="shared" si="117"/>
        <v>-1.5112853749598711E-3</v>
      </c>
      <c r="J1089" s="9">
        <f t="shared" si="118"/>
        <v>17.713667557184593</v>
      </c>
    </row>
    <row r="1090" spans="2:10" x14ac:dyDescent="0.25">
      <c r="B1090" s="1">
        <v>42697</v>
      </c>
      <c r="C1090" s="13">
        <v>27.808</v>
      </c>
      <c r="D1090" s="6">
        <f t="shared" si="112"/>
        <v>-5.0805008944543317E-3</v>
      </c>
      <c r="E1090" s="14">
        <f t="shared" si="113"/>
        <v>1.662917010009691E-4</v>
      </c>
      <c r="F1090" s="9">
        <f t="shared" si="114"/>
        <v>17.754350294217723</v>
      </c>
      <c r="G1090" s="9">
        <f t="shared" si="115"/>
        <v>-3.5008316673623932E-2</v>
      </c>
      <c r="H1090" s="9">
        <f t="shared" si="116"/>
        <v>1.4973846844483218E-3</v>
      </c>
      <c r="I1090" s="9">
        <f t="shared" si="117"/>
        <v>-2.8259842005271298E-3</v>
      </c>
      <c r="J1090" s="9">
        <f t="shared" si="118"/>
        <v>17.718013378028019</v>
      </c>
    </row>
    <row r="1091" spans="2:10" x14ac:dyDescent="0.25">
      <c r="B1091" s="1">
        <v>42696</v>
      </c>
      <c r="C1091" s="13">
        <v>27.95</v>
      </c>
      <c r="D1091" s="6">
        <f t="shared" si="112"/>
        <v>6.085991479611863E-4</v>
      </c>
      <c r="E1091" s="14">
        <f t="shared" si="113"/>
        <v>1.6597310097485327E-4</v>
      </c>
      <c r="F1091" s="9">
        <f t="shared" si="114"/>
        <v>17.756268042482752</v>
      </c>
      <c r="G1091" s="9">
        <f t="shared" si="115"/>
        <v>-0.13595093852454915</v>
      </c>
      <c r="H1091" s="9">
        <f t="shared" si="116"/>
        <v>-1.4415612058487452E-3</v>
      </c>
      <c r="I1091" s="9">
        <f t="shared" si="117"/>
        <v>-2.4029682895873545E-4</v>
      </c>
      <c r="J1091" s="9">
        <f t="shared" si="118"/>
        <v>17.618635245923397</v>
      </c>
    </row>
    <row r="1092" spans="2:10" x14ac:dyDescent="0.25">
      <c r="B1092" s="1">
        <v>42695</v>
      </c>
      <c r="C1092" s="13">
        <v>27.933</v>
      </c>
      <c r="D1092" s="6">
        <f t="shared" si="112"/>
        <v>1.5191713610757773E-2</v>
      </c>
      <c r="E1092" s="14">
        <f t="shared" si="113"/>
        <v>1.6659795292231483E-4</v>
      </c>
      <c r="F1092" s="9">
        <f t="shared" si="114"/>
        <v>17.752510333112674</v>
      </c>
      <c r="G1092" s="9">
        <f t="shared" si="115"/>
        <v>-3.1240542294141047E-3</v>
      </c>
      <c r="H1092" s="9">
        <f t="shared" si="116"/>
        <v>-6.44706257777709E-4</v>
      </c>
      <c r="I1092" s="9">
        <f t="shared" si="117"/>
        <v>-7.335990270841931E-3</v>
      </c>
      <c r="J1092" s="9">
        <f t="shared" si="118"/>
        <v>17.741405582354641</v>
      </c>
    </row>
    <row r="1093" spans="2:10" x14ac:dyDescent="0.25">
      <c r="B1093" s="1">
        <v>42692</v>
      </c>
      <c r="C1093" s="13">
        <v>27.515000000000001</v>
      </c>
      <c r="D1093" s="6">
        <f t="shared" si="112"/>
        <v>9.8224679860314801E-4</v>
      </c>
      <c r="E1093" s="14">
        <f t="shared" si="113"/>
        <v>1.6680280761218215E-4</v>
      </c>
      <c r="F1093" s="9">
        <f t="shared" si="114"/>
        <v>17.751281453398548</v>
      </c>
      <c r="G1093" s="9">
        <f t="shared" si="115"/>
        <v>-0.55315754234545156</v>
      </c>
      <c r="H1093" s="9">
        <f t="shared" si="116"/>
        <v>6.0481001141982835E-3</v>
      </c>
      <c r="I1093" s="9">
        <f t="shared" si="117"/>
        <v>-2.9502618367764069E-3</v>
      </c>
      <c r="J1093" s="9">
        <f t="shared" si="118"/>
        <v>17.201221749330518</v>
      </c>
    </row>
    <row r="1094" spans="2:10" x14ac:dyDescent="0.25">
      <c r="B1094" s="1">
        <v>42691</v>
      </c>
      <c r="C1094" s="13">
        <v>27.488</v>
      </c>
      <c r="D1094" s="6">
        <f t="shared" si="112"/>
        <v>-3.6366281184097016E-4</v>
      </c>
      <c r="E1094" s="14">
        <f t="shared" si="113"/>
        <v>1.670796017553707E-4</v>
      </c>
      <c r="F1094" s="9">
        <f t="shared" si="114"/>
        <v>17.749623419319285</v>
      </c>
      <c r="G1094" s="9">
        <f t="shared" si="115"/>
        <v>-1.2490695706306807E-3</v>
      </c>
      <c r="H1094" s="9">
        <f t="shared" si="116"/>
        <v>-3.0770096602822226E-4</v>
      </c>
      <c r="I1094" s="9">
        <f t="shared" si="117"/>
        <v>-3.5505576123720205E-3</v>
      </c>
      <c r="J1094" s="9">
        <f t="shared" si="118"/>
        <v>17.744516091170254</v>
      </c>
    </row>
    <row r="1095" spans="2:10" x14ac:dyDescent="0.25">
      <c r="B1095" s="1">
        <v>42690</v>
      </c>
      <c r="C1095" s="13">
        <v>27.498000000000001</v>
      </c>
      <c r="D1095" s="6">
        <f t="shared" si="112"/>
        <v>2.68877436701771E-2</v>
      </c>
      <c r="E1095" s="14">
        <f t="shared" si="113"/>
        <v>1.6708473572306633E-4</v>
      </c>
      <c r="F1095" s="9">
        <f t="shared" si="114"/>
        <v>17.749592692116405</v>
      </c>
      <c r="G1095" s="9">
        <f t="shared" si="115"/>
        <v>-1.1897729335448106E-2</v>
      </c>
      <c r="H1095" s="9">
        <f t="shared" si="116"/>
        <v>-7.1028094766399186E-4</v>
      </c>
      <c r="I1095" s="9">
        <f t="shared" si="117"/>
        <v>-1.5511851593460948E-3</v>
      </c>
      <c r="J1095" s="9">
        <f t="shared" si="118"/>
        <v>17.735433496673945</v>
      </c>
    </row>
    <row r="1096" spans="2:10" x14ac:dyDescent="0.25">
      <c r="B1096" s="1">
        <v>42689</v>
      </c>
      <c r="C1096" s="13">
        <v>26.777999999999999</v>
      </c>
      <c r="D1096" s="6">
        <f t="shared" si="112"/>
        <v>1.3243529589828995E-2</v>
      </c>
      <c r="E1096" s="14">
        <f t="shared" si="113"/>
        <v>1.6182587920046486E-4</v>
      </c>
      <c r="F1096" s="9">
        <f t="shared" si="114"/>
        <v>17.781572837939667</v>
      </c>
      <c r="G1096" s="9">
        <f t="shared" si="115"/>
        <v>-1.9773591916715947</v>
      </c>
      <c r="H1096" s="9">
        <f t="shared" si="116"/>
        <v>-5.1453420918752879E-2</v>
      </c>
      <c r="I1096" s="9">
        <f t="shared" si="117"/>
        <v>-0.12748323375236895</v>
      </c>
      <c r="J1096" s="9">
        <f t="shared" si="118"/>
        <v>15.625276991596952</v>
      </c>
    </row>
    <row r="1097" spans="2:10" x14ac:dyDescent="0.25">
      <c r="B1097" s="1">
        <v>42688</v>
      </c>
      <c r="C1097" s="13">
        <v>26.428000000000001</v>
      </c>
      <c r="D1097" s="6">
        <f t="shared" si="112"/>
        <v>-2.5084845801977229E-2</v>
      </c>
      <c r="E1097" s="14">
        <f t="shared" si="113"/>
        <v>1.6288627978558546E-4</v>
      </c>
      <c r="F1097" s="9">
        <f t="shared" si="114"/>
        <v>17.775041488094168</v>
      </c>
      <c r="G1097" s="9">
        <f t="shared" si="115"/>
        <v>-0.41542773949089928</v>
      </c>
      <c r="H1097" s="9">
        <f t="shared" si="116"/>
        <v>9.815433171463531E-3</v>
      </c>
      <c r="I1097" s="9">
        <f t="shared" si="117"/>
        <v>-1.4372217746442494E-2</v>
      </c>
      <c r="J1097" s="9">
        <f t="shared" si="118"/>
        <v>17.355056964028293</v>
      </c>
    </row>
    <row r="1098" spans="2:10" x14ac:dyDescent="0.25">
      <c r="B1098" s="1">
        <v>42685</v>
      </c>
      <c r="C1098" s="13">
        <v>27.108000000000001</v>
      </c>
      <c r="D1098" s="6">
        <f t="shared" si="112"/>
        <v>5.9373608431052549E-3</v>
      </c>
      <c r="E1098" s="14">
        <f t="shared" si="113"/>
        <v>1.5898165699422545E-4</v>
      </c>
      <c r="F1098" s="9">
        <f t="shared" si="114"/>
        <v>17.799304944639854</v>
      </c>
      <c r="G1098" s="9">
        <f t="shared" si="115"/>
        <v>-2.2507403311995136</v>
      </c>
      <c r="H1098" s="9">
        <f t="shared" si="116"/>
        <v>3.8559213348165464E-2</v>
      </c>
      <c r="I1098" s="9">
        <f t="shared" si="117"/>
        <v>-6.586276390318796E-2</v>
      </c>
      <c r="J1098" s="9">
        <f t="shared" si="118"/>
        <v>15.521261062885317</v>
      </c>
    </row>
    <row r="1099" spans="2:10" x14ac:dyDescent="0.25">
      <c r="B1099" s="1">
        <v>42684</v>
      </c>
      <c r="C1099" s="13">
        <v>26.948</v>
      </c>
      <c r="D1099" s="6">
        <f t="shared" si="112"/>
        <v>-2.7849927849927791E-2</v>
      </c>
      <c r="E1099" s="14">
        <f t="shared" si="113"/>
        <v>1.5991621153264962E-4</v>
      </c>
      <c r="F1099" s="9">
        <f t="shared" si="114"/>
        <v>17.793443775243148</v>
      </c>
      <c r="G1099" s="9">
        <f t="shared" si="115"/>
        <v>-5.8252926131407277E-2</v>
      </c>
      <c r="H1099" s="9">
        <f t="shared" si="116"/>
        <v>3.4587148159067353E-3</v>
      </c>
      <c r="I1099" s="9">
        <f t="shared" si="117"/>
        <v>-1.2499425903742575E-2</v>
      </c>
      <c r="J1099" s="9">
        <f t="shared" si="118"/>
        <v>17.726150138023904</v>
      </c>
    </row>
    <row r="1100" spans="2:10" x14ac:dyDescent="0.25">
      <c r="B1100" s="1">
        <v>42683</v>
      </c>
      <c r="C1100" s="13">
        <v>27.72</v>
      </c>
      <c r="D1100" s="6">
        <f t="shared" si="112"/>
        <v>-1.6207455429497752E-3</v>
      </c>
      <c r="E1100" s="14">
        <f t="shared" si="113"/>
        <v>1.536150563098555E-4</v>
      </c>
      <c r="F1100" s="9">
        <f t="shared" si="114"/>
        <v>17.833643936628594</v>
      </c>
      <c r="G1100" s="9">
        <f t="shared" si="115"/>
        <v>-2.8365745546302397</v>
      </c>
      <c r="H1100" s="9">
        <f t="shared" si="116"/>
        <v>7.8041253204514299E-2</v>
      </c>
      <c r="I1100" s="9">
        <f t="shared" si="117"/>
        <v>-0.19913146422072078</v>
      </c>
      <c r="J1100" s="9">
        <f t="shared" si="118"/>
        <v>14.875979170982149</v>
      </c>
    </row>
    <row r="1101" spans="2:10" x14ac:dyDescent="0.25">
      <c r="B1101" s="1">
        <v>42682</v>
      </c>
      <c r="C1101" s="13">
        <v>27.765000000000001</v>
      </c>
      <c r="D1101" s="6">
        <f t="shared" si="112"/>
        <v>5.8689272905119161E-3</v>
      </c>
      <c r="E1101" s="14">
        <f t="shared" si="113"/>
        <v>1.5376549864861333E-4</v>
      </c>
      <c r="F1101" s="9">
        <f t="shared" si="114"/>
        <v>17.832665069564015</v>
      </c>
      <c r="G1101" s="9">
        <f t="shared" si="115"/>
        <v>-3.4407383116618125E-2</v>
      </c>
      <c r="H1101" s="9">
        <f t="shared" si="116"/>
        <v>-1.4860705867962305E-3</v>
      </c>
      <c r="I1101" s="9">
        <f t="shared" si="117"/>
        <v>-2.9188652924802324E-3</v>
      </c>
      <c r="J1101" s="9">
        <f t="shared" si="118"/>
        <v>17.793852750568121</v>
      </c>
    </row>
    <row r="1102" spans="2:10" x14ac:dyDescent="0.25">
      <c r="B1102" s="1">
        <v>42681</v>
      </c>
      <c r="C1102" s="13">
        <v>27.603000000000002</v>
      </c>
      <c r="D1102" s="6">
        <f t="shared" si="112"/>
        <v>1.4443219404630669E-2</v>
      </c>
      <c r="E1102" s="14">
        <f t="shared" si="113"/>
        <v>1.5443367124444817E-4</v>
      </c>
      <c r="F1102" s="9">
        <f t="shared" si="114"/>
        <v>17.828329083565656</v>
      </c>
      <c r="G1102" s="9">
        <f t="shared" si="115"/>
        <v>-5.8420637410224463E-2</v>
      </c>
      <c r="H1102" s="9">
        <f t="shared" si="116"/>
        <v>2.9836516033810174E-3</v>
      </c>
      <c r="I1102" s="9">
        <f t="shared" si="117"/>
        <v>-8.8109828246958014E-3</v>
      </c>
      <c r="J1102" s="9">
        <f t="shared" si="118"/>
        <v>17.764081114934115</v>
      </c>
    </row>
    <row r="1103" spans="2:10" x14ac:dyDescent="0.25">
      <c r="B1103" s="1">
        <v>42678</v>
      </c>
      <c r="C1103" s="13">
        <v>27.21</v>
      </c>
      <c r="D1103" s="6">
        <f t="shared" si="112"/>
        <v>-9.0319761089663331E-3</v>
      </c>
      <c r="E1103" s="14">
        <f t="shared" si="113"/>
        <v>1.532632526043068E-4</v>
      </c>
      <c r="F1103" s="9">
        <f t="shared" si="114"/>
        <v>17.835936727284992</v>
      </c>
      <c r="G1103" s="9">
        <f t="shared" si="115"/>
        <v>-0.53741707574235142</v>
      </c>
      <c r="H1103" s="9">
        <f t="shared" si="116"/>
        <v>-2.2842412832593259E-3</v>
      </c>
      <c r="I1103" s="9">
        <f t="shared" si="117"/>
        <v>-2.3395806195646977E-3</v>
      </c>
      <c r="J1103" s="9">
        <f t="shared" si="118"/>
        <v>17.293895829639816</v>
      </c>
    </row>
    <row r="1104" spans="2:10" x14ac:dyDescent="0.25">
      <c r="B1104" s="1">
        <v>42677</v>
      </c>
      <c r="C1104" s="13">
        <v>27.457999999999998</v>
      </c>
      <c r="D1104" s="6">
        <f t="shared" ref="D1104:D1167" si="119">C1104/C1105-1</f>
        <v>-1.5771739909670957E-2</v>
      </c>
      <c r="E1104" s="14">
        <f t="shared" ref="E1104:E1167" si="120">_xlfn.VAR.S(D1104:D1224)</f>
        <v>1.629201244907519E-4</v>
      </c>
      <c r="F1104" s="9">
        <f t="shared" si="114"/>
        <v>17.774833728486968</v>
      </c>
      <c r="G1104" s="9">
        <f t="shared" si="115"/>
        <v>-0.34973406832499765</v>
      </c>
      <c r="H1104" s="9">
        <f t="shared" si="116"/>
        <v>-5.0593193154977407E-2</v>
      </c>
      <c r="I1104" s="9">
        <f t="shared" si="117"/>
        <v>-0.58859017159483595</v>
      </c>
      <c r="J1104" s="9">
        <f t="shared" si="118"/>
        <v>16.785916295412157</v>
      </c>
    </row>
    <row r="1105" spans="2:10" x14ac:dyDescent="0.25">
      <c r="B1105" s="1">
        <v>42676</v>
      </c>
      <c r="C1105" s="13">
        <v>27.898</v>
      </c>
      <c r="D1105" s="6">
        <f t="shared" si="119"/>
        <v>8.9692533993468437E-4</v>
      </c>
      <c r="E1105" s="14">
        <f t="shared" si="120"/>
        <v>1.6036135490867301E-4</v>
      </c>
      <c r="F1105" s="9">
        <f t="shared" ref="F1105:F1168" si="121">LN(2*PI())-LN($C$6)-LN(E1105)-0.5*LN(1-POWER($C$7,2))</f>
        <v>17.790664038481673</v>
      </c>
      <c r="G1105" s="9">
        <f t="shared" ref="G1105:G1168" si="122">-POWER(D1104-1-$C$3,2)/(2*E1105*(1-POWER($C$7,2)))</f>
        <v>-0.94668732019208235</v>
      </c>
      <c r="H1105" s="9">
        <f t="shared" ref="H1105:H1168" si="123">$C$7*(D1104-1-$C$3)*(E1104-E1105-$C$5*$C$4)/(E1105*$C$6*(1-POWER($C$7,2)))</f>
        <v>1.4102207811435022E-2</v>
      </c>
      <c r="I1105" s="9">
        <f t="shared" ref="I1105:I1168" si="124">-POWER(E1104-E1105-$C$5*$C$4+$C$4*E1105,2)/(2*POWER($C$6,2)*E1105*(1-POWER($C$7,2)))</f>
        <v>-2.3578805524211311E-2</v>
      </c>
      <c r="J1105" s="9">
        <f t="shared" ref="J1105:J1168" si="125">SUM(F1105:I1105)</f>
        <v>16.834500120576816</v>
      </c>
    </row>
    <row r="1106" spans="2:10" x14ac:dyDescent="0.25">
      <c r="B1106" s="1">
        <v>42675</v>
      </c>
      <c r="C1106" s="13">
        <v>27.873000000000001</v>
      </c>
      <c r="D1106" s="6">
        <f t="shared" si="119"/>
        <v>-1.8037695966179323E-2</v>
      </c>
      <c r="E1106" s="14">
        <f t="shared" si="120"/>
        <v>1.6564911509565252E-4</v>
      </c>
      <c r="F1106" s="9">
        <f t="shared" si="121"/>
        <v>17.758221988669586</v>
      </c>
      <c r="G1106" s="9">
        <f t="shared" si="122"/>
        <v>-1.6151526980186148E-3</v>
      </c>
      <c r="H1106" s="9">
        <f t="shared" si="123"/>
        <v>-1.9852161535065327E-3</v>
      </c>
      <c r="I1106" s="9">
        <f t="shared" si="124"/>
        <v>-0.18855840355838852</v>
      </c>
      <c r="J1106" s="9">
        <f t="shared" si="125"/>
        <v>17.566063216259671</v>
      </c>
    </row>
    <row r="1107" spans="2:10" x14ac:dyDescent="0.25">
      <c r="B1107" s="1">
        <v>42674</v>
      </c>
      <c r="C1107" s="13">
        <v>28.385000000000002</v>
      </c>
      <c r="D1107" s="6">
        <f t="shared" si="119"/>
        <v>-1.5828350334153862E-3</v>
      </c>
      <c r="E1107" s="14">
        <f t="shared" si="120"/>
        <v>1.6349502459462451E-4</v>
      </c>
      <c r="F1107" s="9">
        <f t="shared" si="121"/>
        <v>17.771311216128492</v>
      </c>
      <c r="G1107" s="9">
        <f t="shared" si="122"/>
        <v>-1.1861472608987775</v>
      </c>
      <c r="H1107" s="9">
        <f t="shared" si="123"/>
        <v>1.2034188080158372E-2</v>
      </c>
      <c r="I1107" s="9">
        <f t="shared" si="124"/>
        <v>-1.4895120903441741E-2</v>
      </c>
      <c r="J1107" s="9">
        <f t="shared" si="125"/>
        <v>16.582303022406428</v>
      </c>
    </row>
    <row r="1108" spans="2:10" x14ac:dyDescent="0.25">
      <c r="B1108" s="1">
        <v>42671</v>
      </c>
      <c r="C1108" s="13">
        <v>28.43</v>
      </c>
      <c r="D1108" s="6">
        <f t="shared" si="119"/>
        <v>-6.6387141858840204E-3</v>
      </c>
      <c r="E1108" s="14">
        <f t="shared" si="120"/>
        <v>1.6361534018300715E-4</v>
      </c>
      <c r="F1108" s="9">
        <f t="shared" si="121"/>
        <v>17.770575589216207</v>
      </c>
      <c r="G1108" s="9">
        <f t="shared" si="122"/>
        <v>-3.1585594891306572E-2</v>
      </c>
      <c r="H1108" s="9">
        <f t="shared" si="123"/>
        <v>-1.3365995092089026E-3</v>
      </c>
      <c r="I1108" s="9">
        <f t="shared" si="124"/>
        <v>-2.389911335281806E-3</v>
      </c>
      <c r="J1108" s="9">
        <f t="shared" si="125"/>
        <v>17.735263483480409</v>
      </c>
    </row>
    <row r="1109" spans="2:10" x14ac:dyDescent="0.25">
      <c r="B1109" s="1">
        <v>42670</v>
      </c>
      <c r="C1109" s="13">
        <v>28.62</v>
      </c>
      <c r="D1109" s="6">
        <f t="shared" si="119"/>
        <v>-9.62004290954388E-3</v>
      </c>
      <c r="E1109" s="14">
        <f t="shared" si="120"/>
        <v>1.6303148106896573E-4</v>
      </c>
      <c r="F1109" s="9">
        <f t="shared" si="121"/>
        <v>17.774150457837912</v>
      </c>
      <c r="G1109" s="9">
        <f t="shared" si="122"/>
        <v>-0.21017411111544765</v>
      </c>
      <c r="H1109" s="9">
        <f t="shared" si="123"/>
        <v>-8.1401349981133646E-4</v>
      </c>
      <c r="I1109" s="9">
        <f t="shared" si="124"/>
        <v>-1.5685832084071966E-5</v>
      </c>
      <c r="J1109" s="9">
        <f t="shared" si="125"/>
        <v>17.563146647390568</v>
      </c>
    </row>
    <row r="1110" spans="2:10" x14ac:dyDescent="0.25">
      <c r="B1110" s="1">
        <v>42669</v>
      </c>
      <c r="C1110" s="13">
        <v>28.898</v>
      </c>
      <c r="D1110" s="6">
        <f t="shared" si="119"/>
        <v>-2.2494334133883576E-2</v>
      </c>
      <c r="E1110" s="14">
        <f t="shared" si="120"/>
        <v>1.6239544115367446E-4</v>
      </c>
      <c r="F1110" s="9">
        <f t="shared" si="121"/>
        <v>17.778059419769129</v>
      </c>
      <c r="G1110" s="9">
        <f t="shared" si="122"/>
        <v>-0.39064572881129855</v>
      </c>
      <c r="H1110" s="9">
        <f t="shared" si="123"/>
        <v>-8.4471381321629777E-4</v>
      </c>
      <c r="I1110" s="9">
        <f t="shared" si="124"/>
        <v>-6.1223686684791989E-5</v>
      </c>
      <c r="J1110" s="9">
        <f t="shared" si="125"/>
        <v>17.386507753457927</v>
      </c>
    </row>
    <row r="1111" spans="2:10" x14ac:dyDescent="0.25">
      <c r="B1111" s="1">
        <v>42668</v>
      </c>
      <c r="C1111" s="13">
        <v>29.562999999999999</v>
      </c>
      <c r="D1111" s="6">
        <f t="shared" si="119"/>
        <v>5.0997858089960602E-3</v>
      </c>
      <c r="E1111" s="14">
        <f t="shared" si="120"/>
        <v>1.5863607873286566E-4</v>
      </c>
      <c r="F1111" s="9">
        <f t="shared" si="121"/>
        <v>17.801481009505601</v>
      </c>
      <c r="G1111" s="9">
        <f t="shared" si="122"/>
        <v>-1.839359058384322</v>
      </c>
      <c r="H1111" s="9">
        <f t="shared" si="123"/>
        <v>3.3262417197402999E-2</v>
      </c>
      <c r="I1111" s="9">
        <f t="shared" si="124"/>
        <v>-6.0411790974705552E-2</v>
      </c>
      <c r="J1111" s="9">
        <f t="shared" si="125"/>
        <v>15.934972577343975</v>
      </c>
    </row>
    <row r="1112" spans="2:10" x14ac:dyDescent="0.25">
      <c r="B1112" s="1">
        <v>42667</v>
      </c>
      <c r="C1112" s="13">
        <v>29.413</v>
      </c>
      <c r="D1112" s="6">
        <f t="shared" si="119"/>
        <v>9.0222984562606801E-3</v>
      </c>
      <c r="E1112" s="14">
        <f t="shared" si="120"/>
        <v>1.5980635078563656E-4</v>
      </c>
      <c r="F1112" s="9">
        <f t="shared" si="121"/>
        <v>17.794131000758544</v>
      </c>
      <c r="G1112" s="9">
        <f t="shared" si="122"/>
        <v>-3.7837983944303391E-2</v>
      </c>
      <c r="H1112" s="9">
        <f t="shared" si="123"/>
        <v>3.1672174273817827E-3</v>
      </c>
      <c r="I1112" s="9">
        <f t="shared" si="124"/>
        <v>-1.6841574549547766E-2</v>
      </c>
      <c r="J1112" s="9">
        <f t="shared" si="125"/>
        <v>17.742618659692074</v>
      </c>
    </row>
    <row r="1113" spans="2:10" x14ac:dyDescent="0.25">
      <c r="B1113" s="1">
        <v>42664</v>
      </c>
      <c r="C1113" s="13">
        <v>29.15</v>
      </c>
      <c r="D1113" s="6">
        <f t="shared" si="119"/>
        <v>-3.9296087476508035E-3</v>
      </c>
      <c r="E1113" s="14">
        <f t="shared" si="120"/>
        <v>1.611514930411579E-4</v>
      </c>
      <c r="F1113" s="9">
        <f t="shared" si="121"/>
        <v>17.785748902254678</v>
      </c>
      <c r="G1113" s="9">
        <f t="shared" si="122"/>
        <v>-0.17017250085797003</v>
      </c>
      <c r="H1113" s="9">
        <f t="shared" si="123"/>
        <v>7.2819995935428225E-3</v>
      </c>
      <c r="I1113" s="9">
        <f t="shared" si="124"/>
        <v>-2.0250403977274317E-2</v>
      </c>
      <c r="J1113" s="9">
        <f t="shared" si="125"/>
        <v>17.602607997012974</v>
      </c>
    </row>
    <row r="1114" spans="2:10" x14ac:dyDescent="0.25">
      <c r="B1114" s="1">
        <v>42663</v>
      </c>
      <c r="C1114" s="13">
        <v>29.265000000000001</v>
      </c>
      <c r="D1114" s="6">
        <f t="shared" si="119"/>
        <v>-5.1229508196726226E-4</v>
      </c>
      <c r="E1114" s="14">
        <f t="shared" si="120"/>
        <v>1.6094140723957244E-4</v>
      </c>
      <c r="F1114" s="9">
        <f t="shared" si="121"/>
        <v>17.787053406832051</v>
      </c>
      <c r="G1114" s="9">
        <f t="shared" si="122"/>
        <v>-9.6218733663166758E-2</v>
      </c>
      <c r="H1114" s="9">
        <f t="shared" si="123"/>
        <v>-1.508608417548083E-3</v>
      </c>
      <c r="I1114" s="9">
        <f t="shared" si="124"/>
        <v>-6.0486873452990678E-4</v>
      </c>
      <c r="J1114" s="9">
        <f t="shared" si="125"/>
        <v>17.688721196016804</v>
      </c>
    </row>
    <row r="1115" spans="2:10" x14ac:dyDescent="0.25">
      <c r="B1115" s="1">
        <v>42662</v>
      </c>
      <c r="C1115" s="13">
        <v>29.28</v>
      </c>
      <c r="D1115" s="6">
        <f t="shared" si="119"/>
        <v>-2.9964587305910673E-3</v>
      </c>
      <c r="E1115" s="14">
        <f t="shared" si="120"/>
        <v>1.6238734219712155E-4</v>
      </c>
      <c r="F1115" s="9">
        <f t="shared" si="121"/>
        <v>17.778109292834881</v>
      </c>
      <c r="G1115" s="9">
        <f t="shared" si="122"/>
        <v>-1.4137873572669683E-2</v>
      </c>
      <c r="H1115" s="9">
        <f t="shared" si="123"/>
        <v>-2.1891283526955293E-3</v>
      </c>
      <c r="I1115" s="9">
        <f t="shared" si="124"/>
        <v>-2.2263461359970628E-2</v>
      </c>
      <c r="J1115" s="9">
        <f t="shared" si="125"/>
        <v>17.739518829549546</v>
      </c>
    </row>
    <row r="1116" spans="2:10" x14ac:dyDescent="0.25">
      <c r="B1116" s="1">
        <v>42661</v>
      </c>
      <c r="C1116" s="13">
        <v>29.367999999999999</v>
      </c>
      <c r="D1116" s="6">
        <f t="shared" si="119"/>
        <v>-6.8054988430665819E-4</v>
      </c>
      <c r="E1116" s="14">
        <f t="shared" si="120"/>
        <v>1.7087398552737432E-4</v>
      </c>
      <c r="F1116" s="9">
        <f t="shared" si="121"/>
        <v>17.727167417290687</v>
      </c>
      <c r="G1116" s="9">
        <f t="shared" si="122"/>
        <v>-6.274466720464475E-2</v>
      </c>
      <c r="H1116" s="9">
        <f t="shared" si="123"/>
        <v>-1.858330913564888E-2</v>
      </c>
      <c r="I1116" s="9">
        <f t="shared" si="124"/>
        <v>-0.43839669460906888</v>
      </c>
      <c r="J1116" s="9">
        <f t="shared" si="125"/>
        <v>17.207442746341325</v>
      </c>
    </row>
    <row r="1117" spans="2:10" x14ac:dyDescent="0.25">
      <c r="B1117" s="1">
        <v>42660</v>
      </c>
      <c r="C1117" s="13">
        <v>29.388000000000002</v>
      </c>
      <c r="D1117" s="6">
        <f t="shared" si="119"/>
        <v>-6.8008705114253054E-4</v>
      </c>
      <c r="E1117" s="14">
        <f t="shared" si="120"/>
        <v>2.0490716706159386E-4</v>
      </c>
      <c r="F1117" s="9">
        <f t="shared" si="121"/>
        <v>17.545536742417063</v>
      </c>
      <c r="G1117" s="9">
        <f t="shared" si="122"/>
        <v>-1.3035557354940937E-2</v>
      </c>
      <c r="H1117" s="9">
        <f t="shared" si="123"/>
        <v>-2.901078424352968E-2</v>
      </c>
      <c r="I1117" s="9">
        <f t="shared" si="124"/>
        <v>-5.364668556103096</v>
      </c>
      <c r="J1117" s="9">
        <f t="shared" si="125"/>
        <v>12.138821844715499</v>
      </c>
    </row>
    <row r="1118" spans="2:10" x14ac:dyDescent="0.25">
      <c r="B1118" s="1">
        <v>42657</v>
      </c>
      <c r="C1118" s="13">
        <v>29.408000000000001</v>
      </c>
      <c r="D1118" s="6">
        <f t="shared" si="119"/>
        <v>5.5736023251837796E-3</v>
      </c>
      <c r="E1118" s="14">
        <f t="shared" si="120"/>
        <v>2.054137333594676E-4</v>
      </c>
      <c r="F1118" s="9">
        <f t="shared" si="121"/>
        <v>17.543067618593668</v>
      </c>
      <c r="G1118" s="9">
        <f t="shared" si="122"/>
        <v>-1.2998195687481577E-2</v>
      </c>
      <c r="H1118" s="9">
        <f t="shared" si="123"/>
        <v>-1.0860581524577695E-3</v>
      </c>
      <c r="I1118" s="9">
        <f t="shared" si="124"/>
        <v>-4.211403734791723E-3</v>
      </c>
      <c r="J1118" s="9">
        <f t="shared" si="125"/>
        <v>17.524771961018939</v>
      </c>
    </row>
    <row r="1119" spans="2:10" x14ac:dyDescent="0.25">
      <c r="B1119" s="1">
        <v>42656</v>
      </c>
      <c r="C1119" s="13">
        <v>29.245000000000001</v>
      </c>
      <c r="D1119" s="6">
        <f t="shared" si="119"/>
        <v>-3.0680074995739215E-3</v>
      </c>
      <c r="E1119" s="14">
        <f t="shared" si="120"/>
        <v>2.0560878920982515E-4</v>
      </c>
      <c r="F1119" s="9">
        <f t="shared" si="121"/>
        <v>17.542118493646541</v>
      </c>
      <c r="G1119" s="9">
        <f t="shared" si="122"/>
        <v>-3.7982326332486382E-2</v>
      </c>
      <c r="H1119" s="9">
        <f t="shared" si="123"/>
        <v>1.4135609890067312E-3</v>
      </c>
      <c r="I1119" s="9">
        <f t="shared" si="124"/>
        <v>-1.9326807491102565E-3</v>
      </c>
      <c r="J1119" s="9">
        <f t="shared" si="125"/>
        <v>17.503617047553952</v>
      </c>
    </row>
    <row r="1120" spans="2:10" x14ac:dyDescent="0.25">
      <c r="B1120" s="1">
        <v>42655</v>
      </c>
      <c r="C1120" s="13">
        <v>29.335000000000001</v>
      </c>
      <c r="D1120" s="6">
        <f t="shared" si="119"/>
        <v>8.9423903697334328E-3</v>
      </c>
      <c r="E1120" s="14">
        <f t="shared" si="120"/>
        <v>2.0558870829562924E-4</v>
      </c>
      <c r="F1120" s="9">
        <f t="shared" si="121"/>
        <v>17.542216164057152</v>
      </c>
      <c r="G1120" s="9">
        <f t="shared" si="122"/>
        <v>-5.3776325358031785E-2</v>
      </c>
      <c r="H1120" s="9">
        <f t="shared" si="123"/>
        <v>-1.3187454790725625E-3</v>
      </c>
      <c r="I1120" s="9">
        <f t="shared" si="124"/>
        <v>-8.7292183719193343E-4</v>
      </c>
      <c r="J1120" s="9">
        <f t="shared" si="125"/>
        <v>17.486248171382854</v>
      </c>
    </row>
    <row r="1121" spans="2:10" x14ac:dyDescent="0.25">
      <c r="B1121" s="1">
        <v>42654</v>
      </c>
      <c r="C1121" s="13">
        <v>29.074999999999999</v>
      </c>
      <c r="D1121" s="6">
        <f t="shared" si="119"/>
        <v>2.136973081032556E-3</v>
      </c>
      <c r="E1121" s="14">
        <f t="shared" si="120"/>
        <v>2.0618356582863186E-4</v>
      </c>
      <c r="F1121" s="9">
        <f t="shared" si="121"/>
        <v>17.539326907134352</v>
      </c>
      <c r="G1121" s="9">
        <f t="shared" si="122"/>
        <v>-0.13014659854687757</v>
      </c>
      <c r="H1121" s="9">
        <f t="shared" si="123"/>
        <v>3.6617895394907641E-3</v>
      </c>
      <c r="I1121" s="9">
        <f t="shared" si="124"/>
        <v>-4.9841823364155146E-3</v>
      </c>
      <c r="J1121" s="9">
        <f t="shared" si="125"/>
        <v>17.407857915790551</v>
      </c>
    </row>
    <row r="1122" spans="2:10" x14ac:dyDescent="0.25">
      <c r="B1122" s="1">
        <v>42653</v>
      </c>
      <c r="C1122" s="13">
        <v>29.013000000000002</v>
      </c>
      <c r="D1122" s="6">
        <f t="shared" si="119"/>
        <v>1.7464492372435636E-2</v>
      </c>
      <c r="E1122" s="14">
        <f t="shared" si="120"/>
        <v>2.0618182757606304E-4</v>
      </c>
      <c r="F1122" s="9">
        <f t="shared" si="121"/>
        <v>17.539335337776674</v>
      </c>
      <c r="G1122" s="9">
        <f t="shared" si="122"/>
        <v>-6.3168868734386958E-4</v>
      </c>
      <c r="H1122" s="9">
        <f t="shared" si="123"/>
        <v>1.4607456507634585E-4</v>
      </c>
      <c r="I1122" s="9">
        <f t="shared" si="124"/>
        <v>-9.4033249289545004E-4</v>
      </c>
      <c r="J1122" s="9">
        <f t="shared" si="125"/>
        <v>17.537909391161509</v>
      </c>
    </row>
    <row r="1123" spans="2:10" x14ac:dyDescent="0.25">
      <c r="B1123" s="1">
        <v>42650</v>
      </c>
      <c r="C1123" s="13">
        <v>28.515000000000001</v>
      </c>
      <c r="D1123" s="6">
        <f t="shared" si="119"/>
        <v>1.4750816563060543E-3</v>
      </c>
      <c r="E1123" s="14">
        <f t="shared" si="120"/>
        <v>2.04133029095012E-4</v>
      </c>
      <c r="F1123" s="9">
        <f t="shared" si="121"/>
        <v>17.549321890664764</v>
      </c>
      <c r="G1123" s="9">
        <f t="shared" si="122"/>
        <v>-0.61616028119340993</v>
      </c>
      <c r="H1123" s="9">
        <f t="shared" si="123"/>
        <v>-7.1582688635668697E-3</v>
      </c>
      <c r="I1123" s="9">
        <f t="shared" si="124"/>
        <v>-1.1377166741574848E-2</v>
      </c>
      <c r="J1123" s="9">
        <f t="shared" si="125"/>
        <v>16.914626173866214</v>
      </c>
    </row>
    <row r="1124" spans="2:10" x14ac:dyDescent="0.25">
      <c r="B1124" s="1">
        <v>42649</v>
      </c>
      <c r="C1124" s="13">
        <v>28.472999999999999</v>
      </c>
      <c r="D1124" s="6">
        <f t="shared" si="119"/>
        <v>7.4302091073132903E-3</v>
      </c>
      <c r="E1124" s="14">
        <f t="shared" si="120"/>
        <v>2.0819132485631588E-4</v>
      </c>
      <c r="F1124" s="9">
        <f t="shared" si="121"/>
        <v>17.529636287432893</v>
      </c>
      <c r="G1124" s="9">
        <f t="shared" si="122"/>
        <v>-5.5847416043648598E-5</v>
      </c>
      <c r="H1124" s="9">
        <f t="shared" si="123"/>
        <v>-2.6279068828352495E-4</v>
      </c>
      <c r="I1124" s="9">
        <f t="shared" si="124"/>
        <v>-9.0448856386484686E-2</v>
      </c>
      <c r="J1124" s="9">
        <f t="shared" si="125"/>
        <v>17.438868792942085</v>
      </c>
    </row>
    <row r="1125" spans="2:10" x14ac:dyDescent="0.25">
      <c r="B1125" s="1">
        <v>42648</v>
      </c>
      <c r="C1125" s="13">
        <v>28.263000000000002</v>
      </c>
      <c r="D1125" s="6">
        <f t="shared" si="119"/>
        <v>4.6017699115052935E-4</v>
      </c>
      <c r="E1125" s="14">
        <f t="shared" si="120"/>
        <v>2.1121440681564922E-4</v>
      </c>
      <c r="F1125" s="9">
        <f t="shared" si="121"/>
        <v>17.515220011793982</v>
      </c>
      <c r="G1125" s="9">
        <f t="shared" si="122"/>
        <v>-7.9949171038890668E-2</v>
      </c>
      <c r="H1125" s="9">
        <f t="shared" si="123"/>
        <v>7.7685225998126032E-3</v>
      </c>
      <c r="I1125" s="9">
        <f t="shared" si="124"/>
        <v>-5.2804658648815284E-2</v>
      </c>
      <c r="J1125" s="9">
        <f t="shared" si="125"/>
        <v>17.390234704706089</v>
      </c>
    </row>
    <row r="1126" spans="2:10" x14ac:dyDescent="0.25">
      <c r="B1126" s="1">
        <v>42647</v>
      </c>
      <c r="C1126" s="13">
        <v>28.25</v>
      </c>
      <c r="D1126" s="6">
        <f t="shared" si="119"/>
        <v>4.2659082829719086E-3</v>
      </c>
      <c r="E1126" s="14">
        <f t="shared" si="120"/>
        <v>2.1121481248613446E-4</v>
      </c>
      <c r="F1126" s="9">
        <f t="shared" si="121"/>
        <v>17.515218091138557</v>
      </c>
      <c r="G1126" s="9">
        <f t="shared" si="122"/>
        <v>-3.2344354169585171E-3</v>
      </c>
      <c r="H1126" s="9">
        <f t="shared" si="123"/>
        <v>-3.2745279857707707E-4</v>
      </c>
      <c r="I1126" s="9">
        <f t="shared" si="124"/>
        <v>-8.9331398832945665E-4</v>
      </c>
      <c r="J1126" s="9">
        <f t="shared" si="125"/>
        <v>17.510762888934693</v>
      </c>
    </row>
    <row r="1127" spans="2:10" x14ac:dyDescent="0.25">
      <c r="B1127" s="1">
        <v>42646</v>
      </c>
      <c r="C1127" s="13">
        <v>28.13</v>
      </c>
      <c r="D1127" s="6">
        <f t="shared" si="119"/>
        <v>-4.7057991012986466E-3</v>
      </c>
      <c r="E1127" s="14">
        <f t="shared" si="120"/>
        <v>2.1277519928320957E-4</v>
      </c>
      <c r="F1127" s="9">
        <f t="shared" si="121"/>
        <v>17.507857569434996</v>
      </c>
      <c r="G1127" s="9">
        <f t="shared" si="122"/>
        <v>-1.640839274106011E-2</v>
      </c>
      <c r="H1127" s="9">
        <f t="shared" si="123"/>
        <v>2.1652326250588168E-3</v>
      </c>
      <c r="I1127" s="9">
        <f t="shared" si="124"/>
        <v>-1.752935298567504E-2</v>
      </c>
      <c r="J1127" s="9">
        <f t="shared" si="125"/>
        <v>17.476085056333321</v>
      </c>
    </row>
    <row r="1128" spans="2:10" x14ac:dyDescent="0.25">
      <c r="B1128" s="1">
        <v>42643</v>
      </c>
      <c r="C1128" s="13">
        <v>28.263000000000002</v>
      </c>
      <c r="D1128" s="6">
        <f t="shared" si="119"/>
        <v>7.7732216081298766E-3</v>
      </c>
      <c r="E1128" s="14">
        <f t="shared" si="120"/>
        <v>2.1390608025788523E-4</v>
      </c>
      <c r="F1128" s="9">
        <f t="shared" si="121"/>
        <v>17.502556734001441</v>
      </c>
      <c r="G1128" s="9">
        <f t="shared" si="122"/>
        <v>-9.4030642688789912E-2</v>
      </c>
      <c r="H1128" s="9">
        <f t="shared" si="123"/>
        <v>-4.229292948879252E-3</v>
      </c>
      <c r="I1128" s="9">
        <f t="shared" si="124"/>
        <v>-1.0753490938050985E-2</v>
      </c>
      <c r="J1128" s="9">
        <f t="shared" si="125"/>
        <v>17.393543307425723</v>
      </c>
    </row>
    <row r="1129" spans="2:10" x14ac:dyDescent="0.25">
      <c r="B1129" s="1">
        <v>42642</v>
      </c>
      <c r="C1129" s="13">
        <v>28.045000000000002</v>
      </c>
      <c r="D1129" s="6">
        <f t="shared" si="119"/>
        <v>-1.5550407188991811E-2</v>
      </c>
      <c r="E1129" s="14">
        <f t="shared" si="120"/>
        <v>2.135228464073654E-4</v>
      </c>
      <c r="F1129" s="9">
        <f t="shared" si="121"/>
        <v>17.504349939511435</v>
      </c>
      <c r="G1129" s="9">
        <f t="shared" si="122"/>
        <v>-8.8710710397555168E-2</v>
      </c>
      <c r="H1129" s="9">
        <f t="shared" si="123"/>
        <v>8.890996782674798E-4</v>
      </c>
      <c r="I1129" s="9">
        <f t="shared" si="124"/>
        <v>-1.7984297024764297E-5</v>
      </c>
      <c r="J1129" s="9">
        <f t="shared" si="125"/>
        <v>17.416510344495123</v>
      </c>
    </row>
    <row r="1130" spans="2:10" x14ac:dyDescent="0.25">
      <c r="B1130" s="1">
        <v>42641</v>
      </c>
      <c r="C1130" s="13">
        <v>28.488</v>
      </c>
      <c r="D1130" s="6">
        <f t="shared" si="119"/>
        <v>7.6044282531035901E-3</v>
      </c>
      <c r="E1130" s="14">
        <f t="shared" si="120"/>
        <v>2.1139629120869361E-4</v>
      </c>
      <c r="F1130" s="9">
        <f t="shared" si="121"/>
        <v>17.514359246057928</v>
      </c>
      <c r="G1130" s="9">
        <f t="shared" si="122"/>
        <v>-0.69998505445146464</v>
      </c>
      <c r="H1130" s="9">
        <f t="shared" si="123"/>
        <v>7.9646471356844585E-3</v>
      </c>
      <c r="I1130" s="9">
        <f t="shared" si="124"/>
        <v>-1.2265564824598518E-2</v>
      </c>
      <c r="J1130" s="9">
        <f t="shared" si="125"/>
        <v>16.810073273917549</v>
      </c>
    </row>
    <row r="1131" spans="2:10" x14ac:dyDescent="0.25">
      <c r="B1131" s="1">
        <v>42640</v>
      </c>
      <c r="C1131" s="13">
        <v>28.273</v>
      </c>
      <c r="D1131" s="6">
        <f t="shared" si="119"/>
        <v>1.8781006378454368E-3</v>
      </c>
      <c r="E1131" s="14">
        <f t="shared" si="120"/>
        <v>2.1506716509754302E-4</v>
      </c>
      <c r="F1131" s="9">
        <f t="shared" si="121"/>
        <v>17.497143400244081</v>
      </c>
      <c r="G1131" s="9">
        <f t="shared" si="122"/>
        <v>-8.3302343346799673E-2</v>
      </c>
      <c r="H1131" s="9">
        <f t="shared" si="123"/>
        <v>9.1896165560964044E-3</v>
      </c>
      <c r="I1131" s="9">
        <f t="shared" si="124"/>
        <v>-7.2772307017627005E-2</v>
      </c>
      <c r="J1131" s="9">
        <f t="shared" si="125"/>
        <v>17.350258366435749</v>
      </c>
    </row>
    <row r="1132" spans="2:10" x14ac:dyDescent="0.25">
      <c r="B1132" s="1">
        <v>42639</v>
      </c>
      <c r="C1132" s="13">
        <v>28.22</v>
      </c>
      <c r="D1132" s="6">
        <f t="shared" si="119"/>
        <v>1.4905245226772834E-3</v>
      </c>
      <c r="E1132" s="14">
        <f t="shared" si="120"/>
        <v>2.1590575320159559E-4</v>
      </c>
      <c r="F1132" s="9">
        <f t="shared" si="121"/>
        <v>17.493251790693748</v>
      </c>
      <c r="G1132" s="9">
        <f t="shared" si="122"/>
        <v>-1.46041835731472E-4</v>
      </c>
      <c r="H1132" s="9">
        <f t="shared" si="123"/>
        <v>1.4080073534070148E-4</v>
      </c>
      <c r="I1132" s="9">
        <f t="shared" si="124"/>
        <v>-7.0361420161229801E-3</v>
      </c>
      <c r="J1132" s="9">
        <f t="shared" si="125"/>
        <v>17.486210407577236</v>
      </c>
    </row>
    <row r="1133" spans="2:10" x14ac:dyDescent="0.25">
      <c r="B1133" s="1">
        <v>42636</v>
      </c>
      <c r="C1133" s="13">
        <v>28.178000000000001</v>
      </c>
      <c r="D1133" s="6">
        <f t="shared" si="119"/>
        <v>-1.6646309544582127E-2</v>
      </c>
      <c r="E1133" s="14">
        <f t="shared" si="120"/>
        <v>2.1710375435523177E-4</v>
      </c>
      <c r="F1133" s="9">
        <f t="shared" si="121"/>
        <v>17.487718405447175</v>
      </c>
      <c r="G1133" s="9">
        <f t="shared" si="122"/>
        <v>-4.3242650657091909E-5</v>
      </c>
      <c r="H1133" s="9">
        <f t="shared" si="123"/>
        <v>-9.3153658589540428E-5</v>
      </c>
      <c r="I1133" s="9">
        <f t="shared" si="124"/>
        <v>-1.1441676403115372E-2</v>
      </c>
      <c r="J1133" s="9">
        <f t="shared" si="125"/>
        <v>17.476140332734811</v>
      </c>
    </row>
    <row r="1134" spans="2:10" x14ac:dyDescent="0.25">
      <c r="B1134" s="1">
        <v>42635</v>
      </c>
      <c r="C1134" s="13">
        <v>28.655000000000001</v>
      </c>
      <c r="D1134" s="6">
        <f t="shared" si="119"/>
        <v>9.4053825560096449E-3</v>
      </c>
      <c r="E1134" s="14">
        <f t="shared" si="120"/>
        <v>2.15520246036282E-4</v>
      </c>
      <c r="F1134" s="9">
        <f t="shared" si="121"/>
        <v>17.495038921133723</v>
      </c>
      <c r="G1134" s="9">
        <f t="shared" si="122"/>
        <v>-0.7769913786151752</v>
      </c>
      <c r="H1134" s="9">
        <f t="shared" si="123"/>
        <v>4.9060237927567099E-3</v>
      </c>
      <c r="I1134" s="9">
        <f t="shared" si="124"/>
        <v>-5.5619185085698268E-3</v>
      </c>
      <c r="J1134" s="9">
        <f t="shared" si="125"/>
        <v>16.717391647802735</v>
      </c>
    </row>
    <row r="1135" spans="2:10" x14ac:dyDescent="0.25">
      <c r="B1135" s="1">
        <v>42634</v>
      </c>
      <c r="C1135" s="13">
        <v>28.388000000000002</v>
      </c>
      <c r="D1135" s="6">
        <f t="shared" si="119"/>
        <v>-1.7609974289434227E-4</v>
      </c>
      <c r="E1135" s="14">
        <f t="shared" si="120"/>
        <v>2.1548628662477291E-4</v>
      </c>
      <c r="F1135" s="9">
        <f t="shared" si="121"/>
        <v>17.495196503021727</v>
      </c>
      <c r="G1135" s="9">
        <f t="shared" si="122"/>
        <v>-0.14079047735555797</v>
      </c>
      <c r="H1135" s="9">
        <f t="shared" si="123"/>
        <v>2.0471705362555136E-3</v>
      </c>
      <c r="I1135" s="9">
        <f t="shared" si="124"/>
        <v>-7.2241733117117083E-4</v>
      </c>
      <c r="J1135" s="9">
        <f t="shared" si="125"/>
        <v>17.355730778871251</v>
      </c>
    </row>
    <row r="1136" spans="2:10" x14ac:dyDescent="0.25">
      <c r="B1136" s="1">
        <v>42633</v>
      </c>
      <c r="C1136" s="13">
        <v>28.393000000000001</v>
      </c>
      <c r="D1136" s="6">
        <f t="shared" si="119"/>
        <v>-7.0434935728114212E-5</v>
      </c>
      <c r="E1136" s="14">
        <f t="shared" si="120"/>
        <v>2.1574547069461459E-4</v>
      </c>
      <c r="F1136" s="9">
        <f t="shared" si="121"/>
        <v>17.493994438949905</v>
      </c>
      <c r="G1136" s="9">
        <f t="shared" si="122"/>
        <v>-7.5599530597508504E-3</v>
      </c>
      <c r="H1136" s="9">
        <f t="shared" si="123"/>
        <v>-6.5528664379973015E-4</v>
      </c>
      <c r="I1136" s="9">
        <f t="shared" si="124"/>
        <v>-2.1174673582142942E-3</v>
      </c>
      <c r="J1136" s="9">
        <f t="shared" si="125"/>
        <v>17.483661731888141</v>
      </c>
    </row>
    <row r="1137" spans="2:10" x14ac:dyDescent="0.25">
      <c r="B1137" s="1">
        <v>42632</v>
      </c>
      <c r="C1137" s="13">
        <v>28.395</v>
      </c>
      <c r="D1137" s="6">
        <f t="shared" si="119"/>
        <v>-1.1660285415941551E-2</v>
      </c>
      <c r="E1137" s="14">
        <f t="shared" si="120"/>
        <v>2.181463727495012E-4</v>
      </c>
      <c r="F1137" s="9">
        <f t="shared" si="121"/>
        <v>17.482927503280415</v>
      </c>
      <c r="G1137" s="9">
        <f t="shared" si="122"/>
        <v>-6.626283566257855E-3</v>
      </c>
      <c r="H1137" s="9">
        <f t="shared" si="123"/>
        <v>-1.8426155499281867E-3</v>
      </c>
      <c r="I1137" s="9">
        <f t="shared" si="124"/>
        <v>-3.4179530524506251E-2</v>
      </c>
      <c r="J1137" s="9">
        <f t="shared" si="125"/>
        <v>17.440279073639719</v>
      </c>
    </row>
    <row r="1138" spans="2:10" x14ac:dyDescent="0.25">
      <c r="B1138" s="1">
        <v>42629</v>
      </c>
      <c r="C1138" s="13">
        <v>28.73</v>
      </c>
      <c r="D1138" s="6">
        <f t="shared" si="119"/>
        <v>-5.6415048627694864E-3</v>
      </c>
      <c r="E1138" s="14">
        <f t="shared" si="120"/>
        <v>2.2126616645634669E-4</v>
      </c>
      <c r="F1138" s="9">
        <f t="shared" si="121"/>
        <v>17.46872742544096</v>
      </c>
      <c r="G1138" s="9">
        <f t="shared" si="122"/>
        <v>-0.40015992189249516</v>
      </c>
      <c r="H1138" s="9">
        <f t="shared" si="123"/>
        <v>-1.7410023369161833E-2</v>
      </c>
      <c r="I1138" s="9">
        <f t="shared" si="124"/>
        <v>-5.275605811925127E-2</v>
      </c>
      <c r="J1138" s="9">
        <f t="shared" si="125"/>
        <v>16.998401422060052</v>
      </c>
    </row>
    <row r="1139" spans="2:10" x14ac:dyDescent="0.25">
      <c r="B1139" s="1">
        <v>42628</v>
      </c>
      <c r="C1139" s="13">
        <v>28.893000000000001</v>
      </c>
      <c r="D1139" s="6">
        <f t="shared" si="119"/>
        <v>3.3997781197437682E-2</v>
      </c>
      <c r="E1139" s="14">
        <f t="shared" si="120"/>
        <v>2.2115739994396248E-4</v>
      </c>
      <c r="F1139" s="9">
        <f t="shared" si="121"/>
        <v>17.469219110436228</v>
      </c>
      <c r="G1139" s="9">
        <f t="shared" si="122"/>
        <v>-0.11980740150258258</v>
      </c>
      <c r="H1139" s="9">
        <f t="shared" si="123"/>
        <v>-1.6822927630440682E-3</v>
      </c>
      <c r="I1139" s="9">
        <f t="shared" si="124"/>
        <v>-4.4477452845868501E-4</v>
      </c>
      <c r="J1139" s="9">
        <f t="shared" si="125"/>
        <v>17.347284641642144</v>
      </c>
    </row>
    <row r="1140" spans="2:10" x14ac:dyDescent="0.25">
      <c r="B1140" s="1">
        <v>42627</v>
      </c>
      <c r="C1140" s="13">
        <v>27.943000000000001</v>
      </c>
      <c r="D1140" s="6">
        <f t="shared" si="119"/>
        <v>3.538609752482591E-2</v>
      </c>
      <c r="E1140" s="14">
        <f t="shared" si="120"/>
        <v>2.1212366851537496E-4</v>
      </c>
      <c r="F1140" s="9">
        <f t="shared" si="121"/>
        <v>17.51092432874103</v>
      </c>
      <c r="G1140" s="9">
        <f t="shared" si="122"/>
        <v>-2.4772004144578368</v>
      </c>
      <c r="H1140" s="9">
        <f t="shared" si="123"/>
        <v>-9.2896343361576983E-2</v>
      </c>
      <c r="I1140" s="9">
        <f t="shared" si="124"/>
        <v>-0.3208817847826459</v>
      </c>
      <c r="J1140" s="9">
        <f t="shared" si="125"/>
        <v>14.61994578613897</v>
      </c>
    </row>
    <row r="1141" spans="2:10" x14ac:dyDescent="0.25">
      <c r="B1141" s="1">
        <v>42626</v>
      </c>
      <c r="C1141" s="13">
        <v>26.988</v>
      </c>
      <c r="D1141" s="6">
        <f t="shared" si="119"/>
        <v>2.3823975720788981E-2</v>
      </c>
      <c r="E1141" s="14">
        <f t="shared" si="120"/>
        <v>2.0219004854485538E-4</v>
      </c>
      <c r="F1141" s="9">
        <f t="shared" si="121"/>
        <v>17.558885685914447</v>
      </c>
      <c r="G1141" s="9">
        <f t="shared" si="122"/>
        <v>-2.8266118643964027</v>
      </c>
      <c r="H1141" s="9">
        <f t="shared" si="123"/>
        <v>-0.11275016036807062</v>
      </c>
      <c r="I1141" s="9">
        <f t="shared" si="124"/>
        <v>-0.40950958620966038</v>
      </c>
      <c r="J1141" s="9">
        <f t="shared" si="125"/>
        <v>14.210014074940313</v>
      </c>
    </row>
    <row r="1142" spans="2:10" x14ac:dyDescent="0.25">
      <c r="B1142" s="1">
        <v>42625</v>
      </c>
      <c r="C1142" s="13">
        <v>26.36</v>
      </c>
      <c r="D1142" s="6">
        <f t="shared" si="119"/>
        <v>2.2379086995306885E-2</v>
      </c>
      <c r="E1142" s="14">
        <f t="shared" si="120"/>
        <v>1.9797982320198147E-4</v>
      </c>
      <c r="F1142" s="9">
        <f t="shared" si="121"/>
        <v>17.579928652907086</v>
      </c>
      <c r="G1142" s="9">
        <f t="shared" si="122"/>
        <v>-1.2479762051626366</v>
      </c>
      <c r="H1142" s="9">
        <f t="shared" si="123"/>
        <v>-2.826299889360501E-2</v>
      </c>
      <c r="I1142" s="9">
        <f t="shared" si="124"/>
        <v>-6.5157360925121727E-2</v>
      </c>
      <c r="J1142" s="9">
        <f t="shared" si="125"/>
        <v>16.238532087925723</v>
      </c>
    </row>
    <row r="1143" spans="2:10" x14ac:dyDescent="0.25">
      <c r="B1143" s="1">
        <v>42622</v>
      </c>
      <c r="C1143" s="13">
        <v>25.783000000000001</v>
      </c>
      <c r="D1143" s="6">
        <f t="shared" si="119"/>
        <v>-2.2630780894617009E-2</v>
      </c>
      <c r="E1143" s="14">
        <f t="shared" si="120"/>
        <v>1.9379456212733666E-4</v>
      </c>
      <c r="F1143" s="9">
        <f t="shared" si="121"/>
        <v>17.601295135524332</v>
      </c>
      <c r="G1143" s="9">
        <f t="shared" si="122"/>
        <v>-1.1143475041441009</v>
      </c>
      <c r="H1143" s="9">
        <f t="shared" si="123"/>
        <v>-2.679620241219785E-2</v>
      </c>
      <c r="I1143" s="9">
        <f t="shared" si="124"/>
        <v>-6.5433284386775856E-2</v>
      </c>
      <c r="J1143" s="9">
        <f t="shared" si="125"/>
        <v>16.394718144581262</v>
      </c>
    </row>
    <row r="1144" spans="2:10" x14ac:dyDescent="0.25">
      <c r="B1144" s="1">
        <v>42621</v>
      </c>
      <c r="C1144" s="13">
        <v>26.38</v>
      </c>
      <c r="D1144" s="6">
        <f t="shared" si="119"/>
        <v>-2.6208933185677408E-2</v>
      </c>
      <c r="E1144" s="14">
        <f t="shared" si="120"/>
        <v>1.8954766897578639E-4</v>
      </c>
      <c r="F1144" s="9">
        <f t="shared" si="121"/>
        <v>17.623453231176697</v>
      </c>
      <c r="G1144" s="9">
        <f t="shared" si="122"/>
        <v>-1.5568596100713481</v>
      </c>
      <c r="H1144" s="9">
        <f t="shared" si="123"/>
        <v>3.2608973990856285E-2</v>
      </c>
      <c r="I1144" s="9">
        <f t="shared" si="124"/>
        <v>-6.8885891650322245E-2</v>
      </c>
      <c r="J1144" s="9">
        <f t="shared" si="125"/>
        <v>16.030316703445884</v>
      </c>
    </row>
    <row r="1145" spans="2:10" x14ac:dyDescent="0.25">
      <c r="B1145" s="1">
        <v>42620</v>
      </c>
      <c r="C1145" s="13">
        <v>27.09</v>
      </c>
      <c r="D1145" s="6">
        <f t="shared" si="119"/>
        <v>6.1281337047354167E-3</v>
      </c>
      <c r="E1145" s="14">
        <f t="shared" si="120"/>
        <v>1.8377419582627516E-4</v>
      </c>
      <c r="F1145" s="9">
        <f t="shared" si="121"/>
        <v>17.654385967998572</v>
      </c>
      <c r="G1145" s="9">
        <f t="shared" si="122"/>
        <v>-2.1144196977828558</v>
      </c>
      <c r="H1145" s="9">
        <f t="shared" si="123"/>
        <v>5.5692279168569767E-2</v>
      </c>
      <c r="I1145" s="9">
        <f t="shared" si="124"/>
        <v>-0.13995847337262612</v>
      </c>
      <c r="J1145" s="9">
        <f t="shared" si="125"/>
        <v>15.455700076011659</v>
      </c>
    </row>
    <row r="1146" spans="2:10" x14ac:dyDescent="0.25">
      <c r="B1146" s="1">
        <v>42619</v>
      </c>
      <c r="C1146" s="13">
        <v>26.925000000000001</v>
      </c>
      <c r="D1146" s="6">
        <f t="shared" si="119"/>
        <v>-2.9703337912589944E-4</v>
      </c>
      <c r="E1146" s="14">
        <f t="shared" si="120"/>
        <v>1.8490112072857073E-4</v>
      </c>
      <c r="F1146" s="9">
        <f t="shared" si="121"/>
        <v>17.648272575745516</v>
      </c>
      <c r="G1146" s="9">
        <f t="shared" si="122"/>
        <v>-5.4940200980656613E-2</v>
      </c>
      <c r="H1146" s="9">
        <f t="shared" si="123"/>
        <v>3.470001968116824E-3</v>
      </c>
      <c r="I1146" s="9">
        <f t="shared" si="124"/>
        <v>-1.3144353004294574E-2</v>
      </c>
      <c r="J1146" s="9">
        <f t="shared" si="125"/>
        <v>17.583658023728685</v>
      </c>
    </row>
    <row r="1147" spans="2:10" x14ac:dyDescent="0.25">
      <c r="B1147" s="1">
        <v>42615</v>
      </c>
      <c r="C1147" s="13">
        <v>26.933</v>
      </c>
      <c r="D1147" s="6">
        <f t="shared" si="119"/>
        <v>9.369261327436984E-3</v>
      </c>
      <c r="E1147" s="14">
        <f t="shared" si="120"/>
        <v>1.881226280930684E-4</v>
      </c>
      <c r="F1147" s="9">
        <f t="shared" si="121"/>
        <v>17.630999748108362</v>
      </c>
      <c r="G1147" s="9">
        <f t="shared" si="122"/>
        <v>-9.8717668754724382E-3</v>
      </c>
      <c r="H1147" s="9">
        <f t="shared" si="123"/>
        <v>-3.0425651862779277E-3</v>
      </c>
      <c r="I1147" s="9">
        <f t="shared" si="124"/>
        <v>-6.7636479954458331E-2</v>
      </c>
      <c r="J1147" s="9">
        <f t="shared" si="125"/>
        <v>17.550448936092153</v>
      </c>
    </row>
    <row r="1148" spans="2:10" x14ac:dyDescent="0.25">
      <c r="B1148" s="1">
        <v>42614</v>
      </c>
      <c r="C1148" s="13">
        <v>26.683</v>
      </c>
      <c r="D1148" s="6">
        <f t="shared" si="119"/>
        <v>5.9566446748351431E-3</v>
      </c>
      <c r="E1148" s="14">
        <f t="shared" si="120"/>
        <v>1.8749901806463097E-4</v>
      </c>
      <c r="F1148" s="9">
        <f t="shared" si="121"/>
        <v>17.634320166980743</v>
      </c>
      <c r="G1148" s="9">
        <f t="shared" si="122"/>
        <v>-0.16030637515036833</v>
      </c>
      <c r="H1148" s="9">
        <f t="shared" si="123"/>
        <v>5.4154429849421267E-4</v>
      </c>
      <c r="I1148" s="9">
        <f t="shared" si="124"/>
        <v>-8.6953073905950484E-5</v>
      </c>
      <c r="J1148" s="9">
        <f t="shared" si="125"/>
        <v>17.474468383054958</v>
      </c>
    </row>
    <row r="1149" spans="2:10" x14ac:dyDescent="0.25">
      <c r="B1149" s="1">
        <v>42613</v>
      </c>
      <c r="C1149" s="13">
        <v>26.524999999999999</v>
      </c>
      <c r="D1149" s="6">
        <f t="shared" si="119"/>
        <v>9.4339622641514964E-4</v>
      </c>
      <c r="E1149" s="14">
        <f t="shared" si="120"/>
        <v>1.881297609650089E-4</v>
      </c>
      <c r="F1149" s="9">
        <f t="shared" si="121"/>
        <v>17.630961832750753</v>
      </c>
      <c r="G1149" s="9">
        <f t="shared" si="122"/>
        <v>-4.9960905650691528E-2</v>
      </c>
      <c r="H1149" s="9">
        <f t="shared" si="123"/>
        <v>2.4362085232893754E-3</v>
      </c>
      <c r="I1149" s="9">
        <f t="shared" si="124"/>
        <v>-6.1648372889118687E-3</v>
      </c>
      <c r="J1149" s="9">
        <f t="shared" si="125"/>
        <v>17.577272298334439</v>
      </c>
    </row>
    <row r="1150" spans="2:10" x14ac:dyDescent="0.25">
      <c r="B1150" s="1">
        <v>42612</v>
      </c>
      <c r="C1150" s="13">
        <v>26.5</v>
      </c>
      <c r="D1150" s="6">
        <f t="shared" si="119"/>
        <v>-7.6764650814453717E-3</v>
      </c>
      <c r="E1150" s="14">
        <f t="shared" si="120"/>
        <v>1.8812801461149092E-4</v>
      </c>
      <c r="F1150" s="9">
        <f t="shared" si="121"/>
        <v>17.630971115501204</v>
      </c>
      <c r="G1150" s="9">
        <f t="shared" si="122"/>
        <v>-1.2469578816360104E-3</v>
      </c>
      <c r="H1150" s="9">
        <f t="shared" si="123"/>
        <v>-2.1485378006727641E-4</v>
      </c>
      <c r="I1150" s="9">
        <f t="shared" si="124"/>
        <v>-1.169307101301649E-3</v>
      </c>
      <c r="J1150" s="9">
        <f t="shared" si="125"/>
        <v>17.628339996738198</v>
      </c>
    </row>
    <row r="1151" spans="2:10" x14ac:dyDescent="0.25">
      <c r="B1151" s="1">
        <v>42611</v>
      </c>
      <c r="C1151" s="13">
        <v>26.704999999999998</v>
      </c>
      <c r="D1151" s="6">
        <f t="shared" si="119"/>
        <v>-1.1221245558257209E-3</v>
      </c>
      <c r="E1151" s="14">
        <f t="shared" si="120"/>
        <v>1.8756944622998919E-4</v>
      </c>
      <c r="F1151" s="9">
        <f t="shared" si="121"/>
        <v>17.633944618658823</v>
      </c>
      <c r="G1151" s="9">
        <f t="shared" si="122"/>
        <v>-0.23142656242797119</v>
      </c>
      <c r="H1151" s="9">
        <f t="shared" si="123"/>
        <v>-8.8910745391523557E-4</v>
      </c>
      <c r="I1151" s="9">
        <f t="shared" si="124"/>
        <v>-2.2721351449036938E-5</v>
      </c>
      <c r="J1151" s="9">
        <f t="shared" si="125"/>
        <v>17.401606227425489</v>
      </c>
    </row>
    <row r="1152" spans="2:10" x14ac:dyDescent="0.25">
      <c r="B1152" s="1">
        <v>42608</v>
      </c>
      <c r="C1152" s="13">
        <v>26.734999999999999</v>
      </c>
      <c r="D1152" s="6">
        <f t="shared" si="119"/>
        <v>-5.8751347934407061E-3</v>
      </c>
      <c r="E1152" s="14">
        <f t="shared" si="120"/>
        <v>1.8818776462641118E-4</v>
      </c>
      <c r="F1152" s="9">
        <f t="shared" si="121"/>
        <v>17.630653562963047</v>
      </c>
      <c r="G1152" s="9">
        <f t="shared" si="122"/>
        <v>-2.0144705449420031E-2</v>
      </c>
      <c r="H1152" s="9">
        <f t="shared" si="123"/>
        <v>-1.5333015671928055E-3</v>
      </c>
      <c r="I1152" s="9">
        <f t="shared" si="124"/>
        <v>-6.0259727608867582E-3</v>
      </c>
      <c r="J1152" s="9">
        <f t="shared" si="125"/>
        <v>17.602949583185545</v>
      </c>
    </row>
    <row r="1153" spans="2:10" x14ac:dyDescent="0.25">
      <c r="B1153" s="1">
        <v>42607</v>
      </c>
      <c r="C1153" s="13">
        <v>26.893000000000001</v>
      </c>
      <c r="D1153" s="6">
        <f t="shared" si="119"/>
        <v>-4.2579976303317446E-3</v>
      </c>
      <c r="E1153" s="14">
        <f t="shared" si="120"/>
        <v>1.8896165903513917E-4</v>
      </c>
      <c r="F1153" s="9">
        <f t="shared" si="121"/>
        <v>17.626549643156487</v>
      </c>
      <c r="G1153" s="9">
        <f t="shared" si="122"/>
        <v>-0.14937904837385041</v>
      </c>
      <c r="H1153" s="9">
        <f t="shared" si="123"/>
        <v>-4.6235216587523879E-3</v>
      </c>
      <c r="I1153" s="9">
        <f t="shared" si="124"/>
        <v>-7.7892022115389186E-3</v>
      </c>
      <c r="J1153" s="9">
        <f t="shared" si="125"/>
        <v>17.46475787091234</v>
      </c>
    </row>
    <row r="1154" spans="2:10" x14ac:dyDescent="0.25">
      <c r="B1154" s="1">
        <v>42606</v>
      </c>
      <c r="C1154" s="13">
        <v>27.007999999999999</v>
      </c>
      <c r="D1154" s="6">
        <f t="shared" si="119"/>
        <v>-7.5331642964759915E-3</v>
      </c>
      <c r="E1154" s="14">
        <f t="shared" si="120"/>
        <v>1.9049031167787744E-4</v>
      </c>
      <c r="F1154" s="9">
        <f t="shared" si="121"/>
        <v>17.618492439449362</v>
      </c>
      <c r="G1154" s="9">
        <f t="shared" si="122"/>
        <v>-9.1185218805737087E-2</v>
      </c>
      <c r="H1154" s="9">
        <f t="shared" si="123"/>
        <v>-5.3220851795223187E-3</v>
      </c>
      <c r="I1154" s="9">
        <f t="shared" si="124"/>
        <v>-1.9680295033677506E-2</v>
      </c>
      <c r="J1154" s="9">
        <f t="shared" si="125"/>
        <v>17.502304840430426</v>
      </c>
    </row>
    <row r="1155" spans="2:10" x14ac:dyDescent="0.25">
      <c r="B1155" s="1">
        <v>42605</v>
      </c>
      <c r="C1155" s="13">
        <v>27.213000000000001</v>
      </c>
      <c r="D1155" s="6">
        <f t="shared" si="119"/>
        <v>3.1332940135653242E-3</v>
      </c>
      <c r="E1155" s="14">
        <f t="shared" si="120"/>
        <v>1.9030923877854796E-4</v>
      </c>
      <c r="F1155" s="9">
        <f t="shared" si="121"/>
        <v>17.619443453770465</v>
      </c>
      <c r="G1155" s="9">
        <f t="shared" si="122"/>
        <v>-0.22112253296834924</v>
      </c>
      <c r="H1155" s="9">
        <f t="shared" si="123"/>
        <v>-2.2063982878119826E-3</v>
      </c>
      <c r="I1155" s="9">
        <f t="shared" si="124"/>
        <v>-4.5169063708278852E-4</v>
      </c>
      <c r="J1155" s="9">
        <f t="shared" si="125"/>
        <v>17.395662831877225</v>
      </c>
    </row>
    <row r="1156" spans="2:10" x14ac:dyDescent="0.25">
      <c r="B1156" s="1">
        <v>42604</v>
      </c>
      <c r="C1156" s="13">
        <v>27.128</v>
      </c>
      <c r="D1156" s="6">
        <f t="shared" si="119"/>
        <v>-7.7542062911485354E-3</v>
      </c>
      <c r="E1156" s="14">
        <f t="shared" si="120"/>
        <v>1.9027882659505862E-4</v>
      </c>
      <c r="F1156" s="9">
        <f t="shared" si="121"/>
        <v>17.619603270571467</v>
      </c>
      <c r="G1156" s="9">
        <f t="shared" si="122"/>
        <v>-5.9769710000947603E-3</v>
      </c>
      <c r="H1156" s="9">
        <f t="shared" si="123"/>
        <v>4.5094790780191414E-4</v>
      </c>
      <c r="I1156" s="9">
        <f t="shared" si="124"/>
        <v>-1.008442561204322E-3</v>
      </c>
      <c r="J1156" s="9">
        <f t="shared" si="125"/>
        <v>17.613068804917969</v>
      </c>
    </row>
    <row r="1157" spans="2:10" x14ac:dyDescent="0.25">
      <c r="B1157" s="1">
        <v>42601</v>
      </c>
      <c r="C1157" s="13">
        <v>27.34</v>
      </c>
      <c r="D1157" s="6">
        <f t="shared" si="119"/>
        <v>2.5669233590026597E-3</v>
      </c>
      <c r="E1157" s="14">
        <f t="shared" si="120"/>
        <v>2.0219150262509457E-4</v>
      </c>
      <c r="F1157" s="9">
        <f t="shared" si="121"/>
        <v>17.558878494289431</v>
      </c>
      <c r="G1157" s="9">
        <f t="shared" si="122"/>
        <v>-0.21829311559805475</v>
      </c>
      <c r="H1157" s="9">
        <f t="shared" si="123"/>
        <v>-4.3619129786733934E-2</v>
      </c>
      <c r="I1157" s="9">
        <f t="shared" si="124"/>
        <v>-0.70016683706814731</v>
      </c>
      <c r="J1157" s="9">
        <f t="shared" si="125"/>
        <v>16.596799411836496</v>
      </c>
    </row>
    <row r="1158" spans="2:10" x14ac:dyDescent="0.25">
      <c r="B1158" s="1">
        <v>42600</v>
      </c>
      <c r="C1158" s="13">
        <v>27.27</v>
      </c>
      <c r="D1158" s="6">
        <f t="shared" si="119"/>
        <v>-1.281816517121448E-3</v>
      </c>
      <c r="E1158" s="14">
        <f t="shared" si="120"/>
        <v>2.0226806919648645E-4</v>
      </c>
      <c r="F1158" s="9">
        <f t="shared" si="121"/>
        <v>17.558499882543583</v>
      </c>
      <c r="G1158" s="9">
        <f t="shared" si="122"/>
        <v>-2.188711071314776E-3</v>
      </c>
      <c r="H1158" s="9">
        <f t="shared" si="123"/>
        <v>3.0141898941621386E-4</v>
      </c>
      <c r="I1158" s="9">
        <f t="shared" si="124"/>
        <v>-1.3461321672693057E-3</v>
      </c>
      <c r="J1158" s="9">
        <f t="shared" si="125"/>
        <v>17.555266458294412</v>
      </c>
    </row>
    <row r="1159" spans="2:10" x14ac:dyDescent="0.25">
      <c r="B1159" s="1">
        <v>42599</v>
      </c>
      <c r="C1159" s="13">
        <v>27.305</v>
      </c>
      <c r="D1159" s="6">
        <f t="shared" si="119"/>
        <v>-1.4627902724446695E-3</v>
      </c>
      <c r="E1159" s="14">
        <f t="shared" si="120"/>
        <v>2.0222311861952598E-4</v>
      </c>
      <c r="F1159" s="9">
        <f t="shared" si="121"/>
        <v>17.558722139930147</v>
      </c>
      <c r="G1159" s="9">
        <f t="shared" si="122"/>
        <v>-2.0987430603788156E-2</v>
      </c>
      <c r="H1159" s="9">
        <f t="shared" si="123"/>
        <v>-8.0421680756790313E-4</v>
      </c>
      <c r="I1159" s="9">
        <f t="shared" si="124"/>
        <v>-8.1142617365400098E-4</v>
      </c>
      <c r="J1159" s="9">
        <f t="shared" si="125"/>
        <v>17.536119066345137</v>
      </c>
    </row>
    <row r="1160" spans="2:10" x14ac:dyDescent="0.25">
      <c r="B1160" s="1">
        <v>42598</v>
      </c>
      <c r="C1160" s="13">
        <v>27.344999999999999</v>
      </c>
      <c r="D1160" s="6">
        <f t="shared" si="119"/>
        <v>-9.1340884179769155E-4</v>
      </c>
      <c r="E1160" s="14">
        <f t="shared" si="120"/>
        <v>2.0244059649312201E-4</v>
      </c>
      <c r="F1160" s="9">
        <f t="shared" si="121"/>
        <v>17.557647282529235</v>
      </c>
      <c r="G1160" s="9">
        <f t="shared" si="122"/>
        <v>-2.365438801863555E-2</v>
      </c>
      <c r="H1160" s="9">
        <f t="shared" si="123"/>
        <v>-1.149528445659457E-3</v>
      </c>
      <c r="I1160" s="9">
        <f t="shared" si="124"/>
        <v>-2.1320109940514784E-3</v>
      </c>
      <c r="J1160" s="9">
        <f t="shared" si="125"/>
        <v>17.530711355070888</v>
      </c>
    </row>
    <row r="1161" spans="2:10" x14ac:dyDescent="0.25">
      <c r="B1161" s="1">
        <v>42597</v>
      </c>
      <c r="C1161" s="13">
        <v>27.37</v>
      </c>
      <c r="D1161" s="6">
        <f t="shared" si="119"/>
        <v>1.2017008689221731E-2</v>
      </c>
      <c r="E1161" s="14">
        <f t="shared" si="120"/>
        <v>2.0395102522852786E-4</v>
      </c>
      <c r="F1161" s="9">
        <f t="shared" si="121"/>
        <v>17.550213882775815</v>
      </c>
      <c r="G1161" s="9">
        <f t="shared" si="122"/>
        <v>-1.5872811641882738E-2</v>
      </c>
      <c r="H1161" s="9">
        <f t="shared" si="123"/>
        <v>-2.1291651218228336E-3</v>
      </c>
      <c r="I1161" s="9">
        <f t="shared" si="124"/>
        <v>-1.764982114239411E-2</v>
      </c>
      <c r="J1161" s="9">
        <f t="shared" si="125"/>
        <v>17.514562084869713</v>
      </c>
    </row>
    <row r="1162" spans="2:10" x14ac:dyDescent="0.25">
      <c r="B1162" s="1">
        <v>42594</v>
      </c>
      <c r="C1162" s="13">
        <v>27.045000000000002</v>
      </c>
      <c r="D1162" s="6">
        <f t="shared" si="119"/>
        <v>2.2977430233850349E-3</v>
      </c>
      <c r="E1162" s="14">
        <f t="shared" si="120"/>
        <v>2.076660161314509E-4</v>
      </c>
      <c r="F1162" s="9">
        <f t="shared" si="121"/>
        <v>17.53216267786776</v>
      </c>
      <c r="G1162" s="9">
        <f t="shared" si="122"/>
        <v>-0.2606696699256133</v>
      </c>
      <c r="H1162" s="9">
        <f t="shared" si="123"/>
        <v>1.6706362385204808E-2</v>
      </c>
      <c r="I1162" s="9">
        <f t="shared" si="124"/>
        <v>-7.744404934939314E-2</v>
      </c>
      <c r="J1162" s="9">
        <f t="shared" si="125"/>
        <v>17.21075532097796</v>
      </c>
    </row>
    <row r="1163" spans="2:10" x14ac:dyDescent="0.25">
      <c r="B1163" s="1">
        <v>42593</v>
      </c>
      <c r="C1163" s="13">
        <v>26.983000000000001</v>
      </c>
      <c r="D1163" s="6">
        <f t="shared" si="119"/>
        <v>-6.2962962962964664E-4</v>
      </c>
      <c r="E1163" s="14">
        <f t="shared" si="120"/>
        <v>2.0814754764710125E-4</v>
      </c>
      <c r="F1163" s="9">
        <f t="shared" si="121"/>
        <v>17.529846583479056</v>
      </c>
      <c r="G1163" s="9">
        <f t="shared" si="122"/>
        <v>-1.0827856508077887E-3</v>
      </c>
      <c r="H1163" s="9">
        <f t="shared" si="123"/>
        <v>3.054331027143259E-4</v>
      </c>
      <c r="I1163" s="9">
        <f t="shared" si="124"/>
        <v>-3.9060743602588157E-3</v>
      </c>
      <c r="J1163" s="9">
        <f t="shared" si="125"/>
        <v>17.525163156570702</v>
      </c>
    </row>
    <row r="1164" spans="2:10" x14ac:dyDescent="0.25">
      <c r="B1164" s="1">
        <v>42592</v>
      </c>
      <c r="C1164" s="13">
        <v>27</v>
      </c>
      <c r="D1164" s="6">
        <f t="shared" si="119"/>
        <v>-7.4624122339447263E-3</v>
      </c>
      <c r="E1164" s="14">
        <f t="shared" si="120"/>
        <v>2.0821706786172025E-4</v>
      </c>
      <c r="F1164" s="9">
        <f t="shared" si="121"/>
        <v>17.529512644365717</v>
      </c>
      <c r="G1164" s="9">
        <f t="shared" si="122"/>
        <v>-1.2268508419583277E-2</v>
      </c>
      <c r="H1164" s="9">
        <f t="shared" si="123"/>
        <v>-6.9771249609895235E-4</v>
      </c>
      <c r="I1164" s="9">
        <f t="shared" si="124"/>
        <v>-1.2275756152478792E-3</v>
      </c>
      <c r="J1164" s="9">
        <f t="shared" si="125"/>
        <v>17.515318847834788</v>
      </c>
    </row>
    <row r="1165" spans="2:10" x14ac:dyDescent="0.25">
      <c r="B1165" s="1">
        <v>42591</v>
      </c>
      <c r="C1165" s="13">
        <v>27.202999999999999</v>
      </c>
      <c r="D1165" s="6">
        <f t="shared" si="119"/>
        <v>4.0600893219651102E-3</v>
      </c>
      <c r="E1165" s="14">
        <f t="shared" si="120"/>
        <v>2.1094048411872461E-4</v>
      </c>
      <c r="F1165" s="9">
        <f t="shared" si="121"/>
        <v>17.516517747488866</v>
      </c>
      <c r="G1165" s="9">
        <f t="shared" si="122"/>
        <v>-0.19642568046095099</v>
      </c>
      <c r="H1165" s="9">
        <f t="shared" si="123"/>
        <v>-1.1229805515625763E-2</v>
      </c>
      <c r="I1165" s="9">
        <f t="shared" si="124"/>
        <v>-4.4159064137891169E-2</v>
      </c>
      <c r="J1165" s="9">
        <f t="shared" si="125"/>
        <v>17.264703197374399</v>
      </c>
    </row>
    <row r="1166" spans="2:10" x14ac:dyDescent="0.25">
      <c r="B1166" s="1">
        <v>42590</v>
      </c>
      <c r="C1166" s="13">
        <v>27.093</v>
      </c>
      <c r="D1166" s="6">
        <f t="shared" si="119"/>
        <v>8.2992184592483031E-3</v>
      </c>
      <c r="E1166" s="14">
        <f t="shared" si="120"/>
        <v>2.1256884413513918E-4</v>
      </c>
      <c r="F1166" s="9">
        <f t="shared" si="121"/>
        <v>17.508827867091462</v>
      </c>
      <c r="G1166" s="9">
        <f t="shared" si="122"/>
        <v>-1.3961922955178034E-2</v>
      </c>
      <c r="H1166" s="9">
        <f t="shared" si="123"/>
        <v>2.0557944407702221E-3</v>
      </c>
      <c r="I1166" s="9">
        <f t="shared" si="124"/>
        <v>-1.8759759756247316E-2</v>
      </c>
      <c r="J1166" s="9">
        <f t="shared" si="125"/>
        <v>17.478161978820808</v>
      </c>
    </row>
    <row r="1167" spans="2:10" x14ac:dyDescent="0.25">
      <c r="B1167" s="1">
        <v>42587</v>
      </c>
      <c r="C1167" s="13">
        <v>26.87</v>
      </c>
      <c r="D1167" s="6">
        <f t="shared" si="119"/>
        <v>1.5188151730391564E-2</v>
      </c>
      <c r="E1167" s="14">
        <f t="shared" si="120"/>
        <v>2.1823312089341601E-4</v>
      </c>
      <c r="F1167" s="9">
        <f t="shared" si="121"/>
        <v>17.48252992206351</v>
      </c>
      <c r="G1167" s="9">
        <f t="shared" si="122"/>
        <v>-0.10228871307200926</v>
      </c>
      <c r="H1167" s="9">
        <f t="shared" si="123"/>
        <v>1.4615289069352321E-2</v>
      </c>
      <c r="I1167" s="9">
        <f t="shared" si="124"/>
        <v>-0.15773192298952499</v>
      </c>
      <c r="J1167" s="9">
        <f t="shared" si="125"/>
        <v>17.237124575071324</v>
      </c>
    </row>
    <row r="1168" spans="2:10" x14ac:dyDescent="0.25">
      <c r="B1168" s="1">
        <v>42586</v>
      </c>
      <c r="C1168" s="13">
        <v>26.468</v>
      </c>
      <c r="D1168" s="6">
        <f t="shared" ref="D1168:D1231" si="126">C1168/C1169-1</f>
        <v>7.5620084694483225E-4</v>
      </c>
      <c r="E1168" s="14">
        <f t="shared" ref="E1168:E1231" si="127">_xlfn.VAR.S(D1168:D1288)</f>
        <v>2.1662652725669366E-4</v>
      </c>
      <c r="F1168" s="9">
        <f t="shared" si="121"/>
        <v>17.489918977145081</v>
      </c>
      <c r="G1168" s="9">
        <f t="shared" si="122"/>
        <v>-0.42570861947364314</v>
      </c>
      <c r="H1168" s="9">
        <f t="shared" si="123"/>
        <v>-3.7290035942426684E-3</v>
      </c>
      <c r="I1168" s="9">
        <f t="shared" si="124"/>
        <v>-5.778231159041549E-3</v>
      </c>
      <c r="J1168" s="9">
        <f t="shared" si="125"/>
        <v>17.054703122918156</v>
      </c>
    </row>
    <row r="1169" spans="2:10" x14ac:dyDescent="0.25">
      <c r="B1169" s="1">
        <v>42585</v>
      </c>
      <c r="C1169" s="13">
        <v>26.448</v>
      </c>
      <c r="D1169" s="6">
        <f t="shared" si="126"/>
        <v>1.2557427258805598E-2</v>
      </c>
      <c r="E1169" s="14">
        <f t="shared" si="127"/>
        <v>2.1705240416559603E-4</v>
      </c>
      <c r="F1169" s="9">
        <f t="shared" ref="F1169:F1232" si="128">LN(2*PI())-LN($C$6)-LN(E1169)-0.5*LN(1-POWER($C$7,2))</f>
        <v>17.487954957152674</v>
      </c>
      <c r="G1169" s="9">
        <f t="shared" ref="G1169:G1232" si="129">-POWER(D1168-1-$C$3,2)/(2*E1169*(1-POWER($C$7,2)))</f>
        <v>-1.7533657515795258E-3</v>
      </c>
      <c r="H1169" s="9">
        <f t="shared" ref="H1169:H1232" si="130">$C$7*(D1168-1-$C$3)*(E1168-E1169-$C$5*$C$4)/(E1169*$C$6*(1-POWER($C$7,2)))</f>
        <v>-3.6409705817929983E-4</v>
      </c>
      <c r="I1169" s="9">
        <f t="shared" ref="I1169:I1232" si="131">-POWER(E1168-E1169-$C$5*$C$4+$C$4*E1169,2)/(2*POWER($C$6,2)*E1169*(1-POWER($C$7,2)))</f>
        <v>-3.2048128190590619E-3</v>
      </c>
      <c r="J1169" s="9">
        <f t="shared" ref="J1169:J1232" si="132">SUM(F1169:I1169)</f>
        <v>17.482632681523857</v>
      </c>
    </row>
    <row r="1170" spans="2:10" x14ac:dyDescent="0.25">
      <c r="B1170" s="1">
        <v>42584</v>
      </c>
      <c r="C1170" s="13">
        <v>26.12</v>
      </c>
      <c r="D1170" s="6">
        <f t="shared" si="126"/>
        <v>-1.482291705955574E-2</v>
      </c>
      <c r="E1170" s="14">
        <f t="shared" si="127"/>
        <v>2.1654517144446592E-4</v>
      </c>
      <c r="F1170" s="9">
        <f t="shared" si="128"/>
        <v>17.490294605624172</v>
      </c>
      <c r="G1170" s="9">
        <f t="shared" si="129"/>
        <v>-0.27666315567954597</v>
      </c>
      <c r="H1170" s="9">
        <f t="shared" si="130"/>
        <v>1.0963500211061414E-3</v>
      </c>
      <c r="I1170" s="9">
        <f t="shared" si="131"/>
        <v>-1.7762827283385361E-5</v>
      </c>
      <c r="J1170" s="9">
        <f t="shared" si="132"/>
        <v>17.214710037138449</v>
      </c>
    </row>
    <row r="1171" spans="2:10" x14ac:dyDescent="0.25">
      <c r="B1171" s="1">
        <v>42583</v>
      </c>
      <c r="C1171" s="13">
        <v>26.513000000000002</v>
      </c>
      <c r="D1171" s="6">
        <f t="shared" si="126"/>
        <v>1.7656315971289249E-2</v>
      </c>
      <c r="E1171" s="14">
        <f t="shared" si="127"/>
        <v>2.1448203064870067E-4</v>
      </c>
      <c r="F1171" s="9">
        <f t="shared" si="128"/>
        <v>17.499867813729491</v>
      </c>
      <c r="G1171" s="9">
        <f t="shared" si="129"/>
        <v>-0.63271510419832522</v>
      </c>
      <c r="H1171" s="9">
        <f t="shared" si="130"/>
        <v>7.1579676378835987E-3</v>
      </c>
      <c r="I1171" s="9">
        <f t="shared" si="131"/>
        <v>-1.1262235352908417E-2</v>
      </c>
      <c r="J1171" s="9">
        <f t="shared" si="132"/>
        <v>16.86304844181614</v>
      </c>
    </row>
    <row r="1172" spans="2:10" x14ac:dyDescent="0.25">
      <c r="B1172" s="1">
        <v>42580</v>
      </c>
      <c r="C1172" s="13">
        <v>26.053000000000001</v>
      </c>
      <c r="D1172" s="6">
        <f t="shared" si="126"/>
        <v>-1.226758673567141E-3</v>
      </c>
      <c r="E1172" s="14">
        <f t="shared" si="127"/>
        <v>2.1292857628270472E-4</v>
      </c>
      <c r="F1172" s="9">
        <f t="shared" si="128"/>
        <v>17.507136988529048</v>
      </c>
      <c r="G1172" s="9">
        <f t="shared" si="129"/>
        <v>-0.60510452470782694</v>
      </c>
      <c r="H1172" s="9">
        <f t="shared" si="130"/>
        <v>-4.1884695910625958E-3</v>
      </c>
      <c r="I1172" s="9">
        <f t="shared" si="131"/>
        <v>-5.2952877758612035E-3</v>
      </c>
      <c r="J1172" s="9">
        <f t="shared" si="132"/>
        <v>16.892548706454296</v>
      </c>
    </row>
    <row r="1173" spans="2:10" x14ac:dyDescent="0.25">
      <c r="B1173" s="1">
        <v>42579</v>
      </c>
      <c r="C1173" s="13">
        <v>26.085000000000001</v>
      </c>
      <c r="D1173" s="6">
        <f t="shared" si="126"/>
        <v>1.3482011034268382E-2</v>
      </c>
      <c r="E1173" s="14">
        <f t="shared" si="127"/>
        <v>2.1922183665057152E-4</v>
      </c>
      <c r="F1173" s="9">
        <f t="shared" si="128"/>
        <v>17.478009605520462</v>
      </c>
      <c r="G1173" s="9">
        <f t="shared" si="129"/>
        <v>-1.8634172340408969E-2</v>
      </c>
      <c r="H1173" s="9">
        <f t="shared" si="130"/>
        <v>-6.8294720084641396E-3</v>
      </c>
      <c r="I1173" s="9">
        <f t="shared" si="131"/>
        <v>-0.19095407607181639</v>
      </c>
      <c r="J1173" s="9">
        <f t="shared" si="132"/>
        <v>17.261591885099772</v>
      </c>
    </row>
    <row r="1174" spans="2:10" x14ac:dyDescent="0.25">
      <c r="B1174" s="1">
        <v>42578</v>
      </c>
      <c r="C1174" s="13">
        <v>25.738</v>
      </c>
      <c r="D1174" s="6">
        <f t="shared" si="126"/>
        <v>6.4961933134723537E-2</v>
      </c>
      <c r="E1174" s="14">
        <f t="shared" si="127"/>
        <v>2.178897357224226E-4</v>
      </c>
      <c r="F1174" s="9">
        <f t="shared" si="128"/>
        <v>17.484104639997888</v>
      </c>
      <c r="G1174" s="9">
        <f t="shared" si="129"/>
        <v>-0.32344084913896048</v>
      </c>
      <c r="H1174" s="9">
        <f t="shared" si="130"/>
        <v>-2.136667263349659E-3</v>
      </c>
      <c r="I1174" s="9">
        <f t="shared" si="131"/>
        <v>-3.3705930679117473E-3</v>
      </c>
      <c r="J1174" s="9">
        <f t="shared" si="132"/>
        <v>17.155156530527663</v>
      </c>
    </row>
    <row r="1175" spans="2:10" x14ac:dyDescent="0.25">
      <c r="B1175" s="1">
        <v>42577</v>
      </c>
      <c r="C1175" s="13">
        <v>24.167999999999999</v>
      </c>
      <c r="D1175" s="6">
        <f t="shared" si="126"/>
        <v>-6.8625436613931612E-3</v>
      </c>
      <c r="E1175" s="14">
        <f t="shared" si="127"/>
        <v>1.8634714542614127E-4</v>
      </c>
      <c r="F1175" s="9">
        <f t="shared" si="128"/>
        <v>17.64048246792736</v>
      </c>
      <c r="G1175" s="9">
        <f t="shared" si="129"/>
        <v>-10.794744734526477</v>
      </c>
      <c r="H1175" s="9">
        <f t="shared" si="130"/>
        <v>-0.77257241697632584</v>
      </c>
      <c r="I1175" s="9">
        <f t="shared" si="131"/>
        <v>-4.7794992336465105</v>
      </c>
      <c r="J1175" s="9">
        <f t="shared" si="132"/>
        <v>1.2936660827780466</v>
      </c>
    </row>
    <row r="1176" spans="2:10" x14ac:dyDescent="0.25">
      <c r="B1176" s="1">
        <v>42576</v>
      </c>
      <c r="C1176" s="13">
        <v>24.335000000000001</v>
      </c>
      <c r="D1176" s="6">
        <f t="shared" si="126"/>
        <v>-1.3379282383944813E-2</v>
      </c>
      <c r="E1176" s="14">
        <f t="shared" si="127"/>
        <v>1.8941993789717317E-4</v>
      </c>
      <c r="F1176" s="9">
        <f t="shared" si="128"/>
        <v>17.624127331448772</v>
      </c>
      <c r="G1176" s="9">
        <f t="shared" si="129"/>
        <v>-0.19082354577537514</v>
      </c>
      <c r="H1176" s="9">
        <f t="shared" si="130"/>
        <v>-1.2838241407376386E-2</v>
      </c>
      <c r="I1176" s="9">
        <f t="shared" si="131"/>
        <v>-6.1823080367021686E-2</v>
      </c>
      <c r="J1176" s="9">
        <f t="shared" si="132"/>
        <v>17.358642463898999</v>
      </c>
    </row>
    <row r="1177" spans="2:10" x14ac:dyDescent="0.25">
      <c r="B1177" s="1">
        <v>42573</v>
      </c>
      <c r="C1177" s="13">
        <v>24.664999999999999</v>
      </c>
      <c r="D1177" s="6">
        <f t="shared" si="126"/>
        <v>-7.7641000885027012E-3</v>
      </c>
      <c r="E1177" s="14">
        <f t="shared" si="127"/>
        <v>1.8864060305676152E-4</v>
      </c>
      <c r="F1177" s="9">
        <f t="shared" si="128"/>
        <v>17.628250141739127</v>
      </c>
      <c r="G1177" s="9">
        <f t="shared" si="129"/>
        <v>-0.59866589052269104</v>
      </c>
      <c r="H1177" s="9">
        <f t="shared" si="130"/>
        <v>-1.273463731649957E-4</v>
      </c>
      <c r="I1177" s="9">
        <f t="shared" si="131"/>
        <v>-4.1316325227596073E-4</v>
      </c>
      <c r="J1177" s="9">
        <f t="shared" si="132"/>
        <v>17.029043741590993</v>
      </c>
    </row>
    <row r="1178" spans="2:10" x14ac:dyDescent="0.25">
      <c r="B1178" s="1">
        <v>42572</v>
      </c>
      <c r="C1178" s="13">
        <v>24.858000000000001</v>
      </c>
      <c r="D1178" s="6">
        <f t="shared" si="126"/>
        <v>-5.2821128451380206E-3</v>
      </c>
      <c r="E1178" s="14">
        <f t="shared" si="127"/>
        <v>1.9780025429822599E-4</v>
      </c>
      <c r="F1178" s="9">
        <f t="shared" si="128"/>
        <v>17.580836070567983</v>
      </c>
      <c r="G1178" s="9">
        <f t="shared" si="129"/>
        <v>-0.22361020806950144</v>
      </c>
      <c r="H1178" s="9">
        <f t="shared" si="130"/>
        <v>-3.4969325959111154E-2</v>
      </c>
      <c r="I1178" s="9">
        <f t="shared" si="131"/>
        <v>-0.43342493601871857</v>
      </c>
      <c r="J1178" s="9">
        <f t="shared" si="132"/>
        <v>16.888831600520653</v>
      </c>
    </row>
    <row r="1179" spans="2:10" x14ac:dyDescent="0.25">
      <c r="B1179" s="1">
        <v>42571</v>
      </c>
      <c r="C1179" s="13">
        <v>24.99</v>
      </c>
      <c r="D1179" s="6">
        <f t="shared" si="126"/>
        <v>8.8112784363980623E-4</v>
      </c>
      <c r="E1179" s="14">
        <f t="shared" si="127"/>
        <v>1.978728519629959E-4</v>
      </c>
      <c r="F1179" s="9">
        <f t="shared" si="128"/>
        <v>17.580469112771581</v>
      </c>
      <c r="G1179" s="9">
        <f t="shared" si="129"/>
        <v>-0.12099167257847813</v>
      </c>
      <c r="H1179" s="9">
        <f t="shared" si="130"/>
        <v>-2.2555686370236746E-3</v>
      </c>
      <c r="I1179" s="9">
        <f t="shared" si="131"/>
        <v>-1.3928278642906427E-3</v>
      </c>
      <c r="J1179" s="9">
        <f t="shared" si="132"/>
        <v>17.455829043691789</v>
      </c>
    </row>
    <row r="1180" spans="2:10" x14ac:dyDescent="0.25">
      <c r="B1180" s="1">
        <v>42570</v>
      </c>
      <c r="C1180" s="13">
        <v>24.968</v>
      </c>
      <c r="D1180" s="6">
        <f t="shared" si="126"/>
        <v>4.0067313085989653E-4</v>
      </c>
      <c r="E1180" s="14">
        <f t="shared" si="127"/>
        <v>2.3428970725957482E-4</v>
      </c>
      <c r="F1180" s="9">
        <f t="shared" si="128"/>
        <v>17.411535360590051</v>
      </c>
      <c r="G1180" s="9">
        <f t="shared" si="129"/>
        <v>-1.1918866431680189E-3</v>
      </c>
      <c r="H1180" s="9">
        <f t="shared" si="130"/>
        <v>-8.76516019357069E-3</v>
      </c>
      <c r="I1180" s="9">
        <f t="shared" si="131"/>
        <v>-5.3485881270027811</v>
      </c>
      <c r="J1180" s="9">
        <f t="shared" si="132"/>
        <v>12.052990186750534</v>
      </c>
    </row>
    <row r="1181" spans="2:10" x14ac:dyDescent="0.25">
      <c r="B1181" s="1">
        <v>42569</v>
      </c>
      <c r="C1181" s="13">
        <v>24.957999999999998</v>
      </c>
      <c r="D1181" s="6">
        <f t="shared" si="126"/>
        <v>1.0649929135452485E-2</v>
      </c>
      <c r="E1181" s="14">
        <f t="shared" si="127"/>
        <v>2.3453409973673236E-4</v>
      </c>
      <c r="F1181" s="9">
        <f t="shared" si="128"/>
        <v>17.41049278341864</v>
      </c>
      <c r="G1181" s="9">
        <f t="shared" si="129"/>
        <v>-3.2174127916618804E-3</v>
      </c>
      <c r="H1181" s="9">
        <f t="shared" si="130"/>
        <v>-4.0428814718421077E-4</v>
      </c>
      <c r="I1181" s="9">
        <f t="shared" si="131"/>
        <v>-1.7019725376125861E-3</v>
      </c>
      <c r="J1181" s="9">
        <f t="shared" si="132"/>
        <v>17.405169109942179</v>
      </c>
    </row>
    <row r="1182" spans="2:10" x14ac:dyDescent="0.25">
      <c r="B1182" s="1">
        <v>42566</v>
      </c>
      <c r="C1182" s="13">
        <v>24.695</v>
      </c>
      <c r="D1182" s="6">
        <f t="shared" si="126"/>
        <v>-1.2146732528950377E-4</v>
      </c>
      <c r="E1182" s="14">
        <f t="shared" si="127"/>
        <v>2.3677786418981338E-4</v>
      </c>
      <c r="F1182" s="9">
        <f t="shared" si="128"/>
        <v>17.400971355676589</v>
      </c>
      <c r="G1182" s="9">
        <f t="shared" si="129"/>
        <v>-0.17241446068398911</v>
      </c>
      <c r="H1182" s="9">
        <f t="shared" si="130"/>
        <v>8.5789781719404993E-3</v>
      </c>
      <c r="I1182" s="9">
        <f t="shared" si="131"/>
        <v>-2.7460978332403532E-2</v>
      </c>
      <c r="J1182" s="9">
        <f t="shared" si="132"/>
        <v>17.209674894832137</v>
      </c>
    </row>
    <row r="1183" spans="2:10" x14ac:dyDescent="0.25">
      <c r="B1183" s="1">
        <v>42565</v>
      </c>
      <c r="C1183" s="13">
        <v>24.698</v>
      </c>
      <c r="D1183" s="6">
        <f t="shared" si="126"/>
        <v>1.9819968618383088E-2</v>
      </c>
      <c r="E1183" s="14">
        <f t="shared" si="127"/>
        <v>2.6022657668897089E-4</v>
      </c>
      <c r="F1183" s="9">
        <f t="shared" si="128"/>
        <v>17.30654107506065</v>
      </c>
      <c r="G1183" s="9">
        <f t="shared" si="129"/>
        <v>-5.8937257774945755E-3</v>
      </c>
      <c r="H1183" s="9">
        <f t="shared" si="130"/>
        <v>-1.2050172851152129E-2</v>
      </c>
      <c r="I1183" s="9">
        <f t="shared" si="131"/>
        <v>-2.0141179765995201</v>
      </c>
      <c r="J1183" s="9">
        <f t="shared" si="132"/>
        <v>15.274479199832486</v>
      </c>
    </row>
    <row r="1184" spans="2:10" x14ac:dyDescent="0.25">
      <c r="B1184" s="1">
        <v>42564</v>
      </c>
      <c r="C1184" s="13">
        <v>24.218</v>
      </c>
      <c r="D1184" s="6">
        <f t="shared" si="126"/>
        <v>-5.6251283104085115E-3</v>
      </c>
      <c r="E1184" s="14">
        <f t="shared" si="127"/>
        <v>2.5726717634449103E-4</v>
      </c>
      <c r="F1184" s="9">
        <f t="shared" si="128"/>
        <v>17.317978633828865</v>
      </c>
      <c r="G1184" s="9">
        <f t="shared" si="129"/>
        <v>-0.64514803637398377</v>
      </c>
      <c r="H1184" s="9">
        <f t="shared" si="130"/>
        <v>-1.1286012280834137E-2</v>
      </c>
      <c r="I1184" s="9">
        <f t="shared" si="131"/>
        <v>-2.3977733297988635E-2</v>
      </c>
      <c r="J1184" s="9">
        <f t="shared" si="132"/>
        <v>16.637566851876056</v>
      </c>
    </row>
    <row r="1185" spans="2:10" x14ac:dyDescent="0.25">
      <c r="B1185" s="1">
        <v>42563</v>
      </c>
      <c r="C1185" s="13">
        <v>24.355</v>
      </c>
      <c r="D1185" s="6">
        <f t="shared" si="126"/>
        <v>4.5370179418435796E-3</v>
      </c>
      <c r="E1185" s="14">
        <f t="shared" si="127"/>
        <v>2.5699989984745056E-4</v>
      </c>
      <c r="F1185" s="9">
        <f t="shared" si="128"/>
        <v>17.319018080192354</v>
      </c>
      <c r="G1185" s="9">
        <f t="shared" si="129"/>
        <v>-0.1026344247447127</v>
      </c>
      <c r="H1185" s="9">
        <f t="shared" si="130"/>
        <v>-1.1136566350670976E-3</v>
      </c>
      <c r="I1185" s="9">
        <f t="shared" si="131"/>
        <v>-4.2313952542673589E-5</v>
      </c>
      <c r="J1185" s="9">
        <f t="shared" si="132"/>
        <v>17.215227684860032</v>
      </c>
    </row>
    <row r="1186" spans="2:10" x14ac:dyDescent="0.25">
      <c r="B1186" s="1">
        <v>42562</v>
      </c>
      <c r="C1186" s="13">
        <v>24.245000000000001</v>
      </c>
      <c r="D1186" s="6">
        <f t="shared" si="126"/>
        <v>3.1030202730657486E-3</v>
      </c>
      <c r="E1186" s="14">
        <f t="shared" si="127"/>
        <v>2.5704930154525602E-4</v>
      </c>
      <c r="F1186" s="9">
        <f t="shared" si="128"/>
        <v>17.318825874085142</v>
      </c>
      <c r="G1186" s="9">
        <f t="shared" si="129"/>
        <v>-1.6516729583288439E-2</v>
      </c>
      <c r="H1186" s="9">
        <f t="shared" si="130"/>
        <v>7.1176670392467068E-4</v>
      </c>
      <c r="I1186" s="9">
        <f t="shared" si="131"/>
        <v>-6.4943513528869698E-4</v>
      </c>
      <c r="J1186" s="9">
        <f t="shared" si="132"/>
        <v>17.302371476070494</v>
      </c>
    </row>
    <row r="1187" spans="2:10" x14ac:dyDescent="0.25">
      <c r="B1187" s="1">
        <v>42559</v>
      </c>
      <c r="C1187" s="13">
        <v>24.17</v>
      </c>
      <c r="D1187" s="6">
        <f t="shared" si="126"/>
        <v>7.7131540546175881E-3</v>
      </c>
      <c r="E1187" s="14">
        <f t="shared" si="127"/>
        <v>2.6176870151586764E-4</v>
      </c>
      <c r="F1187" s="9">
        <f t="shared" si="128"/>
        <v>17.300632480183367</v>
      </c>
      <c r="G1187" s="9">
        <f t="shared" si="129"/>
        <v>-4.1717177098402492E-3</v>
      </c>
      <c r="H1187" s="9">
        <f t="shared" si="130"/>
        <v>2.3011012235643557E-3</v>
      </c>
      <c r="I1187" s="9">
        <f t="shared" si="131"/>
        <v>-9.1335208298665913E-2</v>
      </c>
      <c r="J1187" s="9">
        <f t="shared" si="132"/>
        <v>17.207426655398425</v>
      </c>
    </row>
    <row r="1188" spans="2:10" x14ac:dyDescent="0.25">
      <c r="B1188" s="1">
        <v>42558</v>
      </c>
      <c r="C1188" s="13">
        <v>23.984999999999999</v>
      </c>
      <c r="D1188" s="6">
        <f t="shared" si="126"/>
        <v>4.2708202487125035E-3</v>
      </c>
      <c r="E1188" s="14">
        <f t="shared" si="127"/>
        <v>2.6526319371641548E-4</v>
      </c>
      <c r="F1188" s="9">
        <f t="shared" si="128"/>
        <v>17.287371258447855</v>
      </c>
      <c r="G1188" s="9">
        <f t="shared" si="129"/>
        <v>-7.0018431654965241E-2</v>
      </c>
      <c r="H1188" s="9">
        <f t="shared" si="130"/>
        <v>7.2869678404027345E-3</v>
      </c>
      <c r="I1188" s="9">
        <f t="shared" si="131"/>
        <v>-5.1798226471516197E-2</v>
      </c>
      <c r="J1188" s="9">
        <f t="shared" si="132"/>
        <v>17.172841568161779</v>
      </c>
    </row>
    <row r="1189" spans="2:10" x14ac:dyDescent="0.25">
      <c r="B1189" s="1">
        <v>42557</v>
      </c>
      <c r="C1189" s="13">
        <v>23.882999999999999</v>
      </c>
      <c r="D1189" s="6">
        <f t="shared" si="126"/>
        <v>5.6846892369883939E-3</v>
      </c>
      <c r="E1189" s="14">
        <f t="shared" si="127"/>
        <v>2.7055344986042526E-4</v>
      </c>
      <c r="F1189" s="9">
        <f t="shared" si="128"/>
        <v>17.267624100095421</v>
      </c>
      <c r="G1189" s="9">
        <f t="shared" si="129"/>
        <v>-1.2952375965460075E-2</v>
      </c>
      <c r="H1189" s="9">
        <f t="shared" si="130"/>
        <v>4.4006998003287166E-3</v>
      </c>
      <c r="I1189" s="9">
        <f t="shared" si="131"/>
        <v>-0.10875374859153367</v>
      </c>
      <c r="J1189" s="9">
        <f t="shared" si="132"/>
        <v>17.150318675338756</v>
      </c>
    </row>
    <row r="1190" spans="2:10" x14ac:dyDescent="0.25">
      <c r="B1190" s="1">
        <v>42556</v>
      </c>
      <c r="C1190" s="13">
        <v>23.748000000000001</v>
      </c>
      <c r="D1190" s="6">
        <f t="shared" si="126"/>
        <v>-9.3855587535977003E-3</v>
      </c>
      <c r="E1190" s="14">
        <f t="shared" si="127"/>
        <v>2.7206426892918575E-4</v>
      </c>
      <c r="F1190" s="9">
        <f t="shared" si="128"/>
        <v>17.262055454175368</v>
      </c>
      <c r="G1190" s="9">
        <f t="shared" si="129"/>
        <v>-3.034342927255506E-2</v>
      </c>
      <c r="H1190" s="9">
        <f t="shared" si="130"/>
        <v>2.5492666760034209E-3</v>
      </c>
      <c r="I1190" s="9">
        <f t="shared" si="131"/>
        <v>-1.1768390248729346E-2</v>
      </c>
      <c r="J1190" s="9">
        <f t="shared" si="132"/>
        <v>17.222492901330085</v>
      </c>
    </row>
    <row r="1191" spans="2:10" x14ac:dyDescent="0.25">
      <c r="B1191" s="1">
        <v>42552</v>
      </c>
      <c r="C1191" s="13">
        <v>23.972999999999999</v>
      </c>
      <c r="D1191" s="6">
        <f t="shared" si="126"/>
        <v>3.0543933054394401E-3</v>
      </c>
      <c r="E1191" s="14">
        <f t="shared" si="127"/>
        <v>2.7354657462192632E-4</v>
      </c>
      <c r="F1191" s="9">
        <f t="shared" si="128"/>
        <v>17.256621876902496</v>
      </c>
      <c r="G1191" s="9">
        <f t="shared" si="129"/>
        <v>-0.22234428907658574</v>
      </c>
      <c r="H1191" s="9">
        <f t="shared" si="130"/>
        <v>-6.7971401103154774E-3</v>
      </c>
      <c r="I1191" s="9">
        <f t="shared" si="131"/>
        <v>-1.1318482156500505E-2</v>
      </c>
      <c r="J1191" s="9">
        <f t="shared" si="132"/>
        <v>17.016161965559096</v>
      </c>
    </row>
    <row r="1192" spans="2:10" x14ac:dyDescent="0.25">
      <c r="B1192" s="1">
        <v>42551</v>
      </c>
      <c r="C1192" s="13">
        <v>23.9</v>
      </c>
      <c r="D1192" s="6">
        <f t="shared" si="126"/>
        <v>1.2711864406779627E-2</v>
      </c>
      <c r="E1192" s="14">
        <f t="shared" si="127"/>
        <v>2.7369799718254898E-4</v>
      </c>
      <c r="F1192" s="9">
        <f t="shared" si="128"/>
        <v>17.256068476933674</v>
      </c>
      <c r="G1192" s="9">
        <f t="shared" si="129"/>
        <v>-3.7312700666618606E-3</v>
      </c>
      <c r="H1192" s="9">
        <f t="shared" si="130"/>
        <v>3.671832046809356E-4</v>
      </c>
      <c r="I1192" s="9">
        <f t="shared" si="131"/>
        <v>-8.4236902499733855E-4</v>
      </c>
      <c r="J1192" s="9">
        <f t="shared" si="132"/>
        <v>17.251862021046694</v>
      </c>
    </row>
    <row r="1193" spans="2:10" x14ac:dyDescent="0.25">
      <c r="B1193" s="1">
        <v>42550</v>
      </c>
      <c r="C1193" s="13">
        <v>23.6</v>
      </c>
      <c r="D1193" s="6">
        <f t="shared" si="126"/>
        <v>8.6332165142319894E-3</v>
      </c>
      <c r="E1193" s="14">
        <f t="shared" si="127"/>
        <v>2.8703139427467528E-4</v>
      </c>
      <c r="F1193" s="9">
        <f t="shared" si="128"/>
        <v>17.208502177894999</v>
      </c>
      <c r="G1193" s="9">
        <f t="shared" si="129"/>
        <v>-0.21466305680273987</v>
      </c>
      <c r="H1193" s="9">
        <f t="shared" si="130"/>
        <v>4.0360690139364955E-2</v>
      </c>
      <c r="I1193" s="9">
        <f t="shared" si="131"/>
        <v>-0.60051414137722436</v>
      </c>
      <c r="J1193" s="9">
        <f t="shared" si="132"/>
        <v>16.433685669854402</v>
      </c>
    </row>
    <row r="1194" spans="2:10" x14ac:dyDescent="0.25">
      <c r="B1194" s="1">
        <v>42549</v>
      </c>
      <c r="C1194" s="13">
        <v>23.398</v>
      </c>
      <c r="D1194" s="6">
        <f t="shared" si="126"/>
        <v>1.6862233811386185E-2</v>
      </c>
      <c r="E1194" s="14">
        <f t="shared" si="127"/>
        <v>2.8936949538843881E-4</v>
      </c>
      <c r="F1194" s="9">
        <f t="shared" si="128"/>
        <v>17.200389373145054</v>
      </c>
      <c r="G1194" s="9">
        <f t="shared" si="129"/>
        <v>-8.5059806355830311E-2</v>
      </c>
      <c r="H1194" s="9">
        <f t="shared" si="130"/>
        <v>5.6196175719839415E-3</v>
      </c>
      <c r="I1194" s="9">
        <f t="shared" si="131"/>
        <v>-2.2594282225265501E-2</v>
      </c>
      <c r="J1194" s="9">
        <f t="shared" si="132"/>
        <v>17.098354902135942</v>
      </c>
    </row>
    <row r="1195" spans="2:10" x14ac:dyDescent="0.25">
      <c r="B1195" s="1">
        <v>42548</v>
      </c>
      <c r="C1195" s="13">
        <v>23.01</v>
      </c>
      <c r="D1195" s="6">
        <f t="shared" si="126"/>
        <v>-1.45610278372591E-2</v>
      </c>
      <c r="E1195" s="14">
        <f t="shared" si="127"/>
        <v>2.9167620537148343E-4</v>
      </c>
      <c r="F1195" s="9">
        <f t="shared" si="128"/>
        <v>17.192449474103327</v>
      </c>
      <c r="G1195" s="9">
        <f t="shared" si="129"/>
        <v>-0.39905304747927156</v>
      </c>
      <c r="H1195" s="9">
        <f t="shared" si="130"/>
        <v>1.2002477802111859E-2</v>
      </c>
      <c r="I1195" s="9">
        <f t="shared" si="131"/>
        <v>-2.1826209855976761E-2</v>
      </c>
      <c r="J1195" s="9">
        <f t="shared" si="132"/>
        <v>16.783572694570193</v>
      </c>
    </row>
    <row r="1196" spans="2:10" x14ac:dyDescent="0.25">
      <c r="B1196" s="1">
        <v>42545</v>
      </c>
      <c r="C1196" s="13">
        <v>23.35</v>
      </c>
      <c r="D1196" s="6">
        <f t="shared" si="126"/>
        <v>-2.809573361082196E-2</v>
      </c>
      <c r="E1196" s="14">
        <f t="shared" si="127"/>
        <v>2.9014884259460412E-4</v>
      </c>
      <c r="F1196" s="9">
        <f t="shared" si="128"/>
        <v>17.197699733750021</v>
      </c>
      <c r="G1196" s="9">
        <f t="shared" si="129"/>
        <v>-0.45293828381308587</v>
      </c>
      <c r="H1196" s="9">
        <f t="shared" si="130"/>
        <v>2.9966772989115232E-3</v>
      </c>
      <c r="I1196" s="9">
        <f t="shared" si="131"/>
        <v>-4.6341629137381908E-3</v>
      </c>
      <c r="J1196" s="9">
        <f t="shared" si="132"/>
        <v>16.743123964322105</v>
      </c>
    </row>
    <row r="1197" spans="2:10" x14ac:dyDescent="0.25">
      <c r="B1197" s="1">
        <v>42544</v>
      </c>
      <c r="C1197" s="13">
        <v>24.024999999999999</v>
      </c>
      <c r="D1197" s="6">
        <f t="shared" si="126"/>
        <v>5.7350971198926182E-3</v>
      </c>
      <c r="E1197" s="14">
        <f t="shared" si="127"/>
        <v>2.867606568027424E-4</v>
      </c>
      <c r="F1197" s="9">
        <f t="shared" si="128"/>
        <v>17.209445855980178</v>
      </c>
      <c r="G1197" s="9">
        <f t="shared" si="129"/>
        <v>-1.5449747897106925</v>
      </c>
      <c r="H1197" s="9">
        <f t="shared" si="130"/>
        <v>1.9828918207562031E-2</v>
      </c>
      <c r="I1197" s="9">
        <f t="shared" si="131"/>
        <v>-3.0197872025070144E-2</v>
      </c>
      <c r="J1197" s="9">
        <f t="shared" si="132"/>
        <v>15.654102112451977</v>
      </c>
    </row>
    <row r="1198" spans="2:10" x14ac:dyDescent="0.25">
      <c r="B1198" s="1">
        <v>42543</v>
      </c>
      <c r="C1198" s="13">
        <v>23.888000000000002</v>
      </c>
      <c r="D1198" s="6">
        <f t="shared" si="126"/>
        <v>-3.7534406539327936E-3</v>
      </c>
      <c r="E1198" s="14">
        <f t="shared" si="127"/>
        <v>2.8764246593489511E-4</v>
      </c>
      <c r="F1198" s="9">
        <f t="shared" si="128"/>
        <v>17.206375504201137</v>
      </c>
      <c r="G1198" s="9">
        <f t="shared" si="129"/>
        <v>-2.9417646224677227E-2</v>
      </c>
      <c r="H1198" s="9">
        <f t="shared" si="130"/>
        <v>1.7769534743639548E-3</v>
      </c>
      <c r="I1198" s="9">
        <f t="shared" si="131"/>
        <v>-4.6780179594381362E-3</v>
      </c>
      <c r="J1198" s="9">
        <f t="shared" si="132"/>
        <v>17.174056793491388</v>
      </c>
    </row>
    <row r="1199" spans="2:10" x14ac:dyDescent="0.25">
      <c r="B1199" s="1">
        <v>42542</v>
      </c>
      <c r="C1199" s="13">
        <v>23.978000000000002</v>
      </c>
      <c r="D1199" s="6">
        <f t="shared" si="126"/>
        <v>8.5383806519454541E-3</v>
      </c>
      <c r="E1199" s="14">
        <f t="shared" si="127"/>
        <v>2.9051949293831759E-4</v>
      </c>
      <c r="F1199" s="9">
        <f t="shared" si="128"/>
        <v>17.196423100011366</v>
      </c>
      <c r="G1199" s="9">
        <f t="shared" si="129"/>
        <v>-4.9976978182598726E-2</v>
      </c>
      <c r="H1199" s="9">
        <f t="shared" si="130"/>
        <v>-5.0370728044531726E-3</v>
      </c>
      <c r="I1199" s="9">
        <f t="shared" si="131"/>
        <v>-3.2507747086154386E-2</v>
      </c>
      <c r="J1199" s="9">
        <f t="shared" si="132"/>
        <v>17.108901301938161</v>
      </c>
    </row>
    <row r="1200" spans="2:10" x14ac:dyDescent="0.25">
      <c r="B1200" s="1">
        <v>42541</v>
      </c>
      <c r="C1200" s="13">
        <v>23.774999999999999</v>
      </c>
      <c r="D1200" s="6">
        <f t="shared" si="126"/>
        <v>-2.4336004699366809E-3</v>
      </c>
      <c r="E1200" s="14">
        <f t="shared" si="127"/>
        <v>2.9068873177010062E-4</v>
      </c>
      <c r="F1200" s="9">
        <f t="shared" si="128"/>
        <v>17.195840730976066</v>
      </c>
      <c r="G1200" s="9">
        <f t="shared" si="129"/>
        <v>-8.2396898231797411E-2</v>
      </c>
      <c r="H1200" s="9">
        <f t="shared" si="130"/>
        <v>1.7056138718041542E-3</v>
      </c>
      <c r="I1200" s="9">
        <f t="shared" si="131"/>
        <v>-7.6077937289589315E-4</v>
      </c>
      <c r="J1200" s="9">
        <f t="shared" si="132"/>
        <v>17.114388667243176</v>
      </c>
    </row>
    <row r="1201" spans="2:10" x14ac:dyDescent="0.25">
      <c r="B1201" s="1">
        <v>42538</v>
      </c>
      <c r="C1201" s="13">
        <v>23.832999999999998</v>
      </c>
      <c r="D1201" s="6">
        <f t="shared" si="126"/>
        <v>-2.2757093652616134E-2</v>
      </c>
      <c r="E1201" s="14">
        <f t="shared" si="127"/>
        <v>2.9083245372438042E-4</v>
      </c>
      <c r="F1201" s="9">
        <f t="shared" si="128"/>
        <v>17.195346434428352</v>
      </c>
      <c r="G1201" s="9">
        <f t="shared" si="129"/>
        <v>-2.8435805479154908E-2</v>
      </c>
      <c r="H1201" s="9">
        <f t="shared" si="130"/>
        <v>-9.7538457678696274E-4</v>
      </c>
      <c r="I1201" s="9">
        <f t="shared" si="131"/>
        <v>-6.8245717414025606E-4</v>
      </c>
      <c r="J1201" s="9">
        <f t="shared" si="132"/>
        <v>17.16525278719827</v>
      </c>
    </row>
    <row r="1202" spans="2:10" x14ac:dyDescent="0.25">
      <c r="B1202" s="1">
        <v>42537</v>
      </c>
      <c r="C1202" s="13">
        <v>24.388000000000002</v>
      </c>
      <c r="D1202" s="6">
        <f t="shared" si="126"/>
        <v>4.241301214741755E-3</v>
      </c>
      <c r="E1202" s="14">
        <f t="shared" si="127"/>
        <v>2.8836286249501086E-4</v>
      </c>
      <c r="F1202" s="9">
        <f t="shared" si="128"/>
        <v>17.203874149091479</v>
      </c>
      <c r="G1202" s="9">
        <f t="shared" si="129"/>
        <v>-1.0340453936727938</v>
      </c>
      <c r="H1202" s="9">
        <f t="shared" si="130"/>
        <v>1.0433308464679441E-2</v>
      </c>
      <c r="I1202" s="9">
        <f t="shared" si="131"/>
        <v>-1.4749807224488688E-2</v>
      </c>
      <c r="J1202" s="9">
        <f t="shared" si="132"/>
        <v>16.165512256658875</v>
      </c>
    </row>
    <row r="1203" spans="2:10" x14ac:dyDescent="0.25">
      <c r="B1203" s="1">
        <v>42536</v>
      </c>
      <c r="C1203" s="13">
        <v>24.285</v>
      </c>
      <c r="D1203" s="6">
        <f t="shared" si="126"/>
        <v>-3.2833983172583237E-3</v>
      </c>
      <c r="E1203" s="14">
        <f t="shared" si="127"/>
        <v>2.8816338195547102E-4</v>
      </c>
      <c r="F1203" s="9">
        <f t="shared" si="128"/>
        <v>17.204566157649356</v>
      </c>
      <c r="G1203" s="9">
        <f t="shared" si="129"/>
        <v>-1.1890765981715509E-2</v>
      </c>
      <c r="H1203" s="9">
        <f t="shared" si="130"/>
        <v>4.0345173504370975E-4</v>
      </c>
      <c r="I1203" s="9">
        <f t="shared" si="131"/>
        <v>-4.9877111542585E-5</v>
      </c>
      <c r="J1203" s="9">
        <f t="shared" si="132"/>
        <v>17.193028966291141</v>
      </c>
    </row>
    <row r="1204" spans="2:10" x14ac:dyDescent="0.25">
      <c r="B1204" s="1">
        <v>42535</v>
      </c>
      <c r="C1204" s="13">
        <v>24.364999999999998</v>
      </c>
      <c r="D1204" s="6">
        <f t="shared" si="126"/>
        <v>1.2327922745016817E-3</v>
      </c>
      <c r="E1204" s="14">
        <f t="shared" si="127"/>
        <v>2.8948579585402707E-4</v>
      </c>
      <c r="F1204" s="9">
        <f t="shared" si="128"/>
        <v>17.199987543987014</v>
      </c>
      <c r="G1204" s="9">
        <f t="shared" si="129"/>
        <v>-4.1775451752103544E-2</v>
      </c>
      <c r="H1204" s="9">
        <f t="shared" si="130"/>
        <v>-2.6634600694068378E-3</v>
      </c>
      <c r="I1204" s="9">
        <f t="shared" si="131"/>
        <v>-8.6296296843157497E-3</v>
      </c>
      <c r="J1204" s="9">
        <f t="shared" si="132"/>
        <v>17.146919002481191</v>
      </c>
    </row>
    <row r="1205" spans="2:10" x14ac:dyDescent="0.25">
      <c r="B1205" s="1">
        <v>42534</v>
      </c>
      <c r="C1205" s="13">
        <v>24.335000000000001</v>
      </c>
      <c r="D1205" s="6">
        <f t="shared" si="126"/>
        <v>-1.5096325076898065E-2</v>
      </c>
      <c r="E1205" s="14">
        <f t="shared" si="127"/>
        <v>2.9525580768288679E-4</v>
      </c>
      <c r="F1205" s="9">
        <f t="shared" si="128"/>
        <v>17.180251650114037</v>
      </c>
      <c r="G1205" s="9">
        <f t="shared" si="129"/>
        <v>-2.6440721334972859E-4</v>
      </c>
      <c r="H1205" s="9">
        <f t="shared" si="130"/>
        <v>-6.4928662196009519E-4</v>
      </c>
      <c r="I1205" s="9">
        <f t="shared" si="131"/>
        <v>-0.11575732448159456</v>
      </c>
      <c r="J1205" s="9">
        <f t="shared" si="132"/>
        <v>17.06358063179713</v>
      </c>
    </row>
    <row r="1206" spans="2:10" x14ac:dyDescent="0.25">
      <c r="B1206" s="1">
        <v>42531</v>
      </c>
      <c r="C1206" s="13">
        <v>24.707999999999998</v>
      </c>
      <c r="D1206" s="6">
        <f t="shared" si="126"/>
        <v>-8.2286356520693271E-3</v>
      </c>
      <c r="E1206" s="14">
        <f t="shared" si="127"/>
        <v>2.9701825828664069E-4</v>
      </c>
      <c r="F1206" s="9">
        <f t="shared" si="128"/>
        <v>17.174300162763121</v>
      </c>
      <c r="G1206" s="9">
        <f t="shared" si="129"/>
        <v>-0.47220817920283664</v>
      </c>
      <c r="H1206" s="9">
        <f t="shared" si="130"/>
        <v>-1.067247817720109E-2</v>
      </c>
      <c r="I1206" s="9">
        <f t="shared" si="131"/>
        <v>-1.3353213310528302E-2</v>
      </c>
      <c r="J1206" s="9">
        <f t="shared" si="132"/>
        <v>16.678066292072554</v>
      </c>
    </row>
    <row r="1207" spans="2:10" x14ac:dyDescent="0.25">
      <c r="B1207" s="1">
        <v>42530</v>
      </c>
      <c r="C1207" s="13">
        <v>24.913</v>
      </c>
      <c r="D1207" s="6">
        <f t="shared" si="126"/>
        <v>7.1962805740852787E-3</v>
      </c>
      <c r="E1207" s="14">
        <f t="shared" si="127"/>
        <v>2.9714901989545396E-4</v>
      </c>
      <c r="F1207" s="9">
        <f t="shared" si="128"/>
        <v>17.173860011931104</v>
      </c>
      <c r="G1207" s="9">
        <f t="shared" si="129"/>
        <v>-0.16393775748819048</v>
      </c>
      <c r="H1207" s="9">
        <f t="shared" si="130"/>
        <v>-2.2851651771602995E-3</v>
      </c>
      <c r="I1207" s="9">
        <f t="shared" si="131"/>
        <v>-6.021808333806644E-4</v>
      </c>
      <c r="J1207" s="9">
        <f t="shared" si="132"/>
        <v>17.007034908432374</v>
      </c>
    </row>
    <row r="1208" spans="2:10" x14ac:dyDescent="0.25">
      <c r="B1208" s="1">
        <v>42529</v>
      </c>
      <c r="C1208" s="13">
        <v>24.734999999999999</v>
      </c>
      <c r="D1208" s="6">
        <f t="shared" si="126"/>
        <v>-9.2899264884072075E-4</v>
      </c>
      <c r="E1208" s="14">
        <f t="shared" si="127"/>
        <v>2.9898598303188911E-4</v>
      </c>
      <c r="F1208" s="9">
        <f t="shared" si="128"/>
        <v>17.167697082589061</v>
      </c>
      <c r="G1208" s="9">
        <f t="shared" si="129"/>
        <v>-5.2017112116594974E-2</v>
      </c>
      <c r="H1208" s="9">
        <f t="shared" si="130"/>
        <v>3.6331359208744271E-3</v>
      </c>
      <c r="I1208" s="9">
        <f t="shared" si="131"/>
        <v>-1.419341453475976E-2</v>
      </c>
      <c r="J1208" s="9">
        <f t="shared" si="132"/>
        <v>17.105119691858583</v>
      </c>
    </row>
    <row r="1209" spans="2:10" x14ac:dyDescent="0.25">
      <c r="B1209" s="1">
        <v>42528</v>
      </c>
      <c r="C1209" s="13">
        <v>24.757999999999999</v>
      </c>
      <c r="D1209" s="6">
        <f t="shared" si="126"/>
        <v>4.055478952064151E-3</v>
      </c>
      <c r="E1209" s="14">
        <f t="shared" si="127"/>
        <v>2.9921593517444876E-4</v>
      </c>
      <c r="F1209" s="9">
        <f t="shared" si="128"/>
        <v>17.166928271433875</v>
      </c>
      <c r="G1209" s="9">
        <f t="shared" si="129"/>
        <v>-1.0952323906790408E-2</v>
      </c>
      <c r="H1209" s="9">
        <f t="shared" si="130"/>
        <v>-6.5126904657195604E-4</v>
      </c>
      <c r="I1209" s="9">
        <f t="shared" si="131"/>
        <v>-8.8660743820008253E-4</v>
      </c>
      <c r="J1209" s="9">
        <f t="shared" si="132"/>
        <v>17.154438071042314</v>
      </c>
    </row>
    <row r="1210" spans="2:10" x14ac:dyDescent="0.25">
      <c r="B1210" s="1">
        <v>42527</v>
      </c>
      <c r="C1210" s="13">
        <v>24.658000000000001</v>
      </c>
      <c r="D1210" s="6">
        <f t="shared" si="126"/>
        <v>7.2712418300653336E-3</v>
      </c>
      <c r="E1210" s="14">
        <f t="shared" si="127"/>
        <v>3.0407155268870041E-4</v>
      </c>
      <c r="F1210" s="9">
        <f t="shared" si="128"/>
        <v>17.150830730991458</v>
      </c>
      <c r="G1210" s="9">
        <f t="shared" si="129"/>
        <v>-9.7234727614880934E-3</v>
      </c>
      <c r="H1210" s="9">
        <f t="shared" si="130"/>
        <v>3.3399981807437622E-3</v>
      </c>
      <c r="I1210" s="9">
        <f t="shared" si="131"/>
        <v>-8.0689040517564287E-2</v>
      </c>
      <c r="J1210" s="9">
        <f t="shared" si="132"/>
        <v>17.063758215893145</v>
      </c>
    </row>
    <row r="1211" spans="2:10" x14ac:dyDescent="0.25">
      <c r="B1211" s="1">
        <v>42524</v>
      </c>
      <c r="C1211" s="13">
        <v>24.48</v>
      </c>
      <c r="D1211" s="6">
        <f t="shared" si="126"/>
        <v>2.0466639377814122E-3</v>
      </c>
      <c r="E1211" s="14">
        <f t="shared" si="127"/>
        <v>3.0377054290234968E-4</v>
      </c>
      <c r="F1211" s="9">
        <f t="shared" si="128"/>
        <v>17.151821152066738</v>
      </c>
      <c r="G1211" s="9">
        <f t="shared" si="129"/>
        <v>-5.2585397545351499E-2</v>
      </c>
      <c r="H1211" s="9">
        <f t="shared" si="130"/>
        <v>6.8687121704090373E-4</v>
      </c>
      <c r="I1211" s="9">
        <f t="shared" si="131"/>
        <v>-2.0868619357359476E-8</v>
      </c>
      <c r="J1211" s="9">
        <f t="shared" si="132"/>
        <v>17.099922604869811</v>
      </c>
    </row>
    <row r="1212" spans="2:10" x14ac:dyDescent="0.25">
      <c r="B1212" s="1">
        <v>42523</v>
      </c>
      <c r="C1212" s="13">
        <v>24.43</v>
      </c>
      <c r="D1212" s="6">
        <f t="shared" si="126"/>
        <v>-7.5157424334755252E-3</v>
      </c>
      <c r="E1212" s="14">
        <f t="shared" si="127"/>
        <v>3.0727166348249889E-4</v>
      </c>
      <c r="F1212" s="9">
        <f t="shared" si="128"/>
        <v>17.140361521755366</v>
      </c>
      <c r="G1212" s="9">
        <f t="shared" si="129"/>
        <v>-2.8695370011213418E-4</v>
      </c>
      <c r="H1212" s="9">
        <f t="shared" si="130"/>
        <v>4.3410367816051437E-4</v>
      </c>
      <c r="I1212" s="9">
        <f t="shared" si="131"/>
        <v>-4.3270484266276873E-2</v>
      </c>
      <c r="J1212" s="9">
        <f t="shared" si="132"/>
        <v>17.097238187467138</v>
      </c>
    </row>
    <row r="1213" spans="2:10" x14ac:dyDescent="0.25">
      <c r="B1213" s="1">
        <v>42522</v>
      </c>
      <c r="C1213" s="13">
        <v>24.614999999999998</v>
      </c>
      <c r="D1213" s="6">
        <f t="shared" si="126"/>
        <v>-1.4019627478469965E-2</v>
      </c>
      <c r="E1213" s="14">
        <f t="shared" si="127"/>
        <v>3.0696710630362915E-4</v>
      </c>
      <c r="F1213" s="9">
        <f t="shared" si="128"/>
        <v>17.141353179132949</v>
      </c>
      <c r="G1213" s="9">
        <f t="shared" si="129"/>
        <v>-0.1365675565943251</v>
      </c>
      <c r="H1213" s="9">
        <f t="shared" si="130"/>
        <v>-1.0933294537087733E-3</v>
      </c>
      <c r="I1213" s="9">
        <f t="shared" si="131"/>
        <v>-3.9494547146606702E-7</v>
      </c>
      <c r="J1213" s="9">
        <f t="shared" si="132"/>
        <v>17.003691898139444</v>
      </c>
    </row>
    <row r="1214" spans="2:10" x14ac:dyDescent="0.25">
      <c r="B1214" s="1">
        <v>42521</v>
      </c>
      <c r="C1214" s="13">
        <v>24.965</v>
      </c>
      <c r="D1214" s="6">
        <f t="shared" si="126"/>
        <v>-4.902742346938771E-3</v>
      </c>
      <c r="E1214" s="14">
        <f t="shared" si="127"/>
        <v>3.0583244985511997E-4</v>
      </c>
      <c r="F1214" s="9">
        <f t="shared" si="128"/>
        <v>17.14505637288952</v>
      </c>
      <c r="G1214" s="9">
        <f t="shared" si="129"/>
        <v>-0.40144916341326253</v>
      </c>
      <c r="H1214" s="9">
        <f t="shared" si="130"/>
        <v>1.262296784067581E-3</v>
      </c>
      <c r="I1214" s="9">
        <f t="shared" si="131"/>
        <v>-2.1297361334778869E-3</v>
      </c>
      <c r="J1214" s="9">
        <f t="shared" si="132"/>
        <v>16.742739770126846</v>
      </c>
    </row>
    <row r="1215" spans="2:10" x14ac:dyDescent="0.25">
      <c r="B1215" s="1">
        <v>42517</v>
      </c>
      <c r="C1215" s="13">
        <v>25.088000000000001</v>
      </c>
      <c r="D1215" s="6">
        <f t="shared" si="126"/>
        <v>-5.9753814285146145E-4</v>
      </c>
      <c r="E1215" s="14">
        <f t="shared" si="127"/>
        <v>3.1557796653536096E-4</v>
      </c>
      <c r="F1215" s="9">
        <f t="shared" si="128"/>
        <v>17.113688003381029</v>
      </c>
      <c r="G1215" s="9">
        <f t="shared" si="129"/>
        <v>-6.7761823735129997E-2</v>
      </c>
      <c r="H1215" s="9">
        <f t="shared" si="130"/>
        <v>-1.613672603173975E-2</v>
      </c>
      <c r="I1215" s="9">
        <f t="shared" si="131"/>
        <v>-0.29416551614593289</v>
      </c>
      <c r="J1215" s="9">
        <f t="shared" si="132"/>
        <v>16.735623937468226</v>
      </c>
    </row>
    <row r="1216" spans="2:10" x14ac:dyDescent="0.25">
      <c r="B1216" s="1">
        <v>42516</v>
      </c>
      <c r="C1216" s="13">
        <v>25.103000000000002</v>
      </c>
      <c r="D1216" s="6">
        <f t="shared" si="126"/>
        <v>7.9502108010440775E-3</v>
      </c>
      <c r="E1216" s="14">
        <f t="shared" si="127"/>
        <v>3.161464092354274E-4</v>
      </c>
      <c r="F1216" s="9">
        <f t="shared" si="128"/>
        <v>17.111888348736411</v>
      </c>
      <c r="G1216" s="9">
        <f t="shared" si="129"/>
        <v>-7.852011299412048E-3</v>
      </c>
      <c r="H1216" s="9">
        <f t="shared" si="130"/>
        <v>-7.1261178205094054E-4</v>
      </c>
      <c r="I1216" s="9">
        <f t="shared" si="131"/>
        <v>-2.0931622848860583E-3</v>
      </c>
      <c r="J1216" s="9">
        <f t="shared" si="132"/>
        <v>17.101230563370059</v>
      </c>
    </row>
    <row r="1217" spans="2:10" x14ac:dyDescent="0.25">
      <c r="B1217" s="1">
        <v>42515</v>
      </c>
      <c r="C1217" s="13">
        <v>24.905000000000001</v>
      </c>
      <c r="D1217" s="6">
        <f t="shared" si="126"/>
        <v>1.7568947906026589E-2</v>
      </c>
      <c r="E1217" s="14">
        <f t="shared" si="127"/>
        <v>3.159815222915446E-4</v>
      </c>
      <c r="F1217" s="9">
        <f t="shared" si="128"/>
        <v>17.112410037272539</v>
      </c>
      <c r="G1217" s="9">
        <f t="shared" si="129"/>
        <v>-6.3448153963955478E-2</v>
      </c>
      <c r="H1217" s="9">
        <f t="shared" si="130"/>
        <v>9.4117410367881176E-4</v>
      </c>
      <c r="I1217" s="9">
        <f t="shared" si="131"/>
        <v>-3.7530319558260937E-5</v>
      </c>
      <c r="J1217" s="9">
        <f t="shared" si="132"/>
        <v>17.049865527092706</v>
      </c>
    </row>
    <row r="1218" spans="2:10" x14ac:dyDescent="0.25">
      <c r="B1218" s="1">
        <v>42514</v>
      </c>
      <c r="C1218" s="13">
        <v>24.475000000000001</v>
      </c>
      <c r="D1218" s="6">
        <f t="shared" si="126"/>
        <v>1.5223162435705984E-2</v>
      </c>
      <c r="E1218" s="14">
        <f t="shared" si="127"/>
        <v>3.1340136010926938E-4</v>
      </c>
      <c r="F1218" s="9">
        <f t="shared" si="128"/>
        <v>17.120609105625466</v>
      </c>
      <c r="G1218" s="9">
        <f t="shared" si="129"/>
        <v>-0.40664567891815884</v>
      </c>
      <c r="H1218" s="9">
        <f t="shared" si="130"/>
        <v>-6.6918296642528886E-3</v>
      </c>
      <c r="I1218" s="9">
        <f t="shared" si="131"/>
        <v>-1.5562246960293038E-2</v>
      </c>
      <c r="J1218" s="9">
        <f t="shared" si="132"/>
        <v>16.69170935008276</v>
      </c>
    </row>
    <row r="1219" spans="2:10" x14ac:dyDescent="0.25">
      <c r="B1219" s="1">
        <v>42513</v>
      </c>
      <c r="C1219" s="13">
        <v>24.108000000000001</v>
      </c>
      <c r="D1219" s="6">
        <f t="shared" si="126"/>
        <v>1.2728418399496011E-2</v>
      </c>
      <c r="E1219" s="14">
        <f t="shared" si="127"/>
        <v>3.1134489756157424E-4</v>
      </c>
      <c r="F1219" s="9">
        <f t="shared" si="128"/>
        <v>17.127192482315898</v>
      </c>
      <c r="G1219" s="9">
        <f t="shared" si="129"/>
        <v>-0.29772953884825248</v>
      </c>
      <c r="H1219" s="9">
        <f t="shared" si="130"/>
        <v>-4.0538451744696691E-3</v>
      </c>
      <c r="I1219" s="9">
        <f t="shared" si="131"/>
        <v>-9.3021938156783932E-3</v>
      </c>
      <c r="J1219" s="9">
        <f t="shared" si="132"/>
        <v>16.8161069044775</v>
      </c>
    </row>
    <row r="1220" spans="2:10" x14ac:dyDescent="0.25">
      <c r="B1220" s="1">
        <v>42510</v>
      </c>
      <c r="C1220" s="13">
        <v>23.805</v>
      </c>
      <c r="D1220" s="6">
        <f t="shared" si="126"/>
        <v>1.0828025477706893E-2</v>
      </c>
      <c r="E1220" s="14">
        <f t="shared" si="127"/>
        <v>3.0964470428309666E-4</v>
      </c>
      <c r="F1220" s="9">
        <f t="shared" si="128"/>
        <v>17.132668250417801</v>
      </c>
      <c r="G1220" s="9">
        <f t="shared" si="129"/>
        <v>-0.19958103285760084</v>
      </c>
      <c r="H1220" s="9">
        <f t="shared" si="130"/>
        <v>-2.3837260294455455E-3</v>
      </c>
      <c r="I1220" s="9">
        <f t="shared" si="131"/>
        <v>-5.9442321550123101E-3</v>
      </c>
      <c r="J1220" s="9">
        <f t="shared" si="132"/>
        <v>16.92475925937574</v>
      </c>
    </row>
    <row r="1221" spans="2:10" x14ac:dyDescent="0.25">
      <c r="B1221" s="1">
        <v>42509</v>
      </c>
      <c r="C1221" s="13">
        <v>23.55</v>
      </c>
      <c r="D1221" s="6">
        <f t="shared" si="126"/>
        <v>-3.8071065989847552E-3</v>
      </c>
      <c r="E1221" s="14">
        <f t="shared" si="127"/>
        <v>3.085848623326276E-4</v>
      </c>
      <c r="F1221" s="9">
        <f t="shared" si="128"/>
        <v>17.136096889376383</v>
      </c>
      <c r="G1221" s="9">
        <f t="shared" si="129"/>
        <v>-0.13756824357266104</v>
      </c>
      <c r="H1221" s="9">
        <f t="shared" si="130"/>
        <v>-5.7069079713189098E-4</v>
      </c>
      <c r="I1221" s="9">
        <f t="shared" si="131"/>
        <v>-1.7722834979800625E-3</v>
      </c>
      <c r="J1221" s="9">
        <f t="shared" si="132"/>
        <v>16.996185671508606</v>
      </c>
    </row>
    <row r="1222" spans="2:10" x14ac:dyDescent="0.25">
      <c r="B1222" s="1">
        <v>42508</v>
      </c>
      <c r="C1222" s="13">
        <v>23.64</v>
      </c>
      <c r="D1222" s="6">
        <f t="shared" si="126"/>
        <v>1.1423437299447947E-2</v>
      </c>
      <c r="E1222" s="14">
        <f t="shared" si="127"/>
        <v>3.0961074407236865E-4</v>
      </c>
      <c r="F1222" s="9">
        <f t="shared" si="128"/>
        <v>17.1327779311993</v>
      </c>
      <c r="G1222" s="9">
        <f t="shared" si="129"/>
        <v>-4.7835388752408954E-2</v>
      </c>
      <c r="H1222" s="9">
        <f t="shared" si="130"/>
        <v>-2.3710523225478407E-3</v>
      </c>
      <c r="I1222" s="9">
        <f t="shared" si="131"/>
        <v>-5.1565767868856863E-3</v>
      </c>
      <c r="J1222" s="9">
        <f t="shared" si="132"/>
        <v>17.07741491333746</v>
      </c>
    </row>
    <row r="1223" spans="2:10" x14ac:dyDescent="0.25">
      <c r="B1223" s="1">
        <v>42507</v>
      </c>
      <c r="C1223" s="13">
        <v>23.373000000000001</v>
      </c>
      <c r="D1223" s="6">
        <f t="shared" si="126"/>
        <v>-4.1329356625477986E-3</v>
      </c>
      <c r="E1223" s="14">
        <f t="shared" si="127"/>
        <v>3.0921168954245015E-4</v>
      </c>
      <c r="F1223" s="9">
        <f t="shared" si="128"/>
        <v>17.1340676536255</v>
      </c>
      <c r="G1223" s="9">
        <f t="shared" si="129"/>
        <v>-0.15563338655043013</v>
      </c>
      <c r="H1223" s="9">
        <f t="shared" si="130"/>
        <v>9.4154541831102743E-4</v>
      </c>
      <c r="I1223" s="9">
        <f t="shared" si="131"/>
        <v>-3.5931751812413836E-5</v>
      </c>
      <c r="J1223" s="9">
        <f t="shared" si="132"/>
        <v>16.979339880741566</v>
      </c>
    </row>
    <row r="1224" spans="2:10" x14ac:dyDescent="0.25">
      <c r="B1224" s="1">
        <v>42506</v>
      </c>
      <c r="C1224" s="13">
        <v>23.47</v>
      </c>
      <c r="D1224" s="6">
        <f t="shared" si="126"/>
        <v>3.7118868758285517E-2</v>
      </c>
      <c r="E1224" s="14">
        <f t="shared" si="127"/>
        <v>3.0948765872151218E-4</v>
      </c>
      <c r="F1224" s="9">
        <f t="shared" si="128"/>
        <v>17.13317555894934</v>
      </c>
      <c r="G1224" s="9">
        <f t="shared" si="129"/>
        <v>-5.3764770883957397E-2</v>
      </c>
      <c r="H1224" s="9">
        <f t="shared" si="130"/>
        <v>-1.4821492676043114E-3</v>
      </c>
      <c r="I1224" s="9">
        <f t="shared" si="131"/>
        <v>-9.5254275135388754E-4</v>
      </c>
      <c r="J1224" s="9">
        <f t="shared" si="132"/>
        <v>17.076976096046423</v>
      </c>
    </row>
    <row r="1225" spans="2:10" x14ac:dyDescent="0.25">
      <c r="B1225" s="1">
        <v>42503</v>
      </c>
      <c r="C1225" s="13">
        <v>22.63</v>
      </c>
      <c r="D1225" s="6">
        <f t="shared" si="126"/>
        <v>1.9924728802300784E-3</v>
      </c>
      <c r="E1225" s="14">
        <f t="shared" si="127"/>
        <v>2.9857791299429189E-4</v>
      </c>
      <c r="F1225" s="9">
        <f t="shared" si="128"/>
        <v>17.169062861558452</v>
      </c>
      <c r="G1225" s="9">
        <f t="shared" si="129"/>
        <v>-2.1156547216835229</v>
      </c>
      <c r="H1225" s="9">
        <f t="shared" si="130"/>
        <v>-8.8850389964863913E-2</v>
      </c>
      <c r="I1225" s="9">
        <f t="shared" si="131"/>
        <v>-0.34782810589961366</v>
      </c>
      <c r="J1225" s="9">
        <f t="shared" si="132"/>
        <v>14.61672964401045</v>
      </c>
    </row>
    <row r="1226" spans="2:10" x14ac:dyDescent="0.25">
      <c r="B1226" s="1">
        <v>42502</v>
      </c>
      <c r="C1226" s="13">
        <v>22.585000000000001</v>
      </c>
      <c r="D1226" s="6">
        <f t="shared" si="126"/>
        <v>-2.3478035281909393E-2</v>
      </c>
      <c r="E1226" s="14">
        <f t="shared" si="127"/>
        <v>3.0782357977875239E-4</v>
      </c>
      <c r="F1226" s="9">
        <f t="shared" si="128"/>
        <v>17.138566949449952</v>
      </c>
      <c r="G1226" s="9">
        <f t="shared" si="129"/>
        <v>-2.1718624845882604E-4</v>
      </c>
      <c r="H1226" s="9">
        <f t="shared" si="130"/>
        <v>8.8115916143697204E-4</v>
      </c>
      <c r="I1226" s="9">
        <f t="shared" si="131"/>
        <v>-0.2729843874211304</v>
      </c>
      <c r="J1226" s="9">
        <f t="shared" si="132"/>
        <v>16.866246534941801</v>
      </c>
    </row>
    <row r="1227" spans="2:10" x14ac:dyDescent="0.25">
      <c r="B1227" s="1">
        <v>42501</v>
      </c>
      <c r="C1227" s="13">
        <v>23.128</v>
      </c>
      <c r="D1227" s="6">
        <f t="shared" si="126"/>
        <v>-9.7195461357311164E-3</v>
      </c>
      <c r="E1227" s="14">
        <f t="shared" si="127"/>
        <v>3.0391376539224611E-4</v>
      </c>
      <c r="F1227" s="9">
        <f t="shared" si="128"/>
        <v>17.151349780696457</v>
      </c>
      <c r="G1227" s="9">
        <f t="shared" si="129"/>
        <v>-1.0400079064138366</v>
      </c>
      <c r="H1227" s="9">
        <f t="shared" si="130"/>
        <v>1.8989256895720064E-2</v>
      </c>
      <c r="I1227" s="9">
        <f t="shared" si="131"/>
        <v>-3.9650417151901055E-2</v>
      </c>
      <c r="J1227" s="9">
        <f t="shared" si="132"/>
        <v>16.090680714026437</v>
      </c>
    </row>
    <row r="1228" spans="2:10" x14ac:dyDescent="0.25">
      <c r="B1228" s="1">
        <v>42500</v>
      </c>
      <c r="C1228" s="13">
        <v>23.355</v>
      </c>
      <c r="D1228" s="6">
        <f t="shared" si="126"/>
        <v>6.7678248124838358E-3</v>
      </c>
      <c r="E1228" s="14">
        <f t="shared" si="127"/>
        <v>3.0599434924102827E-4</v>
      </c>
      <c r="F1228" s="9">
        <f t="shared" si="128"/>
        <v>17.144527140139576</v>
      </c>
      <c r="G1228" s="9">
        <f t="shared" si="129"/>
        <v>-0.21100557667187173</v>
      </c>
      <c r="H1228" s="9">
        <f t="shared" si="130"/>
        <v>-7.9010891893985819E-3</v>
      </c>
      <c r="I1228" s="9">
        <f t="shared" si="131"/>
        <v>-1.7033572992054238E-2</v>
      </c>
      <c r="J1228" s="9">
        <f t="shared" si="132"/>
        <v>16.908586901286249</v>
      </c>
    </row>
    <row r="1229" spans="2:10" x14ac:dyDescent="0.25">
      <c r="B1229" s="1">
        <v>42499</v>
      </c>
      <c r="C1229" s="13">
        <v>23.198</v>
      </c>
      <c r="D1229" s="6">
        <f t="shared" si="126"/>
        <v>7.7653149266621035E-4</v>
      </c>
      <c r="E1229" s="14">
        <f t="shared" si="127"/>
        <v>3.1181135574855778E-4</v>
      </c>
      <c r="F1229" s="9">
        <f t="shared" si="128"/>
        <v>17.125695399452244</v>
      </c>
      <c r="G1229" s="9">
        <f t="shared" si="129"/>
        <v>-4.2497953527049222E-2</v>
      </c>
      <c r="H1229" s="9">
        <f t="shared" si="130"/>
        <v>8.0673708730879309E-3</v>
      </c>
      <c r="I1229" s="9">
        <f t="shared" si="131"/>
        <v>-0.11031888676416916</v>
      </c>
      <c r="J1229" s="9">
        <f t="shared" si="132"/>
        <v>16.980945930034114</v>
      </c>
    </row>
    <row r="1230" spans="2:10" x14ac:dyDescent="0.25">
      <c r="B1230" s="1">
        <v>42496</v>
      </c>
      <c r="C1230" s="13">
        <v>23.18</v>
      </c>
      <c r="D1230" s="6">
        <f t="shared" si="126"/>
        <v>-5.5770055770055782E-3</v>
      </c>
      <c r="E1230" s="14">
        <f t="shared" si="127"/>
        <v>3.1178471291586253E-4</v>
      </c>
      <c r="F1230" s="9">
        <f t="shared" si="128"/>
        <v>17.125780848460185</v>
      </c>
      <c r="G1230" s="9">
        <f t="shared" si="129"/>
        <v>-1.1643166097688664E-3</v>
      </c>
      <c r="H1230" s="9">
        <f t="shared" si="130"/>
        <v>-1.5624581715248224E-4</v>
      </c>
      <c r="I1230" s="9">
        <f t="shared" si="131"/>
        <v>-1.979745895932362E-4</v>
      </c>
      <c r="J1230" s="9">
        <f t="shared" si="132"/>
        <v>17.124262311443669</v>
      </c>
    </row>
    <row r="1231" spans="2:10" x14ac:dyDescent="0.25">
      <c r="B1231" s="1">
        <v>42495</v>
      </c>
      <c r="C1231" s="13">
        <v>23.31</v>
      </c>
      <c r="D1231" s="6">
        <f t="shared" si="126"/>
        <v>-1.0107015457788471E-2</v>
      </c>
      <c r="E1231" s="14">
        <f t="shared" si="127"/>
        <v>3.1178960557159171E-4</v>
      </c>
      <c r="F1231" s="9">
        <f t="shared" si="128"/>
        <v>17.12576515616631</v>
      </c>
      <c r="G1231" s="9">
        <f t="shared" si="129"/>
        <v>-8.3479872096220487E-2</v>
      </c>
      <c r="H1231" s="9">
        <f t="shared" si="130"/>
        <v>-1.3768814739079692E-3</v>
      </c>
      <c r="I1231" s="9">
        <f t="shared" si="131"/>
        <v>-2.492091788046445E-4</v>
      </c>
      <c r="J1231" s="9">
        <f t="shared" si="132"/>
        <v>17.040659193417376</v>
      </c>
    </row>
    <row r="1232" spans="2:10" x14ac:dyDescent="0.25">
      <c r="B1232" s="1">
        <v>42494</v>
      </c>
      <c r="C1232" s="13">
        <v>23.548000000000002</v>
      </c>
      <c r="D1232" s="6">
        <f t="shared" ref="D1232:D1295" si="133">C1232/C1233-1</f>
        <v>-1.0380332002521531E-2</v>
      </c>
      <c r="E1232" s="14">
        <f t="shared" ref="E1232:E1295" si="134">_xlfn.VAR.S(D1232:D1352)</f>
        <v>3.1857666415311601E-4</v>
      </c>
      <c r="F1232" s="9">
        <f t="shared" si="128"/>
        <v>17.104230625563705</v>
      </c>
      <c r="G1232" s="9">
        <f t="shared" si="129"/>
        <v>-0.21674966910487489</v>
      </c>
      <c r="H1232" s="9">
        <f t="shared" si="130"/>
        <v>-2.0666638242362988E-2</v>
      </c>
      <c r="I1232" s="9">
        <f t="shared" si="131"/>
        <v>-0.1445761579197602</v>
      </c>
      <c r="J1232" s="9">
        <f t="shared" si="132"/>
        <v>16.722238160296705</v>
      </c>
    </row>
    <row r="1233" spans="2:10" x14ac:dyDescent="0.25">
      <c r="B1233" s="1">
        <v>42493</v>
      </c>
      <c r="C1233" s="13">
        <v>23.795000000000002</v>
      </c>
      <c r="D1233" s="6">
        <f t="shared" si="133"/>
        <v>1.6445963263562735E-2</v>
      </c>
      <c r="E1233" s="14">
        <f t="shared" si="134"/>
        <v>3.1801025634633215E-4</v>
      </c>
      <c r="F1233" s="9">
        <f t="shared" ref="F1233:F1296" si="135">LN(2*PI())-LN($C$6)-LN(E1233)-0.5*LN(1-POWER($C$7,2))</f>
        <v>17.106010140467369</v>
      </c>
      <c r="G1233" s="9">
        <f t="shared" ref="G1233:G1296" si="136">-POWER(D1232-1-$C$3,2)/(2*E1233*(1-POWER($C$7,2)))</f>
        <v>-0.22736856196449007</v>
      </c>
      <c r="H1233" s="9">
        <f t="shared" ref="H1233:H1296" si="137">$C$7*(D1232-1-$C$3)*(E1232-E1233-$C$5*$C$4)/(E1233*$C$6*(1-POWER($C$7,2)))</f>
        <v>-6.5493271839395912E-4</v>
      </c>
      <c r="I1233" s="9">
        <f t="shared" ref="I1233:I1296" si="138">-POWER(E1232-E1233-$C$5*$C$4+$C$4*E1233,2)/(2*POWER($C$6,2)*E1233*(1-POWER($C$7,2)))</f>
        <v>-2.4697378735372393E-4</v>
      </c>
      <c r="J1233" s="9">
        <f t="shared" ref="J1233:J1296" si="139">SUM(F1233:I1233)</f>
        <v>16.87773967199713</v>
      </c>
    </row>
    <row r="1234" spans="2:10" x14ac:dyDescent="0.25">
      <c r="B1234" s="1">
        <v>42492</v>
      </c>
      <c r="C1234" s="13">
        <v>23.41</v>
      </c>
      <c r="D1234" s="6">
        <f t="shared" si="133"/>
        <v>-1.0667804565819283E-3</v>
      </c>
      <c r="E1234" s="14">
        <f t="shared" si="134"/>
        <v>3.1528590078649694E-4</v>
      </c>
      <c r="F1234" s="9">
        <f t="shared" si="135"/>
        <v>17.114613926658173</v>
      </c>
      <c r="G1234" s="9">
        <f t="shared" si="136"/>
        <v>-0.34927211976616673</v>
      </c>
      <c r="H1234" s="9">
        <f t="shared" si="137"/>
        <v>-6.684372884804321E-3</v>
      </c>
      <c r="I1234" s="9">
        <f t="shared" si="138"/>
        <v>-1.7516349773756816E-2</v>
      </c>
      <c r="J1234" s="9">
        <f t="shared" si="139"/>
        <v>16.741141084233444</v>
      </c>
    </row>
    <row r="1235" spans="2:10" x14ac:dyDescent="0.25">
      <c r="B1235" s="1">
        <v>42489</v>
      </c>
      <c r="C1235" s="13">
        <v>23.434999999999999</v>
      </c>
      <c r="D1235" s="6">
        <f t="shared" si="133"/>
        <v>-1.15151003880547E-2</v>
      </c>
      <c r="E1235" s="14">
        <f t="shared" si="134"/>
        <v>3.1567182879052385E-4</v>
      </c>
      <c r="F1235" s="9">
        <f t="shared" si="135"/>
        <v>17.113390617919521</v>
      </c>
      <c r="G1235" s="9">
        <f t="shared" si="136"/>
        <v>-1.1530663658108845E-2</v>
      </c>
      <c r="H1235" s="9">
        <f t="shared" si="137"/>
        <v>-7.4902384694450804E-4</v>
      </c>
      <c r="I1235" s="9">
        <f t="shared" si="138"/>
        <v>-1.2927207566014111E-3</v>
      </c>
      <c r="J1235" s="9">
        <f t="shared" si="139"/>
        <v>17.099818209657865</v>
      </c>
    </row>
    <row r="1236" spans="2:10" x14ac:dyDescent="0.25">
      <c r="B1236" s="1">
        <v>42488</v>
      </c>
      <c r="C1236" s="13">
        <v>23.707999999999998</v>
      </c>
      <c r="D1236" s="6">
        <f t="shared" si="133"/>
        <v>-3.0545900633817236E-2</v>
      </c>
      <c r="E1236" s="14">
        <f t="shared" si="134"/>
        <v>3.1497539590663511E-4</v>
      </c>
      <c r="F1236" s="9">
        <f t="shared" si="135"/>
        <v>17.115599247846738</v>
      </c>
      <c r="G1236" s="9">
        <f t="shared" si="136"/>
        <v>-0.27499782271404738</v>
      </c>
      <c r="H1236" s="9">
        <f t="shared" si="137"/>
        <v>-3.2256960596682656E-4</v>
      </c>
      <c r="I1236" s="9">
        <f t="shared" si="138"/>
        <v>-5.0898739741187307E-4</v>
      </c>
      <c r="J1236" s="9">
        <f t="shared" si="139"/>
        <v>16.839769868129309</v>
      </c>
    </row>
    <row r="1237" spans="2:10" x14ac:dyDescent="0.25">
      <c r="B1237" s="1">
        <v>42487</v>
      </c>
      <c r="C1237" s="13">
        <v>24.454999999999998</v>
      </c>
      <c r="D1237" s="6">
        <f t="shared" si="133"/>
        <v>-6.259582950015341E-2</v>
      </c>
      <c r="E1237" s="14">
        <f t="shared" si="134"/>
        <v>3.0955170102023657E-4</v>
      </c>
      <c r="F1237" s="9">
        <f t="shared" si="135"/>
        <v>17.132968650299851</v>
      </c>
      <c r="G1237" s="9">
        <f t="shared" si="136"/>
        <v>-1.6769106753151339</v>
      </c>
      <c r="H1237" s="9">
        <f t="shared" si="137"/>
        <v>3.5526540085384667E-2</v>
      </c>
      <c r="I1237" s="9">
        <f t="shared" si="138"/>
        <v>-7.8688234715133934E-2</v>
      </c>
      <c r="J1237" s="9">
        <f t="shared" si="139"/>
        <v>15.412896280354968</v>
      </c>
    </row>
    <row r="1238" spans="2:10" x14ac:dyDescent="0.25">
      <c r="B1238" s="1">
        <v>42486</v>
      </c>
      <c r="C1238" s="13">
        <v>26.088000000000001</v>
      </c>
      <c r="D1238" s="6">
        <f t="shared" si="133"/>
        <v>-6.9280548153787258E-3</v>
      </c>
      <c r="E1238" s="14">
        <f t="shared" si="134"/>
        <v>2.8020366184583945E-4</v>
      </c>
      <c r="F1238" s="9">
        <f t="shared" si="135"/>
        <v>17.23257707288527</v>
      </c>
      <c r="G1238" s="9">
        <f t="shared" si="136"/>
        <v>-7.381813255647983</v>
      </c>
      <c r="H1238" s="9">
        <f t="shared" si="137"/>
        <v>0.48380880062587484</v>
      </c>
      <c r="I1238" s="9">
        <f t="shared" si="138"/>
        <v>-2.7747602828542246</v>
      </c>
      <c r="J1238" s="9">
        <f t="shared" si="139"/>
        <v>7.559812335008937</v>
      </c>
    </row>
    <row r="1239" spans="2:10" x14ac:dyDescent="0.25">
      <c r="B1239" s="1">
        <v>42485</v>
      </c>
      <c r="C1239" s="13">
        <v>26.27</v>
      </c>
      <c r="D1239" s="6">
        <f t="shared" si="133"/>
        <v>-5.6775170325511493E-3</v>
      </c>
      <c r="E1239" s="14">
        <f t="shared" si="134"/>
        <v>2.803877067106698E-4</v>
      </c>
      <c r="F1239" s="9">
        <f t="shared" si="135"/>
        <v>17.231920463162872</v>
      </c>
      <c r="G1239" s="9">
        <f t="shared" si="136"/>
        <v>-0.13091074974954711</v>
      </c>
      <c r="H1239" s="9">
        <f t="shared" si="137"/>
        <v>-2.2224142996627835E-3</v>
      </c>
      <c r="I1239" s="9">
        <f t="shared" si="138"/>
        <v>-8.9475616929179556E-4</v>
      </c>
      <c r="J1239" s="9">
        <f t="shared" si="139"/>
        <v>17.097892542944372</v>
      </c>
    </row>
    <row r="1240" spans="2:10" x14ac:dyDescent="0.25">
      <c r="B1240" s="1">
        <v>42482</v>
      </c>
      <c r="C1240" s="13">
        <v>26.42</v>
      </c>
      <c r="D1240" s="6">
        <f t="shared" si="133"/>
        <v>-2.7554448344844218E-3</v>
      </c>
      <c r="E1240" s="14">
        <f t="shared" si="134"/>
        <v>2.8129990136371754E-4</v>
      </c>
      <c r="F1240" s="9">
        <f t="shared" si="135"/>
        <v>17.228672410537555</v>
      </c>
      <c r="G1240" s="9">
        <f t="shared" si="136"/>
        <v>-9.5127959350325558E-2</v>
      </c>
      <c r="H1240" s="9">
        <f t="shared" si="137"/>
        <v>-3.2895752169608667E-3</v>
      </c>
      <c r="I1240" s="9">
        <f t="shared" si="138"/>
        <v>-5.1130348287337915E-3</v>
      </c>
      <c r="J1240" s="9">
        <f t="shared" si="139"/>
        <v>17.125141841141534</v>
      </c>
    </row>
    <row r="1241" spans="2:10" x14ac:dyDescent="0.25">
      <c r="B1241" s="1">
        <v>42481</v>
      </c>
      <c r="C1241" s="13">
        <v>26.492999999999999</v>
      </c>
      <c r="D1241" s="6">
        <f t="shared" si="133"/>
        <v>-1.0827763880073227E-2</v>
      </c>
      <c r="E1241" s="14">
        <f t="shared" si="134"/>
        <v>2.9588129761695458E-4</v>
      </c>
      <c r="F1241" s="9">
        <f t="shared" si="135"/>
        <v>17.178135423059793</v>
      </c>
      <c r="G1241" s="9">
        <f t="shared" si="136"/>
        <v>-3.2556507011891368E-2</v>
      </c>
      <c r="H1241" s="9">
        <f t="shared" si="137"/>
        <v>-1.6848122812243869E-2</v>
      </c>
      <c r="I1241" s="9">
        <f t="shared" si="138"/>
        <v>-0.69250297121411197</v>
      </c>
      <c r="J1241" s="9">
        <f t="shared" si="139"/>
        <v>16.436227822021547</v>
      </c>
    </row>
    <row r="1242" spans="2:10" x14ac:dyDescent="0.25">
      <c r="B1242" s="1">
        <v>42480</v>
      </c>
      <c r="C1242" s="13">
        <v>26.783000000000001</v>
      </c>
      <c r="D1242" s="6">
        <f t="shared" si="133"/>
        <v>2.05776713558814E-3</v>
      </c>
      <c r="E1242" s="14">
        <f t="shared" si="134"/>
        <v>2.9527254004360772E-4</v>
      </c>
      <c r="F1242" s="9">
        <f t="shared" si="135"/>
        <v>17.180194980994631</v>
      </c>
      <c r="G1242" s="9">
        <f t="shared" si="136"/>
        <v>-0.26346658025535896</v>
      </c>
      <c r="H1242" s="9">
        <f t="shared" si="137"/>
        <v>-5.9955979251206308E-4</v>
      </c>
      <c r="I1242" s="9">
        <f t="shared" si="138"/>
        <v>-2.7469174899793532E-4</v>
      </c>
      <c r="J1242" s="9">
        <f t="shared" si="139"/>
        <v>16.915854149197763</v>
      </c>
    </row>
    <row r="1243" spans="2:10" x14ac:dyDescent="0.25">
      <c r="B1243" s="1">
        <v>42479</v>
      </c>
      <c r="C1243" s="13">
        <v>26.728000000000002</v>
      </c>
      <c r="D1243" s="6">
        <f t="shared" si="133"/>
        <v>-5.2847041310011278E-3</v>
      </c>
      <c r="E1243" s="14">
        <f t="shared" si="134"/>
        <v>3.0338410924822811E-4</v>
      </c>
      <c r="F1243" s="9">
        <f t="shared" si="135"/>
        <v>17.153094085428712</v>
      </c>
      <c r="G1243" s="9">
        <f t="shared" si="136"/>
        <v>-3.0622592605210574E-4</v>
      </c>
      <c r="H1243" s="9">
        <f t="shared" si="137"/>
        <v>9.3496323677363154E-4</v>
      </c>
      <c r="I1243" s="9">
        <f t="shared" si="138"/>
        <v>-0.21539972684811487</v>
      </c>
      <c r="J1243" s="9">
        <f t="shared" si="139"/>
        <v>16.938323095891317</v>
      </c>
    </row>
    <row r="1244" spans="2:10" x14ac:dyDescent="0.25">
      <c r="B1244" s="1">
        <v>42478</v>
      </c>
      <c r="C1244" s="13">
        <v>26.87</v>
      </c>
      <c r="D1244" s="6">
        <f t="shared" si="133"/>
        <v>-2.1592688344317823E-2</v>
      </c>
      <c r="E1244" s="14">
        <f t="shared" si="134"/>
        <v>3.1151402653428994E-4</v>
      </c>
      <c r="F1244" s="9">
        <f t="shared" si="135"/>
        <v>17.126649409172593</v>
      </c>
      <c r="G1244" s="9">
        <f t="shared" si="136"/>
        <v>-7.691123357678302E-2</v>
      </c>
      <c r="H1244" s="9">
        <f t="shared" si="137"/>
        <v>-1.4652752361268638E-2</v>
      </c>
      <c r="I1244" s="9">
        <f t="shared" si="138"/>
        <v>-0.21002256154739951</v>
      </c>
      <c r="J1244" s="9">
        <f t="shared" si="139"/>
        <v>16.82506286168714</v>
      </c>
    </row>
    <row r="1245" spans="2:10" x14ac:dyDescent="0.25">
      <c r="B1245" s="1">
        <v>42475</v>
      </c>
      <c r="C1245" s="13">
        <v>27.463000000000001</v>
      </c>
      <c r="D1245" s="6">
        <f t="shared" si="133"/>
        <v>-2.005352363960744E-2</v>
      </c>
      <c r="E1245" s="14">
        <f t="shared" si="134"/>
        <v>3.0975486725546046E-4</v>
      </c>
      <c r="F1245" s="9">
        <f t="shared" si="135"/>
        <v>17.132312541506824</v>
      </c>
      <c r="G1245" s="9">
        <f t="shared" si="136"/>
        <v>-0.8728928847026528</v>
      </c>
      <c r="H1245" s="9">
        <f t="shared" si="137"/>
        <v>5.311095714531742E-3</v>
      </c>
      <c r="I1245" s="9">
        <f t="shared" si="138"/>
        <v>-6.4505478764077372E-3</v>
      </c>
      <c r="J1245" s="9">
        <f t="shared" si="139"/>
        <v>16.258280204642293</v>
      </c>
    </row>
    <row r="1246" spans="2:10" x14ac:dyDescent="0.25">
      <c r="B1246" s="1">
        <v>42474</v>
      </c>
      <c r="C1246" s="13">
        <v>28.024999999999999</v>
      </c>
      <c r="D1246" s="6">
        <f t="shared" si="133"/>
        <v>5.3552302749015901E-4</v>
      </c>
      <c r="E1246" s="14">
        <f t="shared" si="134"/>
        <v>3.0642120161564836E-4</v>
      </c>
      <c r="F1246" s="9">
        <f t="shared" si="135"/>
        <v>17.143133144042821</v>
      </c>
      <c r="G1246" s="9">
        <f t="shared" si="136"/>
        <v>-0.76928624926677491</v>
      </c>
      <c r="H1246" s="9">
        <f t="shared" si="137"/>
        <v>1.3250521871686233E-2</v>
      </c>
      <c r="I1246" s="9">
        <f t="shared" si="138"/>
        <v>-2.7855799493731303E-2</v>
      </c>
      <c r="J1246" s="9">
        <f t="shared" si="139"/>
        <v>16.359241617154002</v>
      </c>
    </row>
    <row r="1247" spans="2:10" x14ac:dyDescent="0.25">
      <c r="B1247" s="1">
        <v>42473</v>
      </c>
      <c r="C1247" s="13">
        <v>28.01</v>
      </c>
      <c r="D1247" s="6">
        <f t="shared" si="133"/>
        <v>1.4487504527345152E-2</v>
      </c>
      <c r="E1247" s="14">
        <f t="shared" si="134"/>
        <v>3.0916627405287581E-4</v>
      </c>
      <c r="F1247" s="9">
        <f t="shared" si="135"/>
        <v>17.134214539486024</v>
      </c>
      <c r="G1247" s="9">
        <f t="shared" si="136"/>
        <v>-1.933605392938248E-3</v>
      </c>
      <c r="H1247" s="9">
        <f t="shared" si="137"/>
        <v>-9.2597947063559718E-4</v>
      </c>
      <c r="I1247" s="9">
        <f t="shared" si="138"/>
        <v>-2.7515437917442744E-2</v>
      </c>
      <c r="J1247" s="9">
        <f t="shared" si="139"/>
        <v>17.103839516705005</v>
      </c>
    </row>
    <row r="1248" spans="2:10" x14ac:dyDescent="0.25">
      <c r="B1248" s="1">
        <v>42472</v>
      </c>
      <c r="C1248" s="13">
        <v>27.61</v>
      </c>
      <c r="D1248" s="6">
        <f t="shared" si="133"/>
        <v>1.3025133003118805E-2</v>
      </c>
      <c r="E1248" s="14">
        <f t="shared" si="134"/>
        <v>3.0776043944700002E-4</v>
      </c>
      <c r="F1248" s="9">
        <f t="shared" si="135"/>
        <v>17.138772089057227</v>
      </c>
      <c r="G1248" s="9">
        <f t="shared" si="136"/>
        <v>-0.26948396803435731</v>
      </c>
      <c r="H1248" s="9">
        <f t="shared" si="137"/>
        <v>-1.8688563015912053E-3</v>
      </c>
      <c r="I1248" s="9">
        <f t="shared" si="138"/>
        <v>-3.7254384197080359E-3</v>
      </c>
      <c r="J1248" s="9">
        <f t="shared" si="139"/>
        <v>16.863693826301571</v>
      </c>
    </row>
    <row r="1249" spans="2:10" x14ac:dyDescent="0.25">
      <c r="B1249" s="1">
        <v>42471</v>
      </c>
      <c r="C1249" s="13">
        <v>27.254999999999999</v>
      </c>
      <c r="D1249" s="6">
        <f t="shared" si="133"/>
        <v>3.3130866924351299E-3</v>
      </c>
      <c r="E1249" s="14">
        <f t="shared" si="134"/>
        <v>3.0680264405606988E-4</v>
      </c>
      <c r="F1249" s="9">
        <f t="shared" si="135"/>
        <v>17.14188908775796</v>
      </c>
      <c r="G1249" s="9">
        <f t="shared" si="136"/>
        <v>-0.21234157474587867</v>
      </c>
      <c r="H1249" s="9">
        <f t="shared" si="137"/>
        <v>-4.3075763421923988E-4</v>
      </c>
      <c r="I1249" s="9">
        <f t="shared" si="138"/>
        <v>-1.32926885185285E-3</v>
      </c>
      <c r="J1249" s="9">
        <f t="shared" si="139"/>
        <v>16.927787486526011</v>
      </c>
    </row>
    <row r="1250" spans="2:10" x14ac:dyDescent="0.25">
      <c r="B1250" s="1">
        <v>42468</v>
      </c>
      <c r="C1250" s="13">
        <v>27.164999999999999</v>
      </c>
      <c r="D1250" s="6">
        <f t="shared" si="133"/>
        <v>1.1055831951354289E-3</v>
      </c>
      <c r="E1250" s="14">
        <f t="shared" si="134"/>
        <v>3.0857675320458331E-4</v>
      </c>
      <c r="F1250" s="9">
        <f t="shared" si="135"/>
        <v>17.136123168159248</v>
      </c>
      <c r="G1250" s="9">
        <f t="shared" si="136"/>
        <v>-4.6181726159940208E-3</v>
      </c>
      <c r="H1250" s="9">
        <f t="shared" si="137"/>
        <v>1.0401938345550375E-3</v>
      </c>
      <c r="I1250" s="9">
        <f t="shared" si="138"/>
        <v>-1.2760587286370445E-2</v>
      </c>
      <c r="J1250" s="9">
        <f t="shared" si="139"/>
        <v>17.119784602091439</v>
      </c>
    </row>
    <row r="1251" spans="2:10" x14ac:dyDescent="0.25">
      <c r="B1251" s="1">
        <v>42467</v>
      </c>
      <c r="C1251" s="13">
        <v>27.135000000000002</v>
      </c>
      <c r="D1251" s="6">
        <f t="shared" si="133"/>
        <v>-2.1809661139149172E-2</v>
      </c>
      <c r="E1251" s="14">
        <f t="shared" si="134"/>
        <v>3.1022436916623572E-4</v>
      </c>
      <c r="F1251" s="9">
        <f t="shared" si="135"/>
        <v>17.130797968201968</v>
      </c>
      <c r="G1251" s="9">
        <f t="shared" si="136"/>
        <v>-4.4007658997901716E-4</v>
      </c>
      <c r="H1251" s="9">
        <f t="shared" si="137"/>
        <v>-3.0451723070617587E-4</v>
      </c>
      <c r="I1251" s="9">
        <f t="shared" si="138"/>
        <v>-1.1153662326393388E-2</v>
      </c>
      <c r="J1251" s="9">
        <f t="shared" si="139"/>
        <v>17.11889971205489</v>
      </c>
    </row>
    <row r="1252" spans="2:10" x14ac:dyDescent="0.25">
      <c r="B1252" s="1">
        <v>42466</v>
      </c>
      <c r="C1252" s="13">
        <v>27.74</v>
      </c>
      <c r="D1252" s="6">
        <f t="shared" si="133"/>
        <v>1.0454230867300351E-2</v>
      </c>
      <c r="E1252" s="14">
        <f t="shared" si="134"/>
        <v>3.0628226063210965E-4</v>
      </c>
      <c r="F1252" s="9">
        <f t="shared" si="135"/>
        <v>17.143586678238339</v>
      </c>
      <c r="G1252" s="9">
        <f t="shared" si="136"/>
        <v>-0.89936469869317437</v>
      </c>
      <c r="H1252" s="9">
        <f t="shared" si="137"/>
        <v>1.7772967983800327E-2</v>
      </c>
      <c r="I1252" s="9">
        <f t="shared" si="138"/>
        <v>-4.0136727066907081E-2</v>
      </c>
      <c r="J1252" s="9">
        <f t="shared" si="139"/>
        <v>16.221858220462057</v>
      </c>
    </row>
    <row r="1253" spans="2:10" x14ac:dyDescent="0.25">
      <c r="B1253" s="1">
        <v>42465</v>
      </c>
      <c r="C1253" s="13">
        <v>27.452999999999999</v>
      </c>
      <c r="D1253" s="6">
        <f t="shared" si="133"/>
        <v>-1.177105831533487E-2</v>
      </c>
      <c r="E1253" s="14">
        <f t="shared" si="134"/>
        <v>3.0556140247156046E-4</v>
      </c>
      <c r="F1253" s="9">
        <f t="shared" si="135"/>
        <v>17.145943026886073</v>
      </c>
      <c r="G1253" s="9">
        <f t="shared" si="136"/>
        <v>-0.127870223765671</v>
      </c>
      <c r="H1253" s="9">
        <f t="shared" si="137"/>
        <v>1.7114992281734351E-4</v>
      </c>
      <c r="I1253" s="9">
        <f t="shared" si="138"/>
        <v>-5.4719710562786466E-4</v>
      </c>
      <c r="J1253" s="9">
        <f t="shared" si="139"/>
        <v>17.017696755937589</v>
      </c>
    </row>
    <row r="1254" spans="2:10" x14ac:dyDescent="0.25">
      <c r="B1254" s="1">
        <v>42464</v>
      </c>
      <c r="C1254" s="13">
        <v>27.78</v>
      </c>
      <c r="D1254" s="6">
        <f t="shared" si="133"/>
        <v>1.0255291293912228E-2</v>
      </c>
      <c r="E1254" s="14">
        <f t="shared" si="134"/>
        <v>3.0910172431617133E-4</v>
      </c>
      <c r="F1254" s="9">
        <f t="shared" si="135"/>
        <v>17.13442334776046</v>
      </c>
      <c r="G1254" s="9">
        <f t="shared" si="136"/>
        <v>-0.29124480301131667</v>
      </c>
      <c r="H1254" s="9">
        <f t="shared" si="137"/>
        <v>-1.3914467942361541E-2</v>
      </c>
      <c r="I1254" s="9">
        <f t="shared" si="138"/>
        <v>-4.3838498058223603E-2</v>
      </c>
      <c r="J1254" s="9">
        <f t="shared" si="139"/>
        <v>16.785425578748558</v>
      </c>
    </row>
    <row r="1255" spans="2:10" x14ac:dyDescent="0.25">
      <c r="B1255" s="1">
        <v>42461</v>
      </c>
      <c r="C1255" s="13">
        <v>27.498000000000001</v>
      </c>
      <c r="D1255" s="6">
        <f t="shared" si="133"/>
        <v>9.1749853200235876E-3</v>
      </c>
      <c r="E1255" s="14">
        <f t="shared" si="134"/>
        <v>3.0940504192137833E-4</v>
      </c>
      <c r="F1255" s="9">
        <f t="shared" si="135"/>
        <v>17.133442541579896</v>
      </c>
      <c r="G1255" s="9">
        <f t="shared" si="136"/>
        <v>-0.12065362332600689</v>
      </c>
      <c r="H1255" s="9">
        <f t="shared" si="137"/>
        <v>2.2769950277520736E-3</v>
      </c>
      <c r="I1255" s="9">
        <f t="shared" si="138"/>
        <v>-1.0477689637175525E-3</v>
      </c>
      <c r="J1255" s="9">
        <f t="shared" si="139"/>
        <v>17.014018144317923</v>
      </c>
    </row>
    <row r="1256" spans="2:10" x14ac:dyDescent="0.25">
      <c r="B1256" s="1">
        <v>42460</v>
      </c>
      <c r="C1256" s="13">
        <v>27.248000000000001</v>
      </c>
      <c r="D1256" s="6">
        <f t="shared" si="133"/>
        <v>-5.1843738590726662E-3</v>
      </c>
      <c r="E1256" s="14">
        <f t="shared" si="134"/>
        <v>3.0890251757552004E-4</v>
      </c>
      <c r="F1256" s="9">
        <f t="shared" si="135"/>
        <v>17.135068025366362</v>
      </c>
      <c r="G1256" s="9">
        <f t="shared" si="136"/>
        <v>-9.2481268479503081E-2</v>
      </c>
      <c r="H1256" s="9">
        <f t="shared" si="137"/>
        <v>5.3922478398156124E-4</v>
      </c>
      <c r="I1256" s="9">
        <f t="shared" si="138"/>
        <v>-1.3520464091196474E-4</v>
      </c>
      <c r="J1256" s="9">
        <f t="shared" si="139"/>
        <v>17.042990777029928</v>
      </c>
    </row>
    <row r="1257" spans="2:10" x14ac:dyDescent="0.25">
      <c r="B1257" s="1">
        <v>42459</v>
      </c>
      <c r="C1257" s="13">
        <v>27.39</v>
      </c>
      <c r="D1257" s="6">
        <f t="shared" si="133"/>
        <v>1.7459138187221335E-2</v>
      </c>
      <c r="E1257" s="14">
        <f t="shared" si="134"/>
        <v>3.0886727668806536E-4</v>
      </c>
      <c r="F1257" s="9">
        <f t="shared" si="135"/>
        <v>17.135182116044867</v>
      </c>
      <c r="G1257" s="9">
        <f t="shared" si="136"/>
        <v>-7.5334739112494151E-2</v>
      </c>
      <c r="H1257" s="9">
        <f t="shared" si="137"/>
        <v>-1.2487132160204383E-3</v>
      </c>
      <c r="I1257" s="9">
        <f t="shared" si="138"/>
        <v>-1.9405601027883186E-4</v>
      </c>
      <c r="J1257" s="9">
        <f t="shared" si="139"/>
        <v>17.05840460770607</v>
      </c>
    </row>
    <row r="1258" spans="2:10" x14ac:dyDescent="0.25">
      <c r="B1258" s="1">
        <v>42458</v>
      </c>
      <c r="C1258" s="13">
        <v>26.92</v>
      </c>
      <c r="D1258" s="6">
        <f t="shared" si="133"/>
        <v>2.3651988744391339E-2</v>
      </c>
      <c r="E1258" s="14">
        <f t="shared" si="134"/>
        <v>3.0643763797655912E-4</v>
      </c>
      <c r="F1258" s="9">
        <f t="shared" si="135"/>
        <v>17.143079505717477</v>
      </c>
      <c r="G1258" s="9">
        <f t="shared" si="136"/>
        <v>-0.41017687608000125</v>
      </c>
      <c r="H1258" s="9">
        <f t="shared" si="137"/>
        <v>-6.2217325892666327E-3</v>
      </c>
      <c r="I1258" s="9">
        <f t="shared" si="138"/>
        <v>-1.3750128881547833E-2</v>
      </c>
      <c r="J1258" s="9">
        <f t="shared" si="139"/>
        <v>16.712930768166661</v>
      </c>
    </row>
    <row r="1259" spans="2:10" x14ac:dyDescent="0.25">
      <c r="B1259" s="1">
        <v>42457</v>
      </c>
      <c r="C1259" s="13">
        <v>26.297999999999998</v>
      </c>
      <c r="D1259" s="6">
        <f t="shared" si="133"/>
        <v>-4.542357483534043E-3</v>
      </c>
      <c r="E1259" s="14">
        <f t="shared" si="134"/>
        <v>3.0218730179252618E-4</v>
      </c>
      <c r="F1259" s="9">
        <f t="shared" si="135"/>
        <v>17.157046745650373</v>
      </c>
      <c r="G1259" s="9">
        <f t="shared" si="136"/>
        <v>-0.80499780415303201</v>
      </c>
      <c r="H1259" s="9">
        <f t="shared" si="137"/>
        <v>-1.8589366512029942E-2</v>
      </c>
      <c r="I1259" s="9">
        <f t="shared" si="138"/>
        <v>-4.7681949279772054E-2</v>
      </c>
      <c r="J1259" s="9">
        <f t="shared" si="139"/>
        <v>16.285777625705538</v>
      </c>
    </row>
    <row r="1260" spans="2:10" x14ac:dyDescent="0.25">
      <c r="B1260" s="1">
        <v>42453</v>
      </c>
      <c r="C1260" s="13">
        <v>26.417999999999999</v>
      </c>
      <c r="D1260" s="6">
        <f t="shared" si="133"/>
        <v>-4.3342253043380241E-3</v>
      </c>
      <c r="E1260" s="14">
        <f t="shared" si="134"/>
        <v>3.0236396941104893E-4</v>
      </c>
      <c r="F1260" s="9">
        <f t="shared" si="135"/>
        <v>17.156462286955247</v>
      </c>
      <c r="G1260" s="9">
        <f t="shared" si="136"/>
        <v>-6.3132387546796842E-2</v>
      </c>
      <c r="H1260" s="9">
        <f t="shared" si="137"/>
        <v>-1.4750716183779084E-3</v>
      </c>
      <c r="I1260" s="9">
        <f t="shared" si="138"/>
        <v>-6.9629253063995292E-4</v>
      </c>
      <c r="J1260" s="9">
        <f t="shared" si="139"/>
        <v>17.091158535259432</v>
      </c>
    </row>
    <row r="1261" spans="2:10" x14ac:dyDescent="0.25">
      <c r="B1261" s="1">
        <v>42452</v>
      </c>
      <c r="C1261" s="13">
        <v>26.533000000000001</v>
      </c>
      <c r="D1261" s="6">
        <f t="shared" si="133"/>
        <v>-5.5097451274361831E-3</v>
      </c>
      <c r="E1261" s="14">
        <f t="shared" si="134"/>
        <v>3.0332109832968972E-4</v>
      </c>
      <c r="F1261" s="9">
        <f t="shared" si="135"/>
        <v>17.153301800536408</v>
      </c>
      <c r="G1261" s="9">
        <f t="shared" si="136"/>
        <v>-5.87587497914938E-2</v>
      </c>
      <c r="H1261" s="9">
        <f t="shared" si="137"/>
        <v>-2.5550511225191641E-3</v>
      </c>
      <c r="I1261" s="9">
        <f t="shared" si="138"/>
        <v>-4.8066499890071666E-3</v>
      </c>
      <c r="J1261" s="9">
        <f t="shared" si="139"/>
        <v>17.087181349633386</v>
      </c>
    </row>
    <row r="1262" spans="2:10" x14ac:dyDescent="0.25">
      <c r="B1262" s="1">
        <v>42451</v>
      </c>
      <c r="C1262" s="13">
        <v>26.68</v>
      </c>
      <c r="D1262" s="6">
        <f t="shared" si="133"/>
        <v>7.6289749981115484E-3</v>
      </c>
      <c r="E1262" s="14">
        <f t="shared" si="134"/>
        <v>3.1052654435611106E-4</v>
      </c>
      <c r="F1262" s="9">
        <f t="shared" si="135"/>
        <v>17.129824388599708</v>
      </c>
      <c r="G1262" s="9">
        <f t="shared" si="136"/>
        <v>-8.2261640706101771E-2</v>
      </c>
      <c r="H1262" s="9">
        <f t="shared" si="137"/>
        <v>-1.3606802062247353E-2</v>
      </c>
      <c r="I1262" s="9">
        <f t="shared" si="138"/>
        <v>-0.16701568982512313</v>
      </c>
      <c r="J1262" s="9">
        <f t="shared" si="139"/>
        <v>16.866940256006234</v>
      </c>
    </row>
    <row r="1263" spans="2:10" x14ac:dyDescent="0.25">
      <c r="B1263" s="1">
        <v>42450</v>
      </c>
      <c r="C1263" s="13">
        <v>26.478000000000002</v>
      </c>
      <c r="D1263" s="6">
        <f t="shared" si="133"/>
        <v>-7.5528700906324353E-5</v>
      </c>
      <c r="E1263" s="14">
        <f t="shared" si="134"/>
        <v>3.1313204297514388E-4</v>
      </c>
      <c r="F1263" s="9">
        <f t="shared" si="135"/>
        <v>17.121468811267295</v>
      </c>
      <c r="G1263" s="9">
        <f t="shared" si="136"/>
        <v>-5.7685099339577467E-2</v>
      </c>
      <c r="H1263" s="9">
        <f t="shared" si="137"/>
        <v>4.8277201967645888E-3</v>
      </c>
      <c r="I1263" s="9">
        <f t="shared" si="138"/>
        <v>-2.4613384064433232E-2</v>
      </c>
      <c r="J1263" s="9">
        <f t="shared" si="139"/>
        <v>17.04399804806005</v>
      </c>
    </row>
    <row r="1264" spans="2:10" x14ac:dyDescent="0.25">
      <c r="B1264" s="1">
        <v>42447</v>
      </c>
      <c r="C1264" s="13">
        <v>26.48</v>
      </c>
      <c r="D1264" s="6">
        <f t="shared" si="133"/>
        <v>1.1342155009452792E-3</v>
      </c>
      <c r="E1264" s="14">
        <f t="shared" si="134"/>
        <v>3.1316346104157892E-4</v>
      </c>
      <c r="F1264" s="9">
        <f t="shared" si="135"/>
        <v>17.121368481418973</v>
      </c>
      <c r="G1264" s="9">
        <f t="shared" si="136"/>
        <v>-4.6435380257709461E-3</v>
      </c>
      <c r="H1264" s="9">
        <f t="shared" si="137"/>
        <v>-3.3468790491296527E-4</v>
      </c>
      <c r="I1264" s="9">
        <f t="shared" si="138"/>
        <v>-2.9134805184782045E-4</v>
      </c>
      <c r="J1264" s="9">
        <f t="shared" si="139"/>
        <v>17.116098907436438</v>
      </c>
    </row>
    <row r="1265" spans="2:10" x14ac:dyDescent="0.25">
      <c r="B1265" s="1">
        <v>42446</v>
      </c>
      <c r="C1265" s="13">
        <v>26.45</v>
      </c>
      <c r="D1265" s="6">
        <f t="shared" si="133"/>
        <v>-1.623070244970326E-3</v>
      </c>
      <c r="E1265" s="14">
        <f t="shared" si="134"/>
        <v>3.1348801817742111E-4</v>
      </c>
      <c r="F1265" s="9">
        <f t="shared" si="135"/>
        <v>17.120332635576027</v>
      </c>
      <c r="G1265" s="9">
        <f t="shared" si="136"/>
        <v>-3.8901020698067632E-4</v>
      </c>
      <c r="H1265" s="9">
        <f t="shared" si="137"/>
        <v>-1.3091797640136697E-4</v>
      </c>
      <c r="I1265" s="9">
        <f t="shared" si="138"/>
        <v>-1.0853104903923139E-3</v>
      </c>
      <c r="J1265" s="9">
        <f t="shared" si="139"/>
        <v>17.118727396902251</v>
      </c>
    </row>
    <row r="1266" spans="2:10" x14ac:dyDescent="0.25">
      <c r="B1266" s="1">
        <v>42445</v>
      </c>
      <c r="C1266" s="13">
        <v>26.492999999999999</v>
      </c>
      <c r="D1266" s="6">
        <f t="shared" si="133"/>
        <v>1.3310384394721764E-2</v>
      </c>
      <c r="E1266" s="14">
        <f t="shared" si="134"/>
        <v>3.14086572520655E-4</v>
      </c>
      <c r="F1266" s="9">
        <f t="shared" si="135"/>
        <v>17.118425118816752</v>
      </c>
      <c r="G1266" s="9">
        <f t="shared" si="136"/>
        <v>-1.6868738722949871E-2</v>
      </c>
      <c r="H1266" s="9">
        <f t="shared" si="137"/>
        <v>-1.0709502513769622E-3</v>
      </c>
      <c r="I1266" s="9">
        <f t="shared" si="138"/>
        <v>-2.2770796662309046E-3</v>
      </c>
      <c r="J1266" s="9">
        <f t="shared" si="139"/>
        <v>17.098208350176193</v>
      </c>
    </row>
    <row r="1267" spans="2:10" x14ac:dyDescent="0.25">
      <c r="B1267" s="1">
        <v>42444</v>
      </c>
      <c r="C1267" s="13">
        <v>26.145</v>
      </c>
      <c r="D1267" s="6">
        <f t="shared" si="133"/>
        <v>2.0093640265314017E-2</v>
      </c>
      <c r="E1267" s="14">
        <f t="shared" si="134"/>
        <v>3.14418081570327E-4</v>
      </c>
      <c r="F1267" s="9">
        <f t="shared" si="135"/>
        <v>17.117370205131522</v>
      </c>
      <c r="G1267" s="9">
        <f t="shared" si="136"/>
        <v>-0.21769936280017552</v>
      </c>
      <c r="H1267" s="9">
        <f t="shared" si="137"/>
        <v>3.1115605293189756E-3</v>
      </c>
      <c r="I1267" s="9">
        <f t="shared" si="138"/>
        <v>-1.1014902434924737E-3</v>
      </c>
      <c r="J1267" s="9">
        <f t="shared" si="139"/>
        <v>16.901680912617174</v>
      </c>
    </row>
    <row r="1268" spans="2:10" x14ac:dyDescent="0.25">
      <c r="B1268" s="1">
        <v>42443</v>
      </c>
      <c r="C1268" s="13">
        <v>25.63</v>
      </c>
      <c r="D1268" s="6">
        <f t="shared" si="133"/>
        <v>2.5425386270290229E-3</v>
      </c>
      <c r="E1268" s="14">
        <f t="shared" si="134"/>
        <v>3.1300837192883352E-4</v>
      </c>
      <c r="F1268" s="9">
        <f t="shared" si="135"/>
        <v>17.121863837829949</v>
      </c>
      <c r="G1268" s="9">
        <f t="shared" si="136"/>
        <v>-0.54633206456830363</v>
      </c>
      <c r="H1268" s="9">
        <f t="shared" si="137"/>
        <v>-2.6554595130846397E-3</v>
      </c>
      <c r="I1268" s="9">
        <f t="shared" si="138"/>
        <v>-3.7460229618546371E-3</v>
      </c>
      <c r="J1268" s="9">
        <f t="shared" si="139"/>
        <v>16.569130290786703</v>
      </c>
    </row>
    <row r="1269" spans="2:10" x14ac:dyDescent="0.25">
      <c r="B1269" s="1">
        <v>42440</v>
      </c>
      <c r="C1269" s="13">
        <v>25.565000000000001</v>
      </c>
      <c r="D1269" s="6">
        <f t="shared" si="133"/>
        <v>1.0753963547226686E-2</v>
      </c>
      <c r="E1269" s="14">
        <f t="shared" si="134"/>
        <v>3.1301656206200707E-4</v>
      </c>
      <c r="F1269" s="9">
        <f t="shared" si="135"/>
        <v>17.121837672312473</v>
      </c>
      <c r="G1269" s="9">
        <f t="shared" si="136"/>
        <v>-1.3418634282055019E-3</v>
      </c>
      <c r="H1269" s="9">
        <f t="shared" si="137"/>
        <v>1.74936486781385E-4</v>
      </c>
      <c r="I1269" s="9">
        <f t="shared" si="138"/>
        <v>-2.5040677748641797E-4</v>
      </c>
      <c r="J1269" s="9">
        <f t="shared" si="139"/>
        <v>17.120420338593565</v>
      </c>
    </row>
    <row r="1270" spans="2:10" x14ac:dyDescent="0.25">
      <c r="B1270" s="1">
        <v>42439</v>
      </c>
      <c r="C1270" s="13">
        <v>25.292999999999999</v>
      </c>
      <c r="D1270" s="6">
        <f t="shared" si="133"/>
        <v>5.1424050632897789E-4</v>
      </c>
      <c r="E1270" s="14">
        <f t="shared" si="134"/>
        <v>3.1540561321278285E-4</v>
      </c>
      <c r="F1270" s="9">
        <f t="shared" si="135"/>
        <v>17.11423430389469</v>
      </c>
      <c r="G1270" s="9">
        <f t="shared" si="136"/>
        <v>-0.1324351568873765</v>
      </c>
      <c r="H1270" s="9">
        <f t="shared" si="137"/>
        <v>6.8254337152068769E-3</v>
      </c>
      <c r="I1270" s="9">
        <f t="shared" si="138"/>
        <v>-2.0852039455177693E-2</v>
      </c>
      <c r="J1270" s="9">
        <f t="shared" si="139"/>
        <v>16.967772541267344</v>
      </c>
    </row>
    <row r="1271" spans="2:10" x14ac:dyDescent="0.25">
      <c r="B1271" s="1">
        <v>42438</v>
      </c>
      <c r="C1271" s="13">
        <v>25.28</v>
      </c>
      <c r="D1271" s="6">
        <f t="shared" si="133"/>
        <v>8.7101116477961149E-4</v>
      </c>
      <c r="E1271" s="14">
        <f t="shared" si="134"/>
        <v>3.1542449360537171E-4</v>
      </c>
      <c r="F1271" s="9">
        <f t="shared" si="135"/>
        <v>17.114174445012274</v>
      </c>
      <c r="G1271" s="9">
        <f t="shared" si="136"/>
        <v>-1.9698479291627088E-3</v>
      </c>
      <c r="H1271" s="9">
        <f t="shared" si="137"/>
        <v>-2.1393339159195171E-4</v>
      </c>
      <c r="I1271" s="9">
        <f t="shared" si="138"/>
        <v>-2.6006927428966464E-4</v>
      </c>
      <c r="J1271" s="9">
        <f t="shared" si="139"/>
        <v>17.111730594417228</v>
      </c>
    </row>
    <row r="1272" spans="2:10" x14ac:dyDescent="0.25">
      <c r="B1272" s="1">
        <v>42437</v>
      </c>
      <c r="C1272" s="13">
        <v>25.257999999999999</v>
      </c>
      <c r="D1272" s="6">
        <f t="shared" si="133"/>
        <v>-8.2456415894456292E-3</v>
      </c>
      <c r="E1272" s="14">
        <f t="shared" si="134"/>
        <v>3.1612654390739126E-4</v>
      </c>
      <c r="F1272" s="9">
        <f t="shared" si="135"/>
        <v>17.111951186559679</v>
      </c>
      <c r="G1272" s="9">
        <f t="shared" si="136"/>
        <v>-9.0745216104581557E-4</v>
      </c>
      <c r="H1272" s="9">
        <f t="shared" si="137"/>
        <v>-2.6589988648054457E-4</v>
      </c>
      <c r="I1272" s="9">
        <f t="shared" si="138"/>
        <v>-2.8065510217977038E-3</v>
      </c>
      <c r="J1272" s="9">
        <f t="shared" si="139"/>
        <v>17.107971283490357</v>
      </c>
    </row>
    <row r="1273" spans="2:10" x14ac:dyDescent="0.25">
      <c r="B1273" s="1">
        <v>42436</v>
      </c>
      <c r="C1273" s="13">
        <v>25.468</v>
      </c>
      <c r="D1273" s="6">
        <f t="shared" si="133"/>
        <v>-1.1066671844056963E-2</v>
      </c>
      <c r="E1273" s="14">
        <f t="shared" si="134"/>
        <v>3.1658949244372587E-4</v>
      </c>
      <c r="F1273" s="9">
        <f t="shared" si="135"/>
        <v>17.110487817236468</v>
      </c>
      <c r="G1273" s="9">
        <f t="shared" si="136"/>
        <v>-0.15440245619115198</v>
      </c>
      <c r="H1273" s="9">
        <f t="shared" si="137"/>
        <v>-2.9145440789792756E-3</v>
      </c>
      <c r="I1273" s="9">
        <f t="shared" si="138"/>
        <v>-1.5984651472581342E-3</v>
      </c>
      <c r="J1273" s="9">
        <f t="shared" si="139"/>
        <v>16.951572351819078</v>
      </c>
    </row>
    <row r="1274" spans="2:10" x14ac:dyDescent="0.25">
      <c r="B1274" s="1">
        <v>42433</v>
      </c>
      <c r="C1274" s="13">
        <v>25.753</v>
      </c>
      <c r="D1274" s="6">
        <f t="shared" si="133"/>
        <v>1.4896551724137952E-2</v>
      </c>
      <c r="E1274" s="14">
        <f t="shared" si="134"/>
        <v>3.1762861065156363E-4</v>
      </c>
      <c r="F1274" s="9">
        <f t="shared" si="135"/>
        <v>17.107210966157691</v>
      </c>
      <c r="G1274" s="9">
        <f t="shared" si="136"/>
        <v>-0.25440875825307185</v>
      </c>
      <c r="H1274" s="9">
        <f t="shared" si="137"/>
        <v>-5.4377098689080963E-3</v>
      </c>
      <c r="I1274" s="9">
        <f t="shared" si="138"/>
        <v>-5.0261862586464551E-3</v>
      </c>
      <c r="J1274" s="9">
        <f t="shared" si="139"/>
        <v>16.842338311777066</v>
      </c>
    </row>
    <row r="1275" spans="2:10" x14ac:dyDescent="0.25">
      <c r="B1275" s="1">
        <v>42432</v>
      </c>
      <c r="C1275" s="13">
        <v>25.375</v>
      </c>
      <c r="D1275" s="6">
        <f t="shared" si="133"/>
        <v>7.4241702397968012E-3</v>
      </c>
      <c r="E1275" s="14">
        <f t="shared" si="134"/>
        <v>3.1986596395866188E-4</v>
      </c>
      <c r="F1275" s="9">
        <f t="shared" si="135"/>
        <v>17.100191729971726</v>
      </c>
      <c r="G1275" s="9">
        <f t="shared" si="136"/>
        <v>-0.27604183945129696</v>
      </c>
      <c r="H1275" s="9">
        <f t="shared" si="137"/>
        <v>9.3198146897143751E-3</v>
      </c>
      <c r="I1275" s="9">
        <f t="shared" si="138"/>
        <v>-1.8182629220516586E-2</v>
      </c>
      <c r="J1275" s="9">
        <f t="shared" si="139"/>
        <v>16.81528707598963</v>
      </c>
    </row>
    <row r="1276" spans="2:10" x14ac:dyDescent="0.25">
      <c r="B1276" s="1">
        <v>42431</v>
      </c>
      <c r="C1276" s="13">
        <v>25.187999999999999</v>
      </c>
      <c r="D1276" s="6">
        <f t="shared" si="133"/>
        <v>2.1883579357815375E-3</v>
      </c>
      <c r="E1276" s="14">
        <f t="shared" si="134"/>
        <v>3.2221039292248949E-4</v>
      </c>
      <c r="F1276" s="9">
        <f t="shared" si="135"/>
        <v>17.092889049044263</v>
      </c>
      <c r="G1276" s="9">
        <f t="shared" si="136"/>
        <v>-5.2299022599494059E-2</v>
      </c>
      <c r="H1276" s="9">
        <f t="shared" si="137"/>
        <v>4.1842973122045027E-3</v>
      </c>
      <c r="I1276" s="9">
        <f t="shared" si="138"/>
        <v>-1.9565640396920513E-2</v>
      </c>
      <c r="J1276" s="9">
        <f t="shared" si="139"/>
        <v>17.025208683360052</v>
      </c>
    </row>
    <row r="1277" spans="2:10" x14ac:dyDescent="0.25">
      <c r="B1277" s="1">
        <v>42430</v>
      </c>
      <c r="C1277" s="13">
        <v>25.132999999999999</v>
      </c>
      <c r="D1277" s="6">
        <f t="shared" si="133"/>
        <v>3.9713730194845587E-2</v>
      </c>
      <c r="E1277" s="14">
        <f t="shared" si="134"/>
        <v>3.2888996412955767E-4</v>
      </c>
      <c r="F1277" s="9">
        <f t="shared" si="135"/>
        <v>17.072370536099474</v>
      </c>
      <c r="G1277" s="9">
        <f t="shared" si="136"/>
        <v>-4.7989089208477873E-4</v>
      </c>
      <c r="H1277" s="9">
        <f t="shared" si="137"/>
        <v>9.4351240022282686E-4</v>
      </c>
      <c r="I1277" s="9">
        <f t="shared" si="138"/>
        <v>-0.13514559481271332</v>
      </c>
      <c r="J1277" s="9">
        <f t="shared" si="139"/>
        <v>16.9376885627949</v>
      </c>
    </row>
    <row r="1278" spans="2:10" x14ac:dyDescent="0.25">
      <c r="B1278" s="1">
        <v>42429</v>
      </c>
      <c r="C1278" s="13">
        <v>24.172999999999998</v>
      </c>
      <c r="D1278" s="6">
        <f t="shared" si="133"/>
        <v>-2.2701007099225068E-3</v>
      </c>
      <c r="E1278" s="14">
        <f t="shared" si="134"/>
        <v>3.1596960485937627E-4</v>
      </c>
      <c r="F1278" s="9">
        <f t="shared" si="135"/>
        <v>17.112447753582103</v>
      </c>
      <c r="G1278" s="9">
        <f t="shared" si="136"/>
        <v>-2.302223004203765</v>
      </c>
      <c r="H1278" s="9">
        <f t="shared" si="137"/>
        <v>-0.10801873751161972</v>
      </c>
      <c r="I1278" s="9">
        <f t="shared" si="138"/>
        <v>-0.46728398233115015</v>
      </c>
      <c r="J1278" s="9">
        <f t="shared" si="139"/>
        <v>14.23492202953557</v>
      </c>
    </row>
    <row r="1279" spans="2:10" x14ac:dyDescent="0.25">
      <c r="B1279" s="1">
        <v>42426</v>
      </c>
      <c r="C1279" s="13">
        <v>24.228000000000002</v>
      </c>
      <c r="D1279" s="6">
        <f t="shared" si="133"/>
        <v>1.5708970649028764E-3</v>
      </c>
      <c r="E1279" s="14">
        <f t="shared" si="134"/>
        <v>3.1823021970696309E-4</v>
      </c>
      <c r="F1279" s="9">
        <f t="shared" si="135"/>
        <v>17.105318693199635</v>
      </c>
      <c r="G1279" s="9">
        <f t="shared" si="136"/>
        <v>-2.3937172558979449E-2</v>
      </c>
      <c r="H1279" s="9">
        <f t="shared" si="137"/>
        <v>-2.7725657325945495E-3</v>
      </c>
      <c r="I1279" s="9">
        <f t="shared" si="138"/>
        <v>-1.865634230863596E-2</v>
      </c>
      <c r="J1279" s="9">
        <f t="shared" si="139"/>
        <v>17.059952612599425</v>
      </c>
    </row>
    <row r="1280" spans="2:10" x14ac:dyDescent="0.25">
      <c r="B1280" s="1">
        <v>42425</v>
      </c>
      <c r="C1280" s="13">
        <v>24.19</v>
      </c>
      <c r="D1280" s="6">
        <f t="shared" si="133"/>
        <v>6.8678459937565606E-3</v>
      </c>
      <c r="E1280" s="14">
        <f t="shared" si="134"/>
        <v>3.3415219390278483E-4</v>
      </c>
      <c r="F1280" s="9">
        <f t="shared" si="135"/>
        <v>17.056497215830756</v>
      </c>
      <c r="G1280" s="9">
        <f t="shared" si="136"/>
        <v>-4.782595477862583E-6</v>
      </c>
      <c r="H1280" s="9">
        <f t="shared" si="137"/>
        <v>-2.0890104002153063E-4</v>
      </c>
      <c r="I1280" s="9">
        <f t="shared" si="138"/>
        <v>-0.7228781547804507</v>
      </c>
      <c r="J1280" s="9">
        <f t="shared" si="139"/>
        <v>16.333405377414806</v>
      </c>
    </row>
    <row r="1281" spans="2:10" x14ac:dyDescent="0.25">
      <c r="B1281" s="1">
        <v>42424</v>
      </c>
      <c r="C1281" s="13">
        <v>24.024999999999999</v>
      </c>
      <c r="D1281" s="6">
        <f t="shared" si="133"/>
        <v>1.4869260338782331E-2</v>
      </c>
      <c r="E1281" s="14">
        <f t="shared" si="134"/>
        <v>3.496051794948933E-4</v>
      </c>
      <c r="F1281" s="9">
        <f t="shared" si="135"/>
        <v>17.011289316228403</v>
      </c>
      <c r="G1281" s="9">
        <f t="shared" si="136"/>
        <v>-3.9393121755949383E-2</v>
      </c>
      <c r="H1281" s="9">
        <f t="shared" si="137"/>
        <v>1.8015592305511023E-2</v>
      </c>
      <c r="I1281" s="9">
        <f t="shared" si="138"/>
        <v>-0.64930895814873912</v>
      </c>
      <c r="J1281" s="9">
        <f t="shared" si="139"/>
        <v>16.340602828629223</v>
      </c>
    </row>
    <row r="1282" spans="2:10" x14ac:dyDescent="0.25">
      <c r="B1282" s="1">
        <v>42423</v>
      </c>
      <c r="C1282" s="13">
        <v>23.673000000000002</v>
      </c>
      <c r="D1282" s="6">
        <f t="shared" si="133"/>
        <v>-2.2584640792733146E-2</v>
      </c>
      <c r="E1282" s="14">
        <f t="shared" si="134"/>
        <v>3.475462391965957E-4</v>
      </c>
      <c r="F1282" s="9">
        <f t="shared" si="135"/>
        <v>17.01719605679979</v>
      </c>
      <c r="G1282" s="9">
        <f t="shared" si="136"/>
        <v>-0.25301253790905731</v>
      </c>
      <c r="H1282" s="9">
        <f t="shared" si="137"/>
        <v>-3.5440354259032997E-3</v>
      </c>
      <c r="I1282" s="9">
        <f t="shared" si="138"/>
        <v>-8.9307090530637637E-3</v>
      </c>
      <c r="J1282" s="9">
        <f t="shared" si="139"/>
        <v>16.751708774411764</v>
      </c>
    </row>
    <row r="1283" spans="2:10" x14ac:dyDescent="0.25">
      <c r="B1283" s="1">
        <v>42422</v>
      </c>
      <c r="C1283" s="13">
        <v>24.22</v>
      </c>
      <c r="D1283" s="6">
        <f t="shared" si="133"/>
        <v>8.7463556851310464E-3</v>
      </c>
      <c r="E1283" s="14">
        <f t="shared" si="134"/>
        <v>3.4390427871464725E-4</v>
      </c>
      <c r="F1283" s="9">
        <f t="shared" si="135"/>
        <v>17.027730416287277</v>
      </c>
      <c r="G1283" s="9">
        <f t="shared" si="136"/>
        <v>-0.85482388873975201</v>
      </c>
      <c r="H1283" s="9">
        <f t="shared" si="137"/>
        <v>1.4789550651047326E-2</v>
      </c>
      <c r="I1283" s="9">
        <f t="shared" si="138"/>
        <v>-3.1235485085997459E-2</v>
      </c>
      <c r="J1283" s="9">
        <f t="shared" si="139"/>
        <v>16.156460593112577</v>
      </c>
    </row>
    <row r="1284" spans="2:10" x14ac:dyDescent="0.25">
      <c r="B1284" s="1">
        <v>42419</v>
      </c>
      <c r="C1284" s="13">
        <v>24.01</v>
      </c>
      <c r="D1284" s="6">
        <f t="shared" si="133"/>
        <v>-2.285476833575717E-3</v>
      </c>
      <c r="E1284" s="14">
        <f t="shared" si="134"/>
        <v>3.5083120973862839E-4</v>
      </c>
      <c r="F1284" s="9">
        <f t="shared" si="135"/>
        <v>17.007788551520289</v>
      </c>
      <c r="G1284" s="9">
        <f t="shared" si="136"/>
        <v>-7.2442574531797657E-2</v>
      </c>
      <c r="H1284" s="9">
        <f t="shared" si="137"/>
        <v>1.1595193544481784E-2</v>
      </c>
      <c r="I1284" s="9">
        <f t="shared" si="138"/>
        <v>-0.13452072848485042</v>
      </c>
      <c r="J1284" s="9">
        <f t="shared" si="139"/>
        <v>16.812420442048122</v>
      </c>
    </row>
    <row r="1285" spans="2:10" x14ac:dyDescent="0.25">
      <c r="B1285" s="1">
        <v>42418</v>
      </c>
      <c r="C1285" s="13">
        <v>24.065000000000001</v>
      </c>
      <c r="D1285" s="6">
        <f t="shared" si="133"/>
        <v>-1.8956379942926982E-2</v>
      </c>
      <c r="E1285" s="14">
        <f t="shared" si="134"/>
        <v>3.7889243501032803E-4</v>
      </c>
      <c r="F1285" s="9">
        <f t="shared" si="135"/>
        <v>16.930841423226521</v>
      </c>
      <c r="G1285" s="9">
        <f t="shared" si="136"/>
        <v>-2.0263680505112684E-2</v>
      </c>
      <c r="H1285" s="9">
        <f t="shared" si="137"/>
        <v>-2.2039340733688226E-2</v>
      </c>
      <c r="I1285" s="9">
        <f t="shared" si="138"/>
        <v>-1.9438099045492185</v>
      </c>
      <c r="J1285" s="9">
        <f t="shared" si="139"/>
        <v>14.944728497438501</v>
      </c>
    </row>
    <row r="1286" spans="2:10" x14ac:dyDescent="0.25">
      <c r="B1286" s="1">
        <v>42417</v>
      </c>
      <c r="C1286" s="13">
        <v>24.53</v>
      </c>
      <c r="D1286" s="6">
        <f t="shared" si="133"/>
        <v>1.531456953642385E-2</v>
      </c>
      <c r="E1286" s="14">
        <f t="shared" si="134"/>
        <v>3.7633531591642713E-4</v>
      </c>
      <c r="F1286" s="9">
        <f t="shared" si="135"/>
        <v>16.937613231764161</v>
      </c>
      <c r="G1286" s="9">
        <f t="shared" si="136"/>
        <v>-0.56458118032676863</v>
      </c>
      <c r="H1286" s="9">
        <f t="shared" si="137"/>
        <v>7.1023394215870518E-3</v>
      </c>
      <c r="I1286" s="9">
        <f t="shared" si="138"/>
        <v>-1.3890595637640548E-2</v>
      </c>
      <c r="J1286" s="9">
        <f t="shared" si="139"/>
        <v>16.366243795221337</v>
      </c>
    </row>
    <row r="1287" spans="2:10" x14ac:dyDescent="0.25">
      <c r="B1287" s="1">
        <v>42416</v>
      </c>
      <c r="C1287" s="13">
        <v>24.16</v>
      </c>
      <c r="D1287" s="6">
        <f t="shared" si="133"/>
        <v>2.8172610434930689E-2</v>
      </c>
      <c r="E1287" s="14">
        <f t="shared" si="134"/>
        <v>3.7931131190002112E-4</v>
      </c>
      <c r="F1287" s="9">
        <f t="shared" si="135"/>
        <v>16.929736504043476</v>
      </c>
      <c r="G1287" s="9">
        <f t="shared" si="136"/>
        <v>-0.24767833514301718</v>
      </c>
      <c r="H1287" s="9">
        <f t="shared" si="137"/>
        <v>1.0077635387898506E-2</v>
      </c>
      <c r="I1287" s="9">
        <f t="shared" si="138"/>
        <v>-2.4157095786386595E-2</v>
      </c>
      <c r="J1287" s="9">
        <f t="shared" si="139"/>
        <v>16.66797870850197</v>
      </c>
    </row>
    <row r="1288" spans="2:10" x14ac:dyDescent="0.25">
      <c r="B1288" s="1">
        <v>42412</v>
      </c>
      <c r="C1288" s="13">
        <v>23.498000000000001</v>
      </c>
      <c r="D1288" s="6">
        <f t="shared" si="133"/>
        <v>3.1163287086446445E-3</v>
      </c>
      <c r="E1288" s="14">
        <f t="shared" si="134"/>
        <v>4.0250912489797017E-4</v>
      </c>
      <c r="F1288" s="9">
        <f t="shared" si="135"/>
        <v>16.870376008233254</v>
      </c>
      <c r="G1288" s="9">
        <f t="shared" si="136"/>
        <v>-0.8779131657361523</v>
      </c>
      <c r="H1288" s="9">
        <f t="shared" si="137"/>
        <v>0.11702946477201692</v>
      </c>
      <c r="I1288" s="9">
        <f t="shared" si="138"/>
        <v>-1.2495210065221309</v>
      </c>
      <c r="J1288" s="9">
        <f t="shared" si="139"/>
        <v>14.859971300746988</v>
      </c>
    </row>
    <row r="1289" spans="2:10" x14ac:dyDescent="0.25">
      <c r="B1289" s="1">
        <v>42411</v>
      </c>
      <c r="C1289" s="13">
        <v>23.425000000000001</v>
      </c>
      <c r="D1289" s="6">
        <f t="shared" si="133"/>
        <v>-6.0675492192804326E-3</v>
      </c>
      <c r="E1289" s="14">
        <f t="shared" si="134"/>
        <v>4.0538821776174078E-4</v>
      </c>
      <c r="F1289" s="9">
        <f t="shared" si="135"/>
        <v>16.863248605035189</v>
      </c>
      <c r="G1289" s="9">
        <f t="shared" si="136"/>
        <v>-2.742583263765387E-3</v>
      </c>
      <c r="H1289" s="9">
        <f t="shared" si="137"/>
        <v>9.9946844049704909E-4</v>
      </c>
      <c r="I1289" s="9">
        <f t="shared" si="138"/>
        <v>-2.0637629295624831E-2</v>
      </c>
      <c r="J1289" s="9">
        <f t="shared" si="139"/>
        <v>16.840867860916298</v>
      </c>
    </row>
    <row r="1290" spans="2:10" x14ac:dyDescent="0.25">
      <c r="B1290" s="1">
        <v>42410</v>
      </c>
      <c r="C1290" s="13">
        <v>23.568000000000001</v>
      </c>
      <c r="D1290" s="6">
        <f t="shared" si="133"/>
        <v>-7.5795856493178215E-3</v>
      </c>
      <c r="E1290" s="14">
        <f t="shared" si="134"/>
        <v>4.0627122289917735E-4</v>
      </c>
      <c r="F1290" s="9">
        <f t="shared" si="135"/>
        <v>16.861072802126834</v>
      </c>
      <c r="G1290" s="9">
        <f t="shared" si="136"/>
        <v>-7.3087473358667651E-2</v>
      </c>
      <c r="H1290" s="9">
        <f t="shared" si="137"/>
        <v>-2.3584169991749068E-3</v>
      </c>
      <c r="I1290" s="9">
        <f t="shared" si="138"/>
        <v>-2.3278912340091791E-3</v>
      </c>
      <c r="J1290" s="9">
        <f t="shared" si="139"/>
        <v>16.783299020534979</v>
      </c>
    </row>
    <row r="1291" spans="2:10" x14ac:dyDescent="0.25">
      <c r="B1291" s="1">
        <v>42409</v>
      </c>
      <c r="C1291" s="13">
        <v>23.748000000000001</v>
      </c>
      <c r="D1291" s="6">
        <f t="shared" si="133"/>
        <v>-2.1049972635034386E-4</v>
      </c>
      <c r="E1291" s="14">
        <f t="shared" si="134"/>
        <v>4.0610681613332389E-4</v>
      </c>
      <c r="F1291" s="9">
        <f t="shared" si="135"/>
        <v>16.861477556465822</v>
      </c>
      <c r="G1291" s="9">
        <f t="shared" si="136"/>
        <v>-0.10467503053218984</v>
      </c>
      <c r="H1291" s="9">
        <f t="shared" si="137"/>
        <v>-1.067137651300158E-3</v>
      </c>
      <c r="I1291" s="9">
        <f t="shared" si="138"/>
        <v>-2.8400360686900607E-6</v>
      </c>
      <c r="J1291" s="9">
        <f t="shared" si="139"/>
        <v>16.755732548246264</v>
      </c>
    </row>
    <row r="1292" spans="2:10" x14ac:dyDescent="0.25">
      <c r="B1292" s="1">
        <v>42408</v>
      </c>
      <c r="C1292" s="13">
        <v>23.753</v>
      </c>
      <c r="D1292" s="6">
        <f t="shared" si="133"/>
        <v>1.0550946607104983E-2</v>
      </c>
      <c r="E1292" s="14">
        <f t="shared" si="134"/>
        <v>4.0726043650743756E-4</v>
      </c>
      <c r="F1292" s="9">
        <f t="shared" si="135"/>
        <v>16.858640901451917</v>
      </c>
      <c r="G1292" s="9">
        <f t="shared" si="136"/>
        <v>-4.1591107185798681E-3</v>
      </c>
      <c r="H1292" s="9">
        <f t="shared" si="137"/>
        <v>-6.5221511269146373E-4</v>
      </c>
      <c r="I1292" s="9">
        <f t="shared" si="138"/>
        <v>-3.7210385715641487E-3</v>
      </c>
      <c r="J1292" s="9">
        <f t="shared" si="139"/>
        <v>16.850108537049085</v>
      </c>
    </row>
    <row r="1293" spans="2:10" x14ac:dyDescent="0.25">
      <c r="B1293" s="1">
        <v>42405</v>
      </c>
      <c r="C1293" s="13">
        <v>23.504999999999999</v>
      </c>
      <c r="D1293" s="6">
        <f t="shared" si="133"/>
        <v>-2.6708074534161463E-2</v>
      </c>
      <c r="E1293" s="14">
        <f t="shared" si="134"/>
        <v>4.0665720398909644E-4</v>
      </c>
      <c r="F1293" s="9">
        <f t="shared" si="135"/>
        <v>16.860123195479666</v>
      </c>
      <c r="G1293" s="9">
        <f t="shared" si="136"/>
        <v>-9.8198482701171125E-2</v>
      </c>
      <c r="H1293" s="9">
        <f t="shared" si="137"/>
        <v>3.2086774397821851E-4</v>
      </c>
      <c r="I1293" s="9">
        <f t="shared" si="138"/>
        <v>-5.1270926064847185E-4</v>
      </c>
      <c r="J1293" s="9">
        <f t="shared" si="139"/>
        <v>16.761732871261824</v>
      </c>
    </row>
    <row r="1294" spans="2:10" x14ac:dyDescent="0.25">
      <c r="B1294" s="1">
        <v>42404</v>
      </c>
      <c r="C1294" s="13">
        <v>24.15</v>
      </c>
      <c r="D1294" s="6">
        <f t="shared" si="133"/>
        <v>2.5738957157088738E-3</v>
      </c>
      <c r="E1294" s="14">
        <f t="shared" si="134"/>
        <v>4.0130785470557644E-4</v>
      </c>
      <c r="F1294" s="9">
        <f t="shared" si="135"/>
        <v>16.873364925156341</v>
      </c>
      <c r="G1294" s="9">
        <f t="shared" si="136"/>
        <v>-1.0033097278312837</v>
      </c>
      <c r="H1294" s="9">
        <f t="shared" si="137"/>
        <v>2.3746621557159189E-2</v>
      </c>
      <c r="I1294" s="9">
        <f t="shared" si="138"/>
        <v>-6.2541939424148527E-2</v>
      </c>
      <c r="J1294" s="9">
        <f t="shared" si="139"/>
        <v>15.831259879458068</v>
      </c>
    </row>
    <row r="1295" spans="2:10" x14ac:dyDescent="0.25">
      <c r="B1295" s="1">
        <v>42403</v>
      </c>
      <c r="C1295" s="13">
        <v>24.088000000000001</v>
      </c>
      <c r="D1295" s="6">
        <f t="shared" si="133"/>
        <v>1.9813717188823077E-2</v>
      </c>
      <c r="E1295" s="14">
        <f t="shared" si="134"/>
        <v>4.034870190199666E-4</v>
      </c>
      <c r="F1295" s="9">
        <f t="shared" si="135"/>
        <v>16.867949459150587</v>
      </c>
      <c r="G1295" s="9">
        <f t="shared" si="136"/>
        <v>-1.1135455538038421E-3</v>
      </c>
      <c r="H1295" s="9">
        <f t="shared" si="137"/>
        <v>5.1694571411770441E-4</v>
      </c>
      <c r="I1295" s="9">
        <f t="shared" si="138"/>
        <v>-1.2244612116061954E-2</v>
      </c>
      <c r="J1295" s="9">
        <f t="shared" si="139"/>
        <v>16.855108247194838</v>
      </c>
    </row>
    <row r="1296" spans="2:10" x14ac:dyDescent="0.25">
      <c r="B1296" s="1">
        <v>42402</v>
      </c>
      <c r="C1296" s="13">
        <v>23.62</v>
      </c>
      <c r="D1296" s="6">
        <f t="shared" ref="D1296:D1359" si="140">C1296/C1297-1</f>
        <v>-2.0242243238758895E-2</v>
      </c>
      <c r="E1296" s="14">
        <f t="shared" ref="E1296:E1359" si="141">_xlfn.VAR.S(D1296:D1416)</f>
        <v>4.2103328503914069E-4</v>
      </c>
      <c r="F1296" s="9">
        <f t="shared" si="135"/>
        <v>16.825381882981013</v>
      </c>
      <c r="G1296" s="9">
        <f t="shared" si="136"/>
        <v>-0.39393884688623698</v>
      </c>
      <c r="H1296" s="9">
        <f t="shared" si="137"/>
        <v>5.8599647044588199E-2</v>
      </c>
      <c r="I1296" s="9">
        <f t="shared" si="138"/>
        <v>-0.68357909164221198</v>
      </c>
      <c r="J1296" s="9">
        <f t="shared" si="139"/>
        <v>15.806463591497153</v>
      </c>
    </row>
    <row r="1297" spans="2:10" x14ac:dyDescent="0.25">
      <c r="B1297" s="1">
        <v>42401</v>
      </c>
      <c r="C1297" s="13">
        <v>24.108000000000001</v>
      </c>
      <c r="D1297" s="6">
        <f t="shared" si="140"/>
        <v>-9.3281282103965246E-3</v>
      </c>
      <c r="E1297" s="14">
        <f t="shared" si="141"/>
        <v>4.3005986698111418E-4</v>
      </c>
      <c r="F1297" s="9">
        <f t="shared" ref="F1297:F1360" si="142">LN(2*PI())-LN($C$6)-LN(E1297)-0.5*LN(1-POWER($C$7,2))</f>
        <v>16.804169350854753</v>
      </c>
      <c r="G1297" s="9">
        <f t="shared" ref="G1297:G1360" si="143">-POWER(D1296-1-$C$3,2)/(2*E1297*(1-POWER($C$7,2)))</f>
        <v>-0.55770651714066266</v>
      </c>
      <c r="H1297" s="9">
        <f t="shared" ref="H1297:H1360" si="144">$C$7*(D1296-1-$C$3)*(E1296-E1297-$C$5*$C$4)/(E1297*$C$6*(1-POWER($C$7,2)))</f>
        <v>-3.695321280203509E-2</v>
      </c>
      <c r="I1297" s="9">
        <f t="shared" ref="I1297:I1360" si="145">-POWER(E1296-E1297-$C$5*$C$4+$C$4*E1297,2)/(2*POWER($C$6,2)*E1297*(1-POWER($C$7,2)))</f>
        <v>-0.17851148568023831</v>
      </c>
      <c r="J1297" s="9">
        <f t="shared" ref="J1297:J1360" si="146">SUM(F1297:I1297)</f>
        <v>16.030998135231815</v>
      </c>
    </row>
    <row r="1298" spans="2:10" x14ac:dyDescent="0.25">
      <c r="B1298" s="1">
        <v>42398</v>
      </c>
      <c r="C1298" s="13">
        <v>24.335000000000001</v>
      </c>
      <c r="D1298" s="6">
        <f t="shared" si="140"/>
        <v>3.4519406538281672E-2</v>
      </c>
      <c r="E1298" s="14">
        <f t="shared" si="141"/>
        <v>4.2968864442398646E-4</v>
      </c>
      <c r="F1298" s="9">
        <f t="shared" si="142"/>
        <v>16.805032911710686</v>
      </c>
      <c r="G1298" s="9">
        <f t="shared" si="143"/>
        <v>-0.14007543500699923</v>
      </c>
      <c r="H1298" s="9">
        <f t="shared" si="144"/>
        <v>-8.1021351268253169E-4</v>
      </c>
      <c r="I1298" s="9">
        <f t="shared" si="145"/>
        <v>-1.6996373693730786E-4</v>
      </c>
      <c r="J1298" s="9">
        <f t="shared" si="146"/>
        <v>16.663977299454068</v>
      </c>
    </row>
    <row r="1299" spans="2:10" x14ac:dyDescent="0.25">
      <c r="B1299" s="1">
        <v>42397</v>
      </c>
      <c r="C1299" s="13">
        <v>23.523</v>
      </c>
      <c r="D1299" s="6">
        <f t="shared" si="140"/>
        <v>7.193320488118049E-3</v>
      </c>
      <c r="E1299" s="14">
        <f t="shared" si="141"/>
        <v>4.1899024227477966E-4</v>
      </c>
      <c r="F1299" s="9">
        <f t="shared" si="142"/>
        <v>16.830246143864912</v>
      </c>
      <c r="G1299" s="9">
        <f t="shared" si="143"/>
        <v>-1.2948857481341374</v>
      </c>
      <c r="H1299" s="9">
        <f t="shared" si="144"/>
        <v>-5.7451782979400477E-2</v>
      </c>
      <c r="I1299" s="9">
        <f t="shared" si="145"/>
        <v>-0.24730053629001197</v>
      </c>
      <c r="J1299" s="9">
        <f t="shared" si="146"/>
        <v>15.230608076461362</v>
      </c>
    </row>
    <row r="1300" spans="2:10" x14ac:dyDescent="0.25">
      <c r="B1300" s="1">
        <v>42396</v>
      </c>
      <c r="C1300" s="13">
        <v>23.355</v>
      </c>
      <c r="D1300" s="6">
        <f t="shared" si="140"/>
        <v>-6.5725258020641664E-2</v>
      </c>
      <c r="E1300" s="14">
        <f t="shared" si="141"/>
        <v>4.1891138760468202E-4</v>
      </c>
      <c r="F1300" s="9">
        <f t="shared" si="142"/>
        <v>16.830434363263272</v>
      </c>
      <c r="G1300" s="9">
        <f t="shared" si="143"/>
        <v>-3.708626443816819E-2</v>
      </c>
      <c r="H1300" s="9">
        <f t="shared" si="144"/>
        <v>7.0946073753296686E-4</v>
      </c>
      <c r="I1300" s="9">
        <f t="shared" si="145"/>
        <v>-1.8588468487274099E-6</v>
      </c>
      <c r="J1300" s="9">
        <f t="shared" si="146"/>
        <v>16.794055700715788</v>
      </c>
    </row>
    <row r="1301" spans="2:10" x14ac:dyDescent="0.25">
      <c r="B1301" s="1">
        <v>42395</v>
      </c>
      <c r="C1301" s="13">
        <v>24.998000000000001</v>
      </c>
      <c r="D1301" s="6">
        <f t="shared" si="140"/>
        <v>5.5510860820595642E-3</v>
      </c>
      <c r="E1301" s="14">
        <f t="shared" si="141"/>
        <v>3.9224383945927262E-4</v>
      </c>
      <c r="F1301" s="9">
        <f t="shared" si="142"/>
        <v>16.896210089547818</v>
      </c>
      <c r="G1301" s="9">
        <f t="shared" si="143"/>
        <v>-5.7997057444459932</v>
      </c>
      <c r="H1301" s="9">
        <f t="shared" si="144"/>
        <v>0.3284214278587303</v>
      </c>
      <c r="I1301" s="9">
        <f t="shared" si="145"/>
        <v>-1.6558802237189723</v>
      </c>
      <c r="J1301" s="9">
        <f t="shared" si="146"/>
        <v>9.7690455492415822</v>
      </c>
    </row>
    <row r="1302" spans="2:10" x14ac:dyDescent="0.25">
      <c r="B1302" s="1">
        <v>42394</v>
      </c>
      <c r="C1302" s="13">
        <v>24.86</v>
      </c>
      <c r="D1302" s="6">
        <f t="shared" si="140"/>
        <v>-1.9522776572668099E-2</v>
      </c>
      <c r="E1302" s="14">
        <f t="shared" si="141"/>
        <v>3.9597692538852035E-4</v>
      </c>
      <c r="F1302" s="9">
        <f t="shared" si="142"/>
        <v>16.886737835053005</v>
      </c>
      <c r="G1302" s="9">
        <f t="shared" si="143"/>
        <v>-1.9497693252407362E-2</v>
      </c>
      <c r="H1302" s="9">
        <f t="shared" si="144"/>
        <v>3.3221002492719335E-3</v>
      </c>
      <c r="I1302" s="9">
        <f t="shared" si="145"/>
        <v>-3.5102309363008496E-2</v>
      </c>
      <c r="J1302" s="9">
        <f t="shared" si="146"/>
        <v>16.835459932686859</v>
      </c>
    </row>
    <row r="1303" spans="2:10" x14ac:dyDescent="0.25">
      <c r="B1303" s="1">
        <v>42391</v>
      </c>
      <c r="C1303" s="13">
        <v>25.355</v>
      </c>
      <c r="D1303" s="6">
        <f t="shared" si="140"/>
        <v>5.3167185877466272E-2</v>
      </c>
      <c r="E1303" s="14">
        <f t="shared" si="141"/>
        <v>3.9369138005750071E-4</v>
      </c>
      <c r="F1303" s="9">
        <f t="shared" si="142"/>
        <v>16.892526472376598</v>
      </c>
      <c r="G1303" s="9">
        <f t="shared" si="143"/>
        <v>-0.56980106774063954</v>
      </c>
      <c r="H1303" s="9">
        <f t="shared" si="144"/>
        <v>5.897250885046057E-3</v>
      </c>
      <c r="I1303" s="9">
        <f t="shared" si="145"/>
        <v>-1.0705392205213857E-2</v>
      </c>
      <c r="J1303" s="9">
        <f t="shared" si="146"/>
        <v>16.317917263315792</v>
      </c>
    </row>
    <row r="1304" spans="2:10" x14ac:dyDescent="0.25">
      <c r="B1304" s="1">
        <v>42390</v>
      </c>
      <c r="C1304" s="13">
        <v>24.074999999999999</v>
      </c>
      <c r="D1304" s="6">
        <f t="shared" si="140"/>
        <v>-5.0830647160923226E-3</v>
      </c>
      <c r="E1304" s="14">
        <f t="shared" si="141"/>
        <v>3.6879861936594112E-4</v>
      </c>
      <c r="F1304" s="9">
        <f t="shared" si="142"/>
        <v>16.957843027298189</v>
      </c>
      <c r="G1304" s="9">
        <f t="shared" si="143"/>
        <v>-3.6120193501627944</v>
      </c>
      <c r="H1304" s="9">
        <f t="shared" si="144"/>
        <v>-0.24895281719599222</v>
      </c>
      <c r="I1304" s="9">
        <f t="shared" si="145"/>
        <v>-1.5284727735515466</v>
      </c>
      <c r="J1304" s="9">
        <f t="shared" si="146"/>
        <v>11.568398086387855</v>
      </c>
    </row>
    <row r="1305" spans="2:10" x14ac:dyDescent="0.25">
      <c r="B1305" s="1">
        <v>42389</v>
      </c>
      <c r="C1305" s="13">
        <v>24.198</v>
      </c>
      <c r="D1305" s="6">
        <f t="shared" si="140"/>
        <v>1.3656114214772863E-3</v>
      </c>
      <c r="E1305" s="14">
        <f t="shared" si="141"/>
        <v>3.6872478745642083E-4</v>
      </c>
      <c r="F1305" s="9">
        <f t="shared" si="142"/>
        <v>16.958043243071909</v>
      </c>
      <c r="G1305" s="9">
        <f t="shared" si="143"/>
        <v>-6.1242019884908648E-2</v>
      </c>
      <c r="H1305" s="9">
        <f t="shared" si="144"/>
        <v>-9.7851336480716329E-4</v>
      </c>
      <c r="I1305" s="9">
        <f t="shared" si="145"/>
        <v>-3.4349776010715091E-5</v>
      </c>
      <c r="J1305" s="9">
        <f t="shared" si="146"/>
        <v>16.895788360046183</v>
      </c>
    </row>
    <row r="1306" spans="2:10" x14ac:dyDescent="0.25">
      <c r="B1306" s="1">
        <v>42388</v>
      </c>
      <c r="C1306" s="13">
        <v>24.164999999999999</v>
      </c>
      <c r="D1306" s="6">
        <f t="shared" si="140"/>
        <v>-4.8593666350945641E-3</v>
      </c>
      <c r="E1306" s="14">
        <f t="shared" si="141"/>
        <v>3.690215574873399E-4</v>
      </c>
      <c r="F1306" s="9">
        <f t="shared" si="142"/>
        <v>16.957238711679892</v>
      </c>
      <c r="G1306" s="9">
        <f t="shared" si="143"/>
        <v>-9.3096435673800914E-5</v>
      </c>
      <c r="H1306" s="9">
        <f t="shared" si="144"/>
        <v>-5.7572300916527119E-5</v>
      </c>
      <c r="I1306" s="9">
        <f t="shared" si="145"/>
        <v>-5.9422267482460856E-4</v>
      </c>
      <c r="J1306" s="9">
        <f t="shared" si="146"/>
        <v>16.956493820268477</v>
      </c>
    </row>
    <row r="1307" spans="2:10" x14ac:dyDescent="0.25">
      <c r="B1307" s="1">
        <v>42384</v>
      </c>
      <c r="C1307" s="13">
        <v>24.283000000000001</v>
      </c>
      <c r="D1307" s="6">
        <f t="shared" si="140"/>
        <v>-2.3995176848874533E-2</v>
      </c>
      <c r="E1307" s="14">
        <f t="shared" si="141"/>
        <v>3.7015529484577561E-4</v>
      </c>
      <c r="F1307" s="9">
        <f t="shared" si="142"/>
        <v>16.954171142007237</v>
      </c>
      <c r="G1307" s="9">
        <f t="shared" si="143"/>
        <v>-5.7005794076697786E-2</v>
      </c>
      <c r="H1307" s="9">
        <f t="shared" si="144"/>
        <v>-2.5069969465808133E-3</v>
      </c>
      <c r="I1307" s="9">
        <f t="shared" si="145"/>
        <v>-4.3637056322662383E-3</v>
      </c>
      <c r="J1307" s="9">
        <f t="shared" si="146"/>
        <v>16.890294645351691</v>
      </c>
    </row>
    <row r="1308" spans="2:10" x14ac:dyDescent="0.25">
      <c r="B1308" s="1">
        <v>42383</v>
      </c>
      <c r="C1308" s="13">
        <v>24.88</v>
      </c>
      <c r="D1308" s="6">
        <f t="shared" si="140"/>
        <v>2.1849843929686141E-2</v>
      </c>
      <c r="E1308" s="14">
        <f t="shared" si="141"/>
        <v>3.661468602303155E-4</v>
      </c>
      <c r="F1308" s="9">
        <f t="shared" si="142"/>
        <v>16.965059265009863</v>
      </c>
      <c r="G1308" s="9">
        <f t="shared" si="143"/>
        <v>-0.89917004663197975</v>
      </c>
      <c r="H1308" s="9">
        <f t="shared" si="144"/>
        <v>1.6596673268091913E-2</v>
      </c>
      <c r="I1308" s="9">
        <f t="shared" si="145"/>
        <v>-3.6687552235784779E-2</v>
      </c>
      <c r="J1308" s="9">
        <f t="shared" si="146"/>
        <v>16.045798339410194</v>
      </c>
    </row>
    <row r="1309" spans="2:10" x14ac:dyDescent="0.25">
      <c r="B1309" s="1">
        <v>42382</v>
      </c>
      <c r="C1309" s="13">
        <v>24.347999999999999</v>
      </c>
      <c r="D1309" s="6">
        <f t="shared" si="140"/>
        <v>-2.5690276110444166E-2</v>
      </c>
      <c r="E1309" s="14">
        <f t="shared" si="141"/>
        <v>3.6149936244843524E-4</v>
      </c>
      <c r="F1309" s="9">
        <f t="shared" si="142"/>
        <v>16.977833497419716</v>
      </c>
      <c r="G1309" s="9">
        <f t="shared" si="143"/>
        <v>-0.56730317631093541</v>
      </c>
      <c r="H1309" s="9">
        <f t="shared" si="144"/>
        <v>-1.5910687413576204E-2</v>
      </c>
      <c r="I1309" s="9">
        <f t="shared" si="145"/>
        <v>-5.048310567098404E-2</v>
      </c>
      <c r="J1309" s="9">
        <f t="shared" si="146"/>
        <v>16.344136528024219</v>
      </c>
    </row>
    <row r="1310" spans="2:10" x14ac:dyDescent="0.25">
      <c r="B1310" s="1">
        <v>42381</v>
      </c>
      <c r="C1310" s="13">
        <v>24.99</v>
      </c>
      <c r="D1310" s="6">
        <f t="shared" si="140"/>
        <v>1.449275362318847E-2</v>
      </c>
      <c r="E1310" s="14">
        <f t="shared" si="141"/>
        <v>3.7037266850734388E-4</v>
      </c>
      <c r="F1310" s="9">
        <f t="shared" si="142"/>
        <v>16.95358406446643</v>
      </c>
      <c r="G1310" s="9">
        <f t="shared" si="143"/>
        <v>-1.0104160051943203</v>
      </c>
      <c r="H1310" s="9">
        <f t="shared" si="144"/>
        <v>-5.2761554491434597E-2</v>
      </c>
      <c r="I1310" s="9">
        <f t="shared" si="145"/>
        <v>-0.20480737010936731</v>
      </c>
      <c r="J1310" s="9">
        <f t="shared" si="146"/>
        <v>15.685599134671307</v>
      </c>
    </row>
    <row r="1311" spans="2:10" x14ac:dyDescent="0.25">
      <c r="B1311" s="1">
        <v>42380</v>
      </c>
      <c r="C1311" s="13">
        <v>24.632999999999999</v>
      </c>
      <c r="D1311" s="6">
        <f t="shared" si="140"/>
        <v>1.6212871287128783E-2</v>
      </c>
      <c r="E1311" s="14">
        <f t="shared" si="141"/>
        <v>3.685839534750788E-4</v>
      </c>
      <c r="F1311" s="9">
        <f t="shared" si="142"/>
        <v>16.958425264809172</v>
      </c>
      <c r="G1311" s="9">
        <f t="shared" si="143"/>
        <v>-0.22519760127759039</v>
      </c>
      <c r="H1311" s="9">
        <f t="shared" si="144"/>
        <v>-2.5492951988896691E-3</v>
      </c>
      <c r="I1311" s="9">
        <f t="shared" si="145"/>
        <v>-6.3967879451256697E-3</v>
      </c>
      <c r="J1311" s="9">
        <f t="shared" si="146"/>
        <v>16.724281580387569</v>
      </c>
    </row>
    <row r="1312" spans="2:10" x14ac:dyDescent="0.25">
      <c r="B1312" s="1">
        <v>42377</v>
      </c>
      <c r="C1312" s="13">
        <v>24.24</v>
      </c>
      <c r="D1312" s="6">
        <f t="shared" si="140"/>
        <v>5.266868494173238E-3</v>
      </c>
      <c r="E1312" s="14">
        <f t="shared" si="141"/>
        <v>3.694757456416138E-4</v>
      </c>
      <c r="F1312" s="9">
        <f t="shared" si="142"/>
        <v>16.956008678179121</v>
      </c>
      <c r="G1312" s="9">
        <f t="shared" si="143"/>
        <v>-0.28874290387628981</v>
      </c>
      <c r="H1312" s="9">
        <f t="shared" si="144"/>
        <v>4.9411734081438773E-3</v>
      </c>
      <c r="I1312" s="9">
        <f t="shared" si="145"/>
        <v>-2.9243457530986699E-3</v>
      </c>
      <c r="J1312" s="9">
        <f t="shared" si="146"/>
        <v>16.669282601957878</v>
      </c>
    </row>
    <row r="1313" spans="2:10" x14ac:dyDescent="0.25">
      <c r="B1313" s="1">
        <v>42376</v>
      </c>
      <c r="C1313" s="13">
        <v>24.113</v>
      </c>
      <c r="D1313" s="6">
        <f t="shared" si="140"/>
        <v>-4.2184707050645476E-2</v>
      </c>
      <c r="E1313" s="14">
        <f t="shared" si="141"/>
        <v>3.6998697499659539E-4</v>
      </c>
      <c r="F1313" s="9">
        <f t="shared" si="142"/>
        <v>16.954625973082123</v>
      </c>
      <c r="G1313" s="9">
        <f t="shared" si="143"/>
        <v>-1.7953742111321107E-2</v>
      </c>
      <c r="H1313" s="9">
        <f t="shared" si="144"/>
        <v>9.5445752282300269E-4</v>
      </c>
      <c r="I1313" s="9">
        <f t="shared" si="145"/>
        <v>-1.2236925468196082E-3</v>
      </c>
      <c r="J1313" s="9">
        <f t="shared" si="146"/>
        <v>16.936402995946807</v>
      </c>
    </row>
    <row r="1314" spans="2:10" x14ac:dyDescent="0.25">
      <c r="B1314" s="1">
        <v>42375</v>
      </c>
      <c r="C1314" s="13">
        <v>25.175000000000001</v>
      </c>
      <c r="D1314" s="6">
        <f t="shared" si="140"/>
        <v>-1.9588753018147886E-2</v>
      </c>
      <c r="E1314" s="14">
        <f t="shared" si="141"/>
        <v>3.5845031823246643E-4</v>
      </c>
      <c r="F1314" s="9">
        <f t="shared" si="142"/>
        <v>16.986303707288823</v>
      </c>
      <c r="G1314" s="9">
        <f t="shared" si="143"/>
        <v>-2.6854159697247533</v>
      </c>
      <c r="H1314" s="9">
        <f t="shared" si="144"/>
        <v>9.7026057676248834E-2</v>
      </c>
      <c r="I1314" s="9">
        <f t="shared" si="145"/>
        <v>-0.33076384126126324</v>
      </c>
      <c r="J1314" s="9">
        <f t="shared" si="146"/>
        <v>14.067149953979056</v>
      </c>
    </row>
    <row r="1315" spans="2:10" x14ac:dyDescent="0.25">
      <c r="B1315" s="1">
        <v>42374</v>
      </c>
      <c r="C1315" s="13">
        <v>25.678000000000001</v>
      </c>
      <c r="D1315" s="6">
        <f t="shared" si="140"/>
        <v>-2.5058850330321181E-2</v>
      </c>
      <c r="E1315" s="14">
        <f t="shared" si="141"/>
        <v>3.5680472968050803E-4</v>
      </c>
      <c r="F1315" s="9">
        <f t="shared" si="142"/>
        <v>16.990905118939843</v>
      </c>
      <c r="G1315" s="9">
        <f t="shared" si="143"/>
        <v>-0.63263592722383943</v>
      </c>
      <c r="H1315" s="9">
        <f t="shared" si="144"/>
        <v>3.7134945630582158E-3</v>
      </c>
      <c r="I1315" s="9">
        <f t="shared" si="145"/>
        <v>-5.331183864000672E-3</v>
      </c>
      <c r="J1315" s="9">
        <f t="shared" si="146"/>
        <v>16.356651502415062</v>
      </c>
    </row>
    <row r="1316" spans="2:10" x14ac:dyDescent="0.25">
      <c r="B1316" s="1">
        <v>42373</v>
      </c>
      <c r="C1316" s="13">
        <v>26.338000000000001</v>
      </c>
      <c r="D1316" s="6">
        <f t="shared" si="140"/>
        <v>8.7402622078669445E-4</v>
      </c>
      <c r="E1316" s="14">
        <f t="shared" si="141"/>
        <v>3.5214168884548997E-4</v>
      </c>
      <c r="F1316" s="9">
        <f t="shared" si="142"/>
        <v>17.004060155653036</v>
      </c>
      <c r="G1316" s="9">
        <f t="shared" si="143"/>
        <v>-1.0141665316988042</v>
      </c>
      <c r="H1316" s="9">
        <f t="shared" si="144"/>
        <v>2.1641252267085093E-2</v>
      </c>
      <c r="I1316" s="9">
        <f t="shared" si="145"/>
        <v>-5.1826037169355764E-2</v>
      </c>
      <c r="J1316" s="9">
        <f t="shared" si="146"/>
        <v>15.959708839051963</v>
      </c>
    </row>
    <row r="1317" spans="2:10" x14ac:dyDescent="0.25">
      <c r="B1317" s="1">
        <v>42369</v>
      </c>
      <c r="C1317" s="13">
        <v>26.315000000000001</v>
      </c>
      <c r="D1317" s="6">
        <f t="shared" si="140"/>
        <v>-1.919493104733494E-2</v>
      </c>
      <c r="E1317" s="14">
        <f t="shared" si="141"/>
        <v>3.5561121857900384E-4</v>
      </c>
      <c r="F1317" s="9">
        <f t="shared" si="142"/>
        <v>16.994255723936838</v>
      </c>
      <c r="G1317" s="9">
        <f t="shared" si="143"/>
        <v>-8.0027600586636462E-4</v>
      </c>
      <c r="H1317" s="9">
        <f t="shared" si="144"/>
        <v>-6.6892917461936342E-4</v>
      </c>
      <c r="I1317" s="9">
        <f t="shared" si="145"/>
        <v>-3.5221781427200068E-2</v>
      </c>
      <c r="J1317" s="9">
        <f t="shared" si="146"/>
        <v>16.957564737329154</v>
      </c>
    </row>
    <row r="1318" spans="2:10" x14ac:dyDescent="0.25">
      <c r="B1318" s="1">
        <v>42368</v>
      </c>
      <c r="C1318" s="13">
        <v>26.83</v>
      </c>
      <c r="D1318" s="6">
        <f t="shared" si="140"/>
        <v>-1.3058672061798782E-2</v>
      </c>
      <c r="E1318" s="14">
        <f t="shared" si="141"/>
        <v>3.5920747916769771E-4</v>
      </c>
      <c r="F1318" s="9">
        <f t="shared" si="142"/>
        <v>16.984193617441235</v>
      </c>
      <c r="G1318" s="9">
        <f t="shared" si="143"/>
        <v>-0.60529133912462973</v>
      </c>
      <c r="H1318" s="9">
        <f t="shared" si="144"/>
        <v>-1.8847684823012117E-2</v>
      </c>
      <c r="I1318" s="9">
        <f t="shared" si="145"/>
        <v>-3.7194206520249032E-2</v>
      </c>
      <c r="J1318" s="9">
        <f t="shared" si="146"/>
        <v>16.322860386973346</v>
      </c>
    </row>
    <row r="1319" spans="2:10" x14ac:dyDescent="0.25">
      <c r="B1319" s="1">
        <v>42367</v>
      </c>
      <c r="C1319" s="13">
        <v>27.184999999999999</v>
      </c>
      <c r="D1319" s="6">
        <f t="shared" si="140"/>
        <v>1.7974162141920935E-2</v>
      </c>
      <c r="E1319" s="14">
        <f t="shared" si="141"/>
        <v>3.6115782027664877E-4</v>
      </c>
      <c r="F1319" s="9">
        <f t="shared" si="142"/>
        <v>16.978778737307675</v>
      </c>
      <c r="G1319" s="9">
        <f t="shared" si="143"/>
        <v>-0.29947772886597257</v>
      </c>
      <c r="H1319" s="9">
        <f t="shared" si="144"/>
        <v>-8.2726284168007057E-3</v>
      </c>
      <c r="I1319" s="9">
        <f t="shared" si="145"/>
        <v>-1.1865636133070514E-2</v>
      </c>
      <c r="J1319" s="9">
        <f t="shared" si="146"/>
        <v>16.65916274389183</v>
      </c>
    </row>
    <row r="1320" spans="2:10" x14ac:dyDescent="0.25">
      <c r="B1320" s="1">
        <v>42366</v>
      </c>
      <c r="C1320" s="13">
        <v>26.704999999999998</v>
      </c>
      <c r="D1320" s="6">
        <f t="shared" si="140"/>
        <v>-1.1218898104265462E-2</v>
      </c>
      <c r="E1320" s="14">
        <f t="shared" si="141"/>
        <v>3.6289671461856422E-4</v>
      </c>
      <c r="F1320" s="9">
        <f t="shared" si="142"/>
        <v>16.973975514342357</v>
      </c>
      <c r="G1320" s="9">
        <f t="shared" si="143"/>
        <v>-0.36926355170322728</v>
      </c>
      <c r="H1320" s="9">
        <f t="shared" si="144"/>
        <v>8.4597488847057267E-3</v>
      </c>
      <c r="I1320" s="9">
        <f t="shared" si="145"/>
        <v>-9.5755211826847892E-3</v>
      </c>
      <c r="J1320" s="9">
        <f t="shared" si="146"/>
        <v>16.60359619034115</v>
      </c>
    </row>
    <row r="1321" spans="2:10" x14ac:dyDescent="0.25">
      <c r="B1321" s="1">
        <v>42362</v>
      </c>
      <c r="C1321" s="13">
        <v>27.007999999999999</v>
      </c>
      <c r="D1321" s="6">
        <f t="shared" si="140"/>
        <v>-5.3401097484624405E-3</v>
      </c>
      <c r="E1321" s="14">
        <f t="shared" si="141"/>
        <v>3.6206244525826691E-4</v>
      </c>
      <c r="F1321" s="9">
        <f t="shared" si="142"/>
        <v>16.976277077726184</v>
      </c>
      <c r="G1321" s="9">
        <f t="shared" si="143"/>
        <v>-0.22857162833476161</v>
      </c>
      <c r="H1321" s="9">
        <f t="shared" si="144"/>
        <v>8.732498770358772E-5</v>
      </c>
      <c r="I1321" s="9">
        <f t="shared" si="145"/>
        <v>-1.0201879738184578E-3</v>
      </c>
      <c r="J1321" s="9">
        <f t="shared" si="146"/>
        <v>16.746772586405307</v>
      </c>
    </row>
    <row r="1322" spans="2:10" x14ac:dyDescent="0.25">
      <c r="B1322" s="1">
        <v>42361</v>
      </c>
      <c r="C1322" s="13">
        <v>27.152999999999999</v>
      </c>
      <c r="D1322" s="6">
        <f t="shared" si="140"/>
        <v>1.2869292748433292E-2</v>
      </c>
      <c r="E1322" s="14">
        <f t="shared" si="141"/>
        <v>3.6195929585902507E-4</v>
      </c>
      <c r="F1322" s="9">
        <f t="shared" si="142"/>
        <v>16.976562012263592</v>
      </c>
      <c r="G1322" s="9">
        <f t="shared" si="143"/>
        <v>-6.7257748608279114E-2</v>
      </c>
      <c r="H1322" s="9">
        <f t="shared" si="144"/>
        <v>-9.9325718926172738E-4</v>
      </c>
      <c r="I1322" s="9">
        <f t="shared" si="145"/>
        <v>-2.499773240669998E-5</v>
      </c>
      <c r="J1322" s="9">
        <f t="shared" si="146"/>
        <v>16.908286008733644</v>
      </c>
    </row>
    <row r="1323" spans="2:10" x14ac:dyDescent="0.25">
      <c r="B1323" s="1">
        <v>42360</v>
      </c>
      <c r="C1323" s="13">
        <v>26.808</v>
      </c>
      <c r="D1323" s="6">
        <f t="shared" si="140"/>
        <v>-9.3168859240477797E-4</v>
      </c>
      <c r="E1323" s="14">
        <f t="shared" si="141"/>
        <v>3.6032540997776771E-4</v>
      </c>
      <c r="F1323" s="9">
        <f t="shared" si="142"/>
        <v>16.981086235620388</v>
      </c>
      <c r="G1323" s="9">
        <f t="shared" si="143"/>
        <v>-0.17589002612165072</v>
      </c>
      <c r="H1323" s="9">
        <f t="shared" si="144"/>
        <v>-1.9214750695496507E-3</v>
      </c>
      <c r="I1323" s="9">
        <f t="shared" si="145"/>
        <v>-5.2359351798704264E-3</v>
      </c>
      <c r="J1323" s="9">
        <f t="shared" si="146"/>
        <v>16.798038799249316</v>
      </c>
    </row>
    <row r="1324" spans="2:10" x14ac:dyDescent="0.25">
      <c r="B1324" s="1">
        <v>42359</v>
      </c>
      <c r="C1324" s="13">
        <v>26.832999999999998</v>
      </c>
      <c r="D1324" s="6">
        <f t="shared" si="140"/>
        <v>1.2260449675569607E-2</v>
      </c>
      <c r="E1324" s="14">
        <f t="shared" si="141"/>
        <v>3.6124826462671767E-4</v>
      </c>
      <c r="F1324" s="9">
        <f t="shared" si="142"/>
        <v>16.978528339775231</v>
      </c>
      <c r="G1324" s="9">
        <f t="shared" si="143"/>
        <v>-9.090772061417134E-3</v>
      </c>
      <c r="H1324" s="9">
        <f t="shared" si="144"/>
        <v>-9.0294641762643795E-4</v>
      </c>
      <c r="I1324" s="9">
        <f t="shared" si="145"/>
        <v>-3.2431608966755916E-3</v>
      </c>
      <c r="J1324" s="9">
        <f t="shared" si="146"/>
        <v>16.965291460399513</v>
      </c>
    </row>
    <row r="1325" spans="2:10" x14ac:dyDescent="0.25">
      <c r="B1325" s="1">
        <v>42356</v>
      </c>
      <c r="C1325" s="13">
        <v>26.507999999999999</v>
      </c>
      <c r="D1325" s="6">
        <f t="shared" si="140"/>
        <v>-2.7050835015599239E-2</v>
      </c>
      <c r="E1325" s="14">
        <f t="shared" si="141"/>
        <v>3.603273272377127E-4</v>
      </c>
      <c r="F1325" s="9">
        <f t="shared" si="142"/>
        <v>16.981080914722138</v>
      </c>
      <c r="G1325" s="9">
        <f t="shared" si="143"/>
        <v>-0.15735333045205985</v>
      </c>
      <c r="H1325" s="9">
        <f t="shared" si="144"/>
        <v>-2.6173944136316984E-4</v>
      </c>
      <c r="I1325" s="9">
        <f t="shared" si="145"/>
        <v>-1.3148016458650923E-3</v>
      </c>
      <c r="J1325" s="9">
        <f t="shared" si="146"/>
        <v>16.822151043182849</v>
      </c>
    </row>
    <row r="1326" spans="2:10" x14ac:dyDescent="0.25">
      <c r="B1326" s="1">
        <v>42355</v>
      </c>
      <c r="C1326" s="13">
        <v>27.245000000000001</v>
      </c>
      <c r="D1326" s="6">
        <f t="shared" si="140"/>
        <v>-2.119633554876954E-2</v>
      </c>
      <c r="E1326" s="14">
        <f t="shared" si="141"/>
        <v>3.5696210972419208E-4</v>
      </c>
      <c r="F1326" s="9">
        <f t="shared" si="142"/>
        <v>16.990464134468318</v>
      </c>
      <c r="G1326" s="9">
        <f t="shared" si="143"/>
        <v>-1.1554055272454493</v>
      </c>
      <c r="H1326" s="9">
        <f t="shared" si="144"/>
        <v>1.5232862954487605E-2</v>
      </c>
      <c r="I1326" s="9">
        <f t="shared" si="145"/>
        <v>-2.57581677976602E-2</v>
      </c>
      <c r="J1326" s="9">
        <f t="shared" si="146"/>
        <v>15.824533302379697</v>
      </c>
    </row>
    <row r="1327" spans="2:10" x14ac:dyDescent="0.25">
      <c r="B1327" s="1">
        <v>42354</v>
      </c>
      <c r="C1327" s="13">
        <v>27.835000000000001</v>
      </c>
      <c r="D1327" s="6">
        <f t="shared" si="140"/>
        <v>7.6747637838032734E-3</v>
      </c>
      <c r="E1327" s="14">
        <f t="shared" si="141"/>
        <v>3.5376213380113513E-4</v>
      </c>
      <c r="F1327" s="9">
        <f t="shared" si="142"/>
        <v>16.999469026521755</v>
      </c>
      <c r="G1327" s="9">
        <f t="shared" si="143"/>
        <v>-0.73843697141708897</v>
      </c>
      <c r="H1327" s="9">
        <f t="shared" si="144"/>
        <v>1.1444521259596543E-2</v>
      </c>
      <c r="I1327" s="9">
        <f t="shared" si="145"/>
        <v>-2.3257181712190288E-2</v>
      </c>
      <c r="J1327" s="9">
        <f t="shared" si="146"/>
        <v>16.249219394652076</v>
      </c>
    </row>
    <row r="1328" spans="2:10" x14ac:dyDescent="0.25">
      <c r="B1328" s="1">
        <v>42353</v>
      </c>
      <c r="C1328" s="13">
        <v>27.623000000000001</v>
      </c>
      <c r="D1328" s="6">
        <f t="shared" si="140"/>
        <v>-1.7674253200569034E-2</v>
      </c>
      <c r="E1328" s="14">
        <f t="shared" si="141"/>
        <v>3.53254966881565E-4</v>
      </c>
      <c r="F1328" s="9">
        <f t="shared" si="142"/>
        <v>17.000903693394932</v>
      </c>
      <c r="G1328" s="9">
        <f t="shared" si="143"/>
        <v>-5.1916396142072004E-2</v>
      </c>
      <c r="H1328" s="9">
        <f t="shared" si="144"/>
        <v>3.7192315863306005E-4</v>
      </c>
      <c r="I1328" s="9">
        <f t="shared" si="145"/>
        <v>-2.2092010839312699E-4</v>
      </c>
      <c r="J1328" s="9">
        <f t="shared" si="146"/>
        <v>16.949138300303098</v>
      </c>
    </row>
    <row r="1329" spans="2:10" x14ac:dyDescent="0.25">
      <c r="B1329" s="1">
        <v>42352</v>
      </c>
      <c r="C1329" s="13">
        <v>28.12</v>
      </c>
      <c r="D1329" s="6">
        <f t="shared" si="140"/>
        <v>-6.1848383106556382E-3</v>
      </c>
      <c r="E1329" s="14">
        <f t="shared" si="141"/>
        <v>3.5166347637237975E-4</v>
      </c>
      <c r="F1329" s="9">
        <f t="shared" si="142"/>
        <v>17.005419090114835</v>
      </c>
      <c r="G1329" s="9">
        <f t="shared" si="143"/>
        <v>-0.53126685276168495</v>
      </c>
      <c r="H1329" s="9">
        <f t="shared" si="144"/>
        <v>3.208233154412416E-3</v>
      </c>
      <c r="I1329" s="9">
        <f t="shared" si="145"/>
        <v>-4.9474376706227022E-3</v>
      </c>
      <c r="J1329" s="9">
        <f t="shared" si="146"/>
        <v>16.47241303283694</v>
      </c>
    </row>
    <row r="1330" spans="2:10" x14ac:dyDescent="0.25">
      <c r="B1330" s="1">
        <v>42349</v>
      </c>
      <c r="C1330" s="13">
        <v>28.295000000000002</v>
      </c>
      <c r="D1330" s="6">
        <f t="shared" si="140"/>
        <v>-2.5754915125847821E-2</v>
      </c>
      <c r="E1330" s="14">
        <f t="shared" si="141"/>
        <v>3.5153935319208289E-4</v>
      </c>
      <c r="F1330" s="9">
        <f t="shared" si="142"/>
        <v>17.005772112532743</v>
      </c>
      <c r="G1330" s="9">
        <f t="shared" si="143"/>
        <v>-8.7061189543488668E-2</v>
      </c>
      <c r="H1330" s="9">
        <f t="shared" si="144"/>
        <v>-1.1122249281661323E-3</v>
      </c>
      <c r="I1330" s="9">
        <f t="shared" si="145"/>
        <v>-2.383319172048906E-5</v>
      </c>
      <c r="J1330" s="9">
        <f t="shared" si="146"/>
        <v>16.917574864869369</v>
      </c>
    </row>
    <row r="1331" spans="2:10" x14ac:dyDescent="0.25">
      <c r="B1331" s="1">
        <v>42348</v>
      </c>
      <c r="C1331" s="13">
        <v>29.042999999999999</v>
      </c>
      <c r="D1331" s="6">
        <f t="shared" si="140"/>
        <v>4.7742605085625556E-3</v>
      </c>
      <c r="E1331" s="14">
        <f t="shared" si="141"/>
        <v>3.4692505823144608E-4</v>
      </c>
      <c r="F1331" s="9">
        <f t="shared" si="142"/>
        <v>17.018984989281556</v>
      </c>
      <c r="G1331" s="9">
        <f t="shared" si="143"/>
        <v>-1.0838178684438931</v>
      </c>
      <c r="H1331" s="9">
        <f t="shared" si="144"/>
        <v>2.2255141043925192E-2</v>
      </c>
      <c r="I1331" s="9">
        <f t="shared" si="145"/>
        <v>-5.1255923426070674E-2</v>
      </c>
      <c r="J1331" s="9">
        <f t="shared" si="146"/>
        <v>15.906166338455517</v>
      </c>
    </row>
    <row r="1332" spans="2:10" x14ac:dyDescent="0.25">
      <c r="B1332" s="1">
        <v>42347</v>
      </c>
      <c r="C1332" s="13">
        <v>28.905000000000001</v>
      </c>
      <c r="D1332" s="6">
        <f t="shared" si="140"/>
        <v>-2.2092157791460787E-2</v>
      </c>
      <c r="E1332" s="14">
        <f t="shared" si="141"/>
        <v>3.4742248952301046E-4</v>
      </c>
      <c r="F1332" s="9">
        <f t="shared" si="142"/>
        <v>17.017552186996095</v>
      </c>
      <c r="G1332" s="9">
        <f t="shared" si="143"/>
        <v>-1.4294351553953406E-2</v>
      </c>
      <c r="H1332" s="9">
        <f t="shared" si="144"/>
        <v>8.6963050550244788E-4</v>
      </c>
      <c r="I1332" s="9">
        <f t="shared" si="145"/>
        <v>-1.3922641027669113E-3</v>
      </c>
      <c r="J1332" s="9">
        <f t="shared" si="146"/>
        <v>17.002735201844878</v>
      </c>
    </row>
    <row r="1333" spans="2:10" x14ac:dyDescent="0.25">
      <c r="B1333" s="1">
        <v>42346</v>
      </c>
      <c r="C1333" s="13">
        <v>29.558</v>
      </c>
      <c r="D1333" s="6">
        <f t="shared" si="140"/>
        <v>-4.0581670612105381E-4</v>
      </c>
      <c r="E1333" s="14">
        <f t="shared" si="141"/>
        <v>3.4377242146777464E-4</v>
      </c>
      <c r="F1333" s="9">
        <f t="shared" si="142"/>
        <v>17.028113902447139</v>
      </c>
      <c r="G1333" s="9">
        <f t="shared" si="143"/>
        <v>-0.82071721015800692</v>
      </c>
      <c r="H1333" s="9">
        <f t="shared" si="144"/>
        <v>1.4535645436997646E-2</v>
      </c>
      <c r="I1333" s="9">
        <f t="shared" si="145"/>
        <v>-3.1392223152649966E-2</v>
      </c>
      <c r="J1333" s="9">
        <f t="shared" si="146"/>
        <v>16.190540114573476</v>
      </c>
    </row>
    <row r="1334" spans="2:10" x14ac:dyDescent="0.25">
      <c r="B1334" s="1">
        <v>42345</v>
      </c>
      <c r="C1334" s="13">
        <v>29.57</v>
      </c>
      <c r="D1334" s="6">
        <f t="shared" si="140"/>
        <v>-6.3176288729080987E-3</v>
      </c>
      <c r="E1334" s="14">
        <f t="shared" si="141"/>
        <v>3.4380260074333912E-4</v>
      </c>
      <c r="F1334" s="9">
        <f t="shared" si="142"/>
        <v>17.028026117770239</v>
      </c>
      <c r="G1334" s="9">
        <f t="shared" si="143"/>
        <v>-6.029615010900582E-3</v>
      </c>
      <c r="H1334" s="9">
        <f t="shared" si="144"/>
        <v>-3.6344982673088547E-4</v>
      </c>
      <c r="I1334" s="9">
        <f t="shared" si="145"/>
        <v>-1.8492255755037993E-4</v>
      </c>
      <c r="J1334" s="9">
        <f t="shared" si="146"/>
        <v>17.021448130375056</v>
      </c>
    </row>
    <row r="1335" spans="2:10" x14ac:dyDescent="0.25">
      <c r="B1335" s="1">
        <v>42342</v>
      </c>
      <c r="C1335" s="13">
        <v>29.757999999999999</v>
      </c>
      <c r="D1335" s="6">
        <f t="shared" si="140"/>
        <v>3.326388888888876E-2</v>
      </c>
      <c r="E1335" s="14">
        <f t="shared" si="141"/>
        <v>3.4378848185828812E-4</v>
      </c>
      <c r="F1335" s="9">
        <f t="shared" si="142"/>
        <v>17.028067185449594</v>
      </c>
      <c r="G1335" s="9">
        <f t="shared" si="143"/>
        <v>-9.2076184164440342E-2</v>
      </c>
      <c r="H1335" s="9">
        <f t="shared" si="144"/>
        <v>-1.344609572528866E-3</v>
      </c>
      <c r="I1335" s="9">
        <f t="shared" si="145"/>
        <v>-1.2777578455340602E-4</v>
      </c>
      <c r="J1335" s="9">
        <f t="shared" si="146"/>
        <v>16.934518615928074</v>
      </c>
    </row>
    <row r="1336" spans="2:10" x14ac:dyDescent="0.25">
      <c r="B1336" s="1">
        <v>42341</v>
      </c>
      <c r="C1336" s="13">
        <v>28.8</v>
      </c>
      <c r="D1336" s="6">
        <f t="shared" si="140"/>
        <v>-9.2879256965944235E-3</v>
      </c>
      <c r="E1336" s="14">
        <f t="shared" si="141"/>
        <v>3.3430395187946489E-4</v>
      </c>
      <c r="F1336" s="9">
        <f t="shared" si="142"/>
        <v>17.056043160676218</v>
      </c>
      <c r="G1336" s="9">
        <f t="shared" si="143"/>
        <v>-1.5013768793545978</v>
      </c>
      <c r="H1336" s="9">
        <f t="shared" si="144"/>
        <v>-6.0762975860381707E-2</v>
      </c>
      <c r="I1336" s="9">
        <f t="shared" si="145"/>
        <v>-0.23576120633112749</v>
      </c>
      <c r="J1336" s="9">
        <f t="shared" si="146"/>
        <v>15.25814209913011</v>
      </c>
    </row>
    <row r="1337" spans="2:10" x14ac:dyDescent="0.25">
      <c r="B1337" s="1">
        <v>42340</v>
      </c>
      <c r="C1337" s="13">
        <v>29.07</v>
      </c>
      <c r="D1337" s="6">
        <f t="shared" si="140"/>
        <v>-9.033577637634238E-3</v>
      </c>
      <c r="E1337" s="14">
        <f t="shared" si="141"/>
        <v>3.3458201007085923E-4</v>
      </c>
      <c r="F1337" s="9">
        <f t="shared" si="142"/>
        <v>17.055211753760155</v>
      </c>
      <c r="G1337" s="9">
        <f t="shared" si="143"/>
        <v>-0.17857473336467636</v>
      </c>
      <c r="H1337" s="9">
        <f t="shared" si="144"/>
        <v>-2.602945215583853E-3</v>
      </c>
      <c r="I1337" s="9">
        <f t="shared" si="145"/>
        <v>-7.623912161627116E-4</v>
      </c>
      <c r="J1337" s="9">
        <f t="shared" si="146"/>
        <v>16.873271683963729</v>
      </c>
    </row>
    <row r="1338" spans="2:10" x14ac:dyDescent="0.25">
      <c r="B1338" s="1">
        <v>42339</v>
      </c>
      <c r="C1338" s="13">
        <v>29.335000000000001</v>
      </c>
      <c r="D1338" s="6">
        <f t="shared" si="140"/>
        <v>-8.1149619611157187E-3</v>
      </c>
      <c r="E1338" s="14">
        <f t="shared" si="141"/>
        <v>3.3401574258142062E-4</v>
      </c>
      <c r="F1338" s="9">
        <f t="shared" si="142"/>
        <v>17.0569056500456</v>
      </c>
      <c r="G1338" s="9">
        <f t="shared" si="143"/>
        <v>-0.17063818767206698</v>
      </c>
      <c r="H1338" s="9">
        <f t="shared" si="144"/>
        <v>-5.5394467964700513E-4</v>
      </c>
      <c r="I1338" s="9">
        <f t="shared" si="145"/>
        <v>-2.7954311188392459E-4</v>
      </c>
      <c r="J1338" s="9">
        <f t="shared" si="146"/>
        <v>16.885433974582</v>
      </c>
    </row>
    <row r="1339" spans="2:10" x14ac:dyDescent="0.25">
      <c r="B1339" s="1">
        <v>42338</v>
      </c>
      <c r="C1339" s="13">
        <v>29.574999999999999</v>
      </c>
      <c r="D1339" s="6">
        <f t="shared" si="140"/>
        <v>4.1421926459104252E-3</v>
      </c>
      <c r="E1339" s="14">
        <f t="shared" si="141"/>
        <v>3.3473325425571325E-4</v>
      </c>
      <c r="F1339" s="9">
        <f t="shared" si="142"/>
        <v>17.054759816697043</v>
      </c>
      <c r="G1339" s="9">
        <f t="shared" si="143"/>
        <v>-0.14219305015820269</v>
      </c>
      <c r="H1339" s="9">
        <f t="shared" si="144"/>
        <v>-3.2679182658361659E-3</v>
      </c>
      <c r="I1339" s="9">
        <f t="shared" si="145"/>
        <v>-2.5683015316381773E-3</v>
      </c>
      <c r="J1339" s="9">
        <f t="shared" si="146"/>
        <v>16.906730546741365</v>
      </c>
    </row>
    <row r="1340" spans="2:10" x14ac:dyDescent="0.25">
      <c r="B1340" s="1">
        <v>42335</v>
      </c>
      <c r="C1340" s="13">
        <v>29.452999999999999</v>
      </c>
      <c r="D1340" s="6">
        <f t="shared" si="140"/>
        <v>-1.8639013148976646E-3</v>
      </c>
      <c r="E1340" s="14">
        <f t="shared" si="141"/>
        <v>3.3460745107836488E-4</v>
      </c>
      <c r="F1340" s="9">
        <f t="shared" si="142"/>
        <v>17.055135718469721</v>
      </c>
      <c r="G1340" s="9">
        <f t="shared" si="143"/>
        <v>-9.4785020726434431E-3</v>
      </c>
      <c r="H1340" s="9">
        <f t="shared" si="144"/>
        <v>3.7522353865850354E-4</v>
      </c>
      <c r="I1340" s="9">
        <f t="shared" si="145"/>
        <v>-4.0801739877662735E-5</v>
      </c>
      <c r="J1340" s="9">
        <f t="shared" si="146"/>
        <v>17.045991638195858</v>
      </c>
    </row>
    <row r="1341" spans="2:10" x14ac:dyDescent="0.25">
      <c r="B1341" s="1">
        <v>42333</v>
      </c>
      <c r="C1341" s="13">
        <v>29.507999999999999</v>
      </c>
      <c r="D1341" s="6">
        <f t="shared" si="140"/>
        <v>-7.1332436069986294E-3</v>
      </c>
      <c r="E1341" s="14">
        <f t="shared" si="141"/>
        <v>3.349023062954232E-4</v>
      </c>
      <c r="F1341" s="9">
        <f t="shared" si="142"/>
        <v>17.054254909092787</v>
      </c>
      <c r="G1341" s="9">
        <f t="shared" si="143"/>
        <v>-1.8251436910364391E-2</v>
      </c>
      <c r="H1341" s="9">
        <f t="shared" si="144"/>
        <v>-8.44703295181202E-4</v>
      </c>
      <c r="I1341" s="9">
        <f t="shared" si="145"/>
        <v>-8.0954986584442818E-4</v>
      </c>
      <c r="J1341" s="9">
        <f t="shared" si="146"/>
        <v>17.034349219021394</v>
      </c>
    </row>
    <row r="1342" spans="2:10" x14ac:dyDescent="0.25">
      <c r="B1342" s="1">
        <v>42332</v>
      </c>
      <c r="C1342" s="13">
        <v>29.72</v>
      </c>
      <c r="D1342" s="6">
        <f t="shared" si="140"/>
        <v>9.5794551260275362E-3</v>
      </c>
      <c r="E1342" s="14">
        <f t="shared" si="141"/>
        <v>3.3474279670424952E-4</v>
      </c>
      <c r="F1342" s="9">
        <f t="shared" si="142"/>
        <v>17.05473130948301</v>
      </c>
      <c r="G1342" s="9">
        <f t="shared" si="143"/>
        <v>-0.11497647307750779</v>
      </c>
      <c r="H1342" s="9">
        <f t="shared" si="144"/>
        <v>-1.2413553977901821E-3</v>
      </c>
      <c r="I1342" s="9">
        <f t="shared" si="145"/>
        <v>-2.1195455066079243E-5</v>
      </c>
      <c r="J1342" s="9">
        <f t="shared" si="146"/>
        <v>16.938492285552645</v>
      </c>
    </row>
    <row r="1343" spans="2:10" x14ac:dyDescent="0.25">
      <c r="B1343" s="1">
        <v>42331</v>
      </c>
      <c r="C1343" s="13">
        <v>29.437999999999999</v>
      </c>
      <c r="D1343" s="6">
        <f t="shared" si="140"/>
        <v>-1.2975691533948064E-2</v>
      </c>
      <c r="E1343" s="14">
        <f t="shared" si="141"/>
        <v>3.3410941775734371E-4</v>
      </c>
      <c r="F1343" s="9">
        <f t="shared" si="142"/>
        <v>17.056625237984814</v>
      </c>
      <c r="G1343" s="9">
        <f t="shared" si="143"/>
        <v>-9.4913701471902395E-2</v>
      </c>
      <c r="H1343" s="9">
        <f t="shared" si="144"/>
        <v>2.9496835444050423E-4</v>
      </c>
      <c r="I1343" s="9">
        <f t="shared" si="145"/>
        <v>-4.102362401972793E-4</v>
      </c>
      <c r="J1343" s="9">
        <f t="shared" si="146"/>
        <v>16.961596268627158</v>
      </c>
    </row>
    <row r="1344" spans="2:10" x14ac:dyDescent="0.25">
      <c r="B1344" s="1">
        <v>42328</v>
      </c>
      <c r="C1344" s="13">
        <v>29.824999999999999</v>
      </c>
      <c r="D1344" s="6">
        <f t="shared" si="140"/>
        <v>4.3778413874389077E-3</v>
      </c>
      <c r="E1344" s="14">
        <f t="shared" si="141"/>
        <v>3.3286107947957532E-4</v>
      </c>
      <c r="F1344" s="9">
        <f t="shared" si="142"/>
        <v>17.060368551191694</v>
      </c>
      <c r="G1344" s="9">
        <f t="shared" si="143"/>
        <v>-0.32127492048698453</v>
      </c>
      <c r="H1344" s="9">
        <f t="shared" si="144"/>
        <v>1.4511963561116431E-3</v>
      </c>
      <c r="I1344" s="9">
        <f t="shared" si="145"/>
        <v>-2.7647180723030765E-3</v>
      </c>
      <c r="J1344" s="9">
        <f t="shared" si="146"/>
        <v>16.737780108988517</v>
      </c>
    </row>
    <row r="1345" spans="2:10" x14ac:dyDescent="0.25">
      <c r="B1345" s="1">
        <v>42327</v>
      </c>
      <c r="C1345" s="13">
        <v>29.695</v>
      </c>
      <c r="D1345" s="6">
        <f t="shared" si="140"/>
        <v>1.2686287214814351E-2</v>
      </c>
      <c r="E1345" s="14">
        <f t="shared" si="141"/>
        <v>3.3277897797830217E-4</v>
      </c>
      <c r="F1345" s="9">
        <f t="shared" si="142"/>
        <v>17.06061523556944</v>
      </c>
      <c r="G1345" s="9">
        <f t="shared" si="143"/>
        <v>-1.14003541848766E-2</v>
      </c>
      <c r="H1345" s="9">
        <f t="shared" si="144"/>
        <v>4.3934638846403586E-4</v>
      </c>
      <c r="I1345" s="9">
        <f t="shared" si="145"/>
        <v>-7.8625641098016742E-5</v>
      </c>
      <c r="J1345" s="9">
        <f t="shared" si="146"/>
        <v>17.049575602131931</v>
      </c>
    </row>
    <row r="1346" spans="2:10" x14ac:dyDescent="0.25">
      <c r="B1346" s="1">
        <v>42326</v>
      </c>
      <c r="C1346" s="13">
        <v>29.323</v>
      </c>
      <c r="D1346" s="6">
        <f t="shared" si="140"/>
        <v>3.1664497062238395E-2</v>
      </c>
      <c r="E1346" s="14">
        <f t="shared" si="141"/>
        <v>3.3135232643362745E-4</v>
      </c>
      <c r="F1346" s="9">
        <f t="shared" si="142"/>
        <v>17.064911535802985</v>
      </c>
      <c r="G1346" s="9">
        <f t="shared" si="143"/>
        <v>-0.18509305628972497</v>
      </c>
      <c r="H1346" s="9">
        <f t="shared" si="144"/>
        <v>-1.5440501483675703E-3</v>
      </c>
      <c r="I1346" s="9">
        <f t="shared" si="145"/>
        <v>-3.8419638697225859E-3</v>
      </c>
      <c r="J1346" s="9">
        <f t="shared" si="146"/>
        <v>16.874432465495172</v>
      </c>
    </row>
    <row r="1347" spans="2:10" x14ac:dyDescent="0.25">
      <c r="B1347" s="1">
        <v>42325</v>
      </c>
      <c r="C1347" s="13">
        <v>28.422999999999998</v>
      </c>
      <c r="D1347" s="6">
        <f t="shared" si="140"/>
        <v>-4.2390695067265893E-3</v>
      </c>
      <c r="E1347" s="14">
        <f t="shared" si="141"/>
        <v>3.2344492088104339E-4</v>
      </c>
      <c r="F1347" s="9">
        <f t="shared" si="142"/>
        <v>17.089064935971479</v>
      </c>
      <c r="G1347" s="9">
        <f t="shared" si="143"/>
        <v>-1.3988473765159222</v>
      </c>
      <c r="H1347" s="9">
        <f t="shared" si="144"/>
        <v>-4.8798197853340552E-2</v>
      </c>
      <c r="I1347" s="9">
        <f t="shared" si="145"/>
        <v>-0.16678179830804329</v>
      </c>
      <c r="J1347" s="9">
        <f t="shared" si="146"/>
        <v>15.474637563294172</v>
      </c>
    </row>
    <row r="1348" spans="2:10" x14ac:dyDescent="0.25">
      <c r="B1348" s="1">
        <v>42324</v>
      </c>
      <c r="C1348" s="13">
        <v>28.544</v>
      </c>
      <c r="D1348" s="6">
        <f t="shared" si="140"/>
        <v>1.6343243724407985E-2</v>
      </c>
      <c r="E1348" s="14">
        <f t="shared" si="141"/>
        <v>3.2336764979350294E-4</v>
      </c>
      <c r="F1348" s="9">
        <f t="shared" si="142"/>
        <v>17.089303864809324</v>
      </c>
      <c r="G1348" s="9">
        <f t="shared" si="143"/>
        <v>-5.3370682605284478E-2</v>
      </c>
      <c r="H1348" s="9">
        <f t="shared" si="144"/>
        <v>-9.7081691360269892E-4</v>
      </c>
      <c r="I1348" s="9">
        <f t="shared" si="145"/>
        <v>-1.0172087055131853E-4</v>
      </c>
      <c r="J1348" s="9">
        <f t="shared" si="146"/>
        <v>17.034860644419886</v>
      </c>
    </row>
    <row r="1349" spans="2:10" x14ac:dyDescent="0.25">
      <c r="B1349" s="1">
        <v>42321</v>
      </c>
      <c r="C1349" s="13">
        <v>28.085000000000001</v>
      </c>
      <c r="D1349" s="6">
        <f t="shared" si="140"/>
        <v>-2.9208434151399842E-2</v>
      </c>
      <c r="E1349" s="14">
        <f t="shared" si="141"/>
        <v>3.2409662072137855E-4</v>
      </c>
      <c r="F1349" s="9">
        <f t="shared" si="142"/>
        <v>17.0870520919499</v>
      </c>
      <c r="G1349" s="9">
        <f t="shared" si="143"/>
        <v>-0.33508279194517343</v>
      </c>
      <c r="H1349" s="9">
        <f t="shared" si="144"/>
        <v>5.1367132110578069E-3</v>
      </c>
      <c r="I1349" s="9">
        <f t="shared" si="145"/>
        <v>-2.8148001922274502E-3</v>
      </c>
      <c r="J1349" s="9">
        <f t="shared" si="146"/>
        <v>16.75429121302356</v>
      </c>
    </row>
    <row r="1350" spans="2:10" x14ac:dyDescent="0.25">
      <c r="B1350" s="1">
        <v>42320</v>
      </c>
      <c r="C1350" s="13">
        <v>28.93</v>
      </c>
      <c r="D1350" s="6">
        <f t="shared" si="140"/>
        <v>-3.3760507096596282E-3</v>
      </c>
      <c r="E1350" s="14">
        <f t="shared" si="141"/>
        <v>3.2115044316855472E-4</v>
      </c>
      <c r="F1350" s="9">
        <f t="shared" si="142"/>
        <v>17.096184091743446</v>
      </c>
      <c r="G1350" s="9">
        <f t="shared" si="143"/>
        <v>-1.4847546936471716</v>
      </c>
      <c r="H1350" s="9">
        <f t="shared" si="144"/>
        <v>1.5230261882872223E-2</v>
      </c>
      <c r="I1350" s="9">
        <f t="shared" si="145"/>
        <v>-2.0607436306879504E-2</v>
      </c>
      <c r="J1350" s="9">
        <f t="shared" si="146"/>
        <v>15.606052223672267</v>
      </c>
    </row>
    <row r="1351" spans="2:10" x14ac:dyDescent="0.25">
      <c r="B1351" s="1">
        <v>42319</v>
      </c>
      <c r="C1351" s="13">
        <v>29.027999999999999</v>
      </c>
      <c r="D1351" s="6">
        <f t="shared" si="140"/>
        <v>-5.6520398725722343E-3</v>
      </c>
      <c r="E1351" s="14">
        <f t="shared" si="141"/>
        <v>3.2187555668466961E-4</v>
      </c>
      <c r="F1351" s="9">
        <f t="shared" si="142"/>
        <v>17.093928774466587</v>
      </c>
      <c r="G1351" s="9">
        <f t="shared" si="143"/>
        <v>-3.9002786810262403E-2</v>
      </c>
      <c r="H1351" s="9">
        <f t="shared" si="144"/>
        <v>-1.7540985015189617E-3</v>
      </c>
      <c r="I1351" s="9">
        <f t="shared" si="145"/>
        <v>-2.8331817765088457E-3</v>
      </c>
      <c r="J1351" s="9">
        <f t="shared" si="146"/>
        <v>17.050338707378298</v>
      </c>
    </row>
    <row r="1352" spans="2:10" x14ac:dyDescent="0.25">
      <c r="B1352" s="1">
        <v>42318</v>
      </c>
      <c r="C1352" s="13">
        <v>29.193000000000001</v>
      </c>
      <c r="D1352" s="6">
        <f t="shared" si="140"/>
        <v>-3.1516438310718931E-2</v>
      </c>
      <c r="E1352" s="14">
        <f t="shared" si="141"/>
        <v>3.2269408310274631E-4</v>
      </c>
      <c r="F1352" s="9">
        <f t="shared" si="142"/>
        <v>17.091389012096357</v>
      </c>
      <c r="G1352" s="9">
        <f t="shared" si="143"/>
        <v>-8.2347816437051594E-2</v>
      </c>
      <c r="H1352" s="9">
        <f t="shared" si="144"/>
        <v>-2.7013580889684451E-3</v>
      </c>
      <c r="I1352" s="9">
        <f t="shared" si="145"/>
        <v>-3.3739501083832582E-3</v>
      </c>
      <c r="J1352" s="9">
        <f t="shared" si="146"/>
        <v>17.002965887461954</v>
      </c>
    </row>
    <row r="1353" spans="2:10" x14ac:dyDescent="0.25">
      <c r="B1353" s="1">
        <v>42317</v>
      </c>
      <c r="C1353" s="13">
        <v>30.143000000000001</v>
      </c>
      <c r="D1353" s="6">
        <f t="shared" si="140"/>
        <v>-4.0310589790186757E-3</v>
      </c>
      <c r="E1353" s="14">
        <f t="shared" si="141"/>
        <v>3.1473092315916775E-4</v>
      </c>
      <c r="F1353" s="9">
        <f t="shared" si="142"/>
        <v>17.116375713803482</v>
      </c>
      <c r="G1353" s="9">
        <f t="shared" si="143"/>
        <v>-1.7503226718040807</v>
      </c>
      <c r="H1353" s="9">
        <f t="shared" si="144"/>
        <v>5.5770194065867439E-2</v>
      </c>
      <c r="I1353" s="9">
        <f t="shared" si="145"/>
        <v>-0.17325888940906911</v>
      </c>
      <c r="J1353" s="9">
        <f t="shared" si="146"/>
        <v>15.248564346656199</v>
      </c>
    </row>
    <row r="1354" spans="2:10" x14ac:dyDescent="0.25">
      <c r="B1354" s="1">
        <v>42314</v>
      </c>
      <c r="C1354" s="13">
        <v>30.265000000000001</v>
      </c>
      <c r="D1354" s="6">
        <f t="shared" si="140"/>
        <v>1.1577902745616431E-3</v>
      </c>
      <c r="E1354" s="14">
        <f t="shared" si="141"/>
        <v>3.1462628026704095E-4</v>
      </c>
      <c r="F1354" s="9">
        <f t="shared" si="142"/>
        <v>17.116708252757583</v>
      </c>
      <c r="G1354" s="9">
        <f t="shared" si="143"/>
        <v>-5.1032490299397451E-2</v>
      </c>
      <c r="H1354" s="9">
        <f t="shared" si="144"/>
        <v>-9.2601034767059187E-4</v>
      </c>
      <c r="I1354" s="9">
        <f t="shared" si="145"/>
        <v>-9.0731754740109598E-5</v>
      </c>
      <c r="J1354" s="9">
        <f t="shared" si="146"/>
        <v>17.064659020355776</v>
      </c>
    </row>
    <row r="1355" spans="2:10" x14ac:dyDescent="0.25">
      <c r="B1355" s="1">
        <v>42313</v>
      </c>
      <c r="C1355" s="13">
        <v>30.23</v>
      </c>
      <c r="D1355" s="6">
        <f t="shared" si="140"/>
        <v>-8.8524590163934214E-3</v>
      </c>
      <c r="E1355" s="14">
        <f t="shared" si="141"/>
        <v>3.1569481483428001E-4</v>
      </c>
      <c r="F1355" s="9">
        <f t="shared" si="142"/>
        <v>17.113317804304806</v>
      </c>
      <c r="G1355" s="9">
        <f t="shared" si="143"/>
        <v>-3.5023963858024849E-4</v>
      </c>
      <c r="H1355" s="9">
        <f t="shared" si="144"/>
        <v>-2.0561110621785428E-4</v>
      </c>
      <c r="I1355" s="9">
        <f t="shared" si="145"/>
        <v>-5.3110230000185128E-3</v>
      </c>
      <c r="J1355" s="9">
        <f t="shared" si="146"/>
        <v>17.107450930559988</v>
      </c>
    </row>
    <row r="1356" spans="2:10" x14ac:dyDescent="0.25">
      <c r="B1356" s="1">
        <v>42312</v>
      </c>
      <c r="C1356" s="13">
        <v>30.5</v>
      </c>
      <c r="D1356" s="6">
        <f t="shared" si="140"/>
        <v>-4.6666449107463093E-3</v>
      </c>
      <c r="E1356" s="14">
        <f t="shared" si="141"/>
        <v>3.1509924907385366E-4</v>
      </c>
      <c r="F1356" s="9">
        <f t="shared" si="142"/>
        <v>17.115206109764451</v>
      </c>
      <c r="G1356" s="9">
        <f t="shared" si="143"/>
        <v>-0.17478837364019742</v>
      </c>
      <c r="H1356" s="9">
        <f t="shared" si="144"/>
        <v>-5.0517254343870855E-4</v>
      </c>
      <c r="I1356" s="9">
        <f t="shared" si="145"/>
        <v>-2.9260954681781313E-4</v>
      </c>
      <c r="J1356" s="9">
        <f t="shared" si="146"/>
        <v>16.939619954033997</v>
      </c>
    </row>
    <row r="1357" spans="2:10" x14ac:dyDescent="0.25">
      <c r="B1357" s="1">
        <v>42311</v>
      </c>
      <c r="C1357" s="13">
        <v>30.643000000000001</v>
      </c>
      <c r="D1357" s="6">
        <f t="shared" si="140"/>
        <v>1.1487044066677665E-2</v>
      </c>
      <c r="E1357" s="14">
        <f t="shared" si="141"/>
        <v>3.1954045291417084E-4</v>
      </c>
      <c r="F1357" s="9">
        <f t="shared" si="142"/>
        <v>17.101209896396153</v>
      </c>
      <c r="G1357" s="9">
        <f t="shared" si="143"/>
        <v>-6.2169880973328033E-2</v>
      </c>
      <c r="H1357" s="9">
        <f t="shared" si="144"/>
        <v>-7.6349731497960252E-3</v>
      </c>
      <c r="I1357" s="9">
        <f t="shared" si="145"/>
        <v>-6.4231161448774596E-2</v>
      </c>
      <c r="J1357" s="9">
        <f t="shared" si="146"/>
        <v>16.967173880824255</v>
      </c>
    </row>
    <row r="1358" spans="2:10" x14ac:dyDescent="0.25">
      <c r="B1358" s="1">
        <v>42310</v>
      </c>
      <c r="C1358" s="13">
        <v>30.295000000000002</v>
      </c>
      <c r="D1358" s="6">
        <f t="shared" si="140"/>
        <v>1.4058577405857697E-2</v>
      </c>
      <c r="E1358" s="14">
        <f t="shared" si="141"/>
        <v>3.1843307294124996E-4</v>
      </c>
      <c r="F1358" s="9">
        <f t="shared" si="142"/>
        <v>17.104681454510064</v>
      </c>
      <c r="G1358" s="9">
        <f t="shared" si="143"/>
        <v>-0.15309538121620886</v>
      </c>
      <c r="H1358" s="9">
        <f t="shared" si="144"/>
        <v>-7.0149184462619141E-4</v>
      </c>
      <c r="I1358" s="9">
        <f t="shared" si="145"/>
        <v>-2.0142610368513898E-3</v>
      </c>
      <c r="J1358" s="9">
        <f t="shared" si="146"/>
        <v>16.948870320412379</v>
      </c>
    </row>
    <row r="1359" spans="2:10" x14ac:dyDescent="0.25">
      <c r="B1359" s="1">
        <v>42307</v>
      </c>
      <c r="C1359" s="13">
        <v>29.875</v>
      </c>
      <c r="D1359" s="6">
        <f t="shared" si="140"/>
        <v>-8.5620416155045564E-3</v>
      </c>
      <c r="E1359" s="14">
        <f t="shared" si="141"/>
        <v>3.1682751758252295E-4</v>
      </c>
      <c r="F1359" s="9">
        <f t="shared" si="142"/>
        <v>17.109736258164851</v>
      </c>
      <c r="G1359" s="9">
        <f t="shared" si="143"/>
        <v>-0.24460114362615187</v>
      </c>
      <c r="H1359" s="9">
        <f t="shared" si="144"/>
        <v>-2.3342647352044745E-3</v>
      </c>
      <c r="I1359" s="9">
        <f t="shared" si="145"/>
        <v>-5.1482503412654465E-3</v>
      </c>
      <c r="J1359" s="9">
        <f t="shared" si="146"/>
        <v>16.857652599462231</v>
      </c>
    </row>
    <row r="1360" spans="2:10" x14ac:dyDescent="0.25">
      <c r="B1360" s="1">
        <v>42306</v>
      </c>
      <c r="C1360" s="13">
        <v>30.132999999999999</v>
      </c>
      <c r="D1360" s="6">
        <f t="shared" ref="D1360:D1423" si="147">C1360/C1361-1</f>
        <v>1.056408880541948E-2</v>
      </c>
      <c r="E1360" s="14">
        <f t="shared" ref="E1360:E1423" si="148">_xlfn.VAR.S(D1360:D1480)</f>
        <v>3.1707298857143961E-4</v>
      </c>
      <c r="F1360" s="9">
        <f t="shared" si="142"/>
        <v>17.10896178015512</v>
      </c>
      <c r="G1360" s="9">
        <f t="shared" si="143"/>
        <v>-0.16420653333516511</v>
      </c>
      <c r="H1360" s="9">
        <f t="shared" si="144"/>
        <v>-2.4865891655850149E-3</v>
      </c>
      <c r="I1360" s="9">
        <f t="shared" si="145"/>
        <v>-7.9345031285110127E-4</v>
      </c>
      <c r="J1360" s="9">
        <f t="shared" si="146"/>
        <v>16.941475207341519</v>
      </c>
    </row>
    <row r="1361" spans="2:10" x14ac:dyDescent="0.25">
      <c r="B1361" s="1">
        <v>42305</v>
      </c>
      <c r="C1361" s="13">
        <v>29.818000000000001</v>
      </c>
      <c r="D1361" s="6">
        <f t="shared" si="147"/>
        <v>4.1203994692366797E-2</v>
      </c>
      <c r="E1361" s="14">
        <f t="shared" si="148"/>
        <v>3.1913977056529204E-4</v>
      </c>
      <c r="F1361" s="9">
        <f t="shared" ref="F1361:F1424" si="149">LN(2*PI())-LN($C$6)-LN(E1361)-0.5*LN(1-POWER($C$7,2))</f>
        <v>17.102464616322386</v>
      </c>
      <c r="G1361" s="9">
        <f t="shared" ref="G1361:G1424" si="150">-POWER(D1360-1-$C$3,2)/(2*E1361*(1-POWER($C$7,2)))</f>
        <v>-0.12549620402716849</v>
      </c>
      <c r="H1361" s="9">
        <f t="shared" ref="H1361:H1424" si="151">$C$7*(D1360-1-$C$3)*(E1360-E1361-$C$5*$C$4)/(E1361*$C$6*(1-POWER($C$7,2)))</f>
        <v>5.9379480286571324E-3</v>
      </c>
      <c r="I1361" s="9">
        <f t="shared" ref="I1361:I1424" si="152">-POWER(E1360-E1361-$C$5*$C$4+$C$4*E1361,2)/(2*POWER($C$6,2)*E1361*(1-POWER($C$7,2)))</f>
        <v>-1.584673281428383E-2</v>
      </c>
      <c r="J1361" s="9">
        <f t="shared" ref="J1361:J1424" si="153">SUM(F1361:I1361)</f>
        <v>16.967059627509588</v>
      </c>
    </row>
    <row r="1362" spans="2:10" x14ac:dyDescent="0.25">
      <c r="B1362" s="1">
        <v>42304</v>
      </c>
      <c r="C1362" s="13">
        <v>28.638000000000002</v>
      </c>
      <c r="D1362" s="6">
        <f t="shared" si="147"/>
        <v>-6.3150589868146145E-3</v>
      </c>
      <c r="E1362" s="14">
        <f t="shared" si="148"/>
        <v>3.0475777456695431E-4</v>
      </c>
      <c r="F1362" s="9">
        <f t="shared" si="149"/>
        <v>17.148576496058531</v>
      </c>
      <c r="G1362" s="9">
        <f t="shared" si="150"/>
        <v>-2.5773680983528906</v>
      </c>
      <c r="H1362" s="9">
        <f t="shared" si="151"/>
        <v>-0.13040996660457874</v>
      </c>
      <c r="I1362" s="9">
        <f t="shared" si="152"/>
        <v>-0.60139221466337001</v>
      </c>
      <c r="J1362" s="9">
        <f t="shared" si="153"/>
        <v>13.839406216437693</v>
      </c>
    </row>
    <row r="1363" spans="2:10" x14ac:dyDescent="0.25">
      <c r="B1363" s="1">
        <v>42303</v>
      </c>
      <c r="C1363" s="13">
        <v>28.82</v>
      </c>
      <c r="D1363" s="6">
        <f t="shared" si="147"/>
        <v>-3.1911320120927122E-2</v>
      </c>
      <c r="E1363" s="14">
        <f t="shared" si="148"/>
        <v>3.0475289879546529E-4</v>
      </c>
      <c r="F1363" s="9">
        <f t="shared" si="149"/>
        <v>17.148592495028534</v>
      </c>
      <c r="G1363" s="9">
        <f t="shared" si="150"/>
        <v>-0.1038029725013994</v>
      </c>
      <c r="H1363" s="9">
        <f t="shared" si="151"/>
        <v>-1.5341612037176515E-3</v>
      </c>
      <c r="I1363" s="9">
        <f t="shared" si="152"/>
        <v>-2.5826892418834844E-4</v>
      </c>
      <c r="J1363" s="9">
        <f t="shared" si="153"/>
        <v>17.042997092399229</v>
      </c>
    </row>
    <row r="1364" spans="2:10" x14ac:dyDescent="0.25">
      <c r="B1364" s="1">
        <v>42300</v>
      </c>
      <c r="C1364" s="13">
        <v>29.77</v>
      </c>
      <c r="D1364" s="6">
        <f t="shared" si="147"/>
        <v>3.099567099567091E-2</v>
      </c>
      <c r="E1364" s="14">
        <f t="shared" si="148"/>
        <v>3.0058092360230206E-4</v>
      </c>
      <c r="F1364" s="9">
        <f t="shared" si="149"/>
        <v>17.162376761153912</v>
      </c>
      <c r="G1364" s="9">
        <f t="shared" si="150"/>
        <v>-1.8766509479321605</v>
      </c>
      <c r="H1364" s="9">
        <f t="shared" si="151"/>
        <v>2.7812272150970405E-2</v>
      </c>
      <c r="I1364" s="9">
        <f t="shared" si="152"/>
        <v>-4.5990141877213099E-2</v>
      </c>
      <c r="J1364" s="9">
        <f t="shared" si="153"/>
        <v>15.267547943495508</v>
      </c>
    </row>
    <row r="1365" spans="2:10" x14ac:dyDescent="0.25">
      <c r="B1365" s="1">
        <v>42299</v>
      </c>
      <c r="C1365" s="13">
        <v>28.875</v>
      </c>
      <c r="D1365" s="6">
        <f t="shared" si="147"/>
        <v>1.5295358649789037E-2</v>
      </c>
      <c r="E1365" s="14">
        <f t="shared" si="148"/>
        <v>2.9226159921509094E-4</v>
      </c>
      <c r="F1365" s="9">
        <f t="shared" si="149"/>
        <v>17.190444486465548</v>
      </c>
      <c r="G1365" s="9">
        <f t="shared" si="150"/>
        <v>-1.4799252765175592</v>
      </c>
      <c r="H1365" s="9">
        <f t="shared" si="151"/>
        <v>-5.5862943970018356E-2</v>
      </c>
      <c r="I1365" s="9">
        <f t="shared" si="152"/>
        <v>-0.20239407851001928</v>
      </c>
      <c r="J1365" s="9">
        <f t="shared" si="153"/>
        <v>15.452262187467952</v>
      </c>
    </row>
    <row r="1366" spans="2:10" x14ac:dyDescent="0.25">
      <c r="B1366" s="1">
        <v>42298</v>
      </c>
      <c r="C1366" s="13">
        <v>28.44</v>
      </c>
      <c r="D1366" s="6">
        <f t="shared" si="147"/>
        <v>-1.0547410610695085E-4</v>
      </c>
      <c r="E1366" s="14">
        <f t="shared" si="148"/>
        <v>2.9817101670680338E-4</v>
      </c>
      <c r="F1366" s="9">
        <f t="shared" si="149"/>
        <v>17.170426571924054</v>
      </c>
      <c r="G1366" s="9">
        <f t="shared" si="150"/>
        <v>-0.31419437942927525</v>
      </c>
      <c r="H1366" s="9">
        <f t="shared" si="151"/>
        <v>2.2744837376276118E-2</v>
      </c>
      <c r="I1366" s="9">
        <f t="shared" si="152"/>
        <v>-0.11975414258441451</v>
      </c>
      <c r="J1366" s="9">
        <f t="shared" si="153"/>
        <v>16.75922288728664</v>
      </c>
    </row>
    <row r="1367" spans="2:10" x14ac:dyDescent="0.25">
      <c r="B1367" s="1">
        <v>42297</v>
      </c>
      <c r="C1367" s="13">
        <v>28.443000000000001</v>
      </c>
      <c r="D1367" s="6">
        <f t="shared" si="147"/>
        <v>1.8257974438835811E-2</v>
      </c>
      <c r="E1367" s="14">
        <f t="shared" si="148"/>
        <v>3.0395921194886614E-4</v>
      </c>
      <c r="F1367" s="9">
        <f t="shared" si="149"/>
        <v>17.151200254205236</v>
      </c>
      <c r="G1367" s="9">
        <f t="shared" si="150"/>
        <v>-4.9538896258418726E-3</v>
      </c>
      <c r="H1367" s="9">
        <f t="shared" si="151"/>
        <v>-2.7775677936333503E-3</v>
      </c>
      <c r="I1367" s="9">
        <f t="shared" si="152"/>
        <v>-0.11258271999882552</v>
      </c>
      <c r="J1367" s="9">
        <f t="shared" si="153"/>
        <v>17.030886076786935</v>
      </c>
    </row>
    <row r="1368" spans="2:10" x14ac:dyDescent="0.25">
      <c r="B1368" s="1">
        <v>42296</v>
      </c>
      <c r="C1368" s="13">
        <v>27.933</v>
      </c>
      <c r="D1368" s="6">
        <f t="shared" si="147"/>
        <v>6.2319884726225183E-3</v>
      </c>
      <c r="E1368" s="14">
        <f t="shared" si="148"/>
        <v>3.0243439921518025E-4</v>
      </c>
      <c r="F1368" s="9">
        <f t="shared" si="149"/>
        <v>17.15622938353453</v>
      </c>
      <c r="G1368" s="9">
        <f t="shared" si="150"/>
        <v>-0.45860550135324518</v>
      </c>
      <c r="H1368" s="9">
        <f t="shared" si="151"/>
        <v>-2.9431174454724179E-3</v>
      </c>
      <c r="I1368" s="9">
        <f t="shared" si="152"/>
        <v>-4.5778978783542227E-3</v>
      </c>
      <c r="J1368" s="9">
        <f t="shared" si="153"/>
        <v>16.690102866857458</v>
      </c>
    </row>
    <row r="1369" spans="2:10" x14ac:dyDescent="0.25">
      <c r="B1369" s="1">
        <v>42293</v>
      </c>
      <c r="C1369" s="13">
        <v>27.76</v>
      </c>
      <c r="D1369" s="6">
        <f t="shared" si="147"/>
        <v>-7.330591811192555E-3</v>
      </c>
      <c r="E1369" s="14">
        <f t="shared" si="148"/>
        <v>3.0373357252026724E-4</v>
      </c>
      <c r="F1369" s="9">
        <f t="shared" si="149"/>
        <v>17.151942864434403</v>
      </c>
      <c r="G1369" s="9">
        <f t="shared" si="150"/>
        <v>-3.5006748501662362E-2</v>
      </c>
      <c r="H1369" s="9">
        <f t="shared" si="151"/>
        <v>2.3542315349930373E-3</v>
      </c>
      <c r="I1369" s="9">
        <f t="shared" si="152"/>
        <v>-7.7632018915085813E-3</v>
      </c>
      <c r="J1369" s="9">
        <f t="shared" si="153"/>
        <v>17.111527145576229</v>
      </c>
    </row>
    <row r="1370" spans="2:10" x14ac:dyDescent="0.25">
      <c r="B1370" s="1">
        <v>42292</v>
      </c>
      <c r="C1370" s="13">
        <v>27.965</v>
      </c>
      <c r="D1370" s="6">
        <f t="shared" si="147"/>
        <v>1.4952999673356837E-2</v>
      </c>
      <c r="E1370" s="14">
        <f t="shared" si="148"/>
        <v>3.0656401658311401E-4</v>
      </c>
      <c r="F1370" s="9">
        <f t="shared" si="149"/>
        <v>17.142667178581309</v>
      </c>
      <c r="G1370" s="9">
        <f t="shared" si="150"/>
        <v>-0.13126485193063434</v>
      </c>
      <c r="H1370" s="9">
        <f t="shared" si="151"/>
        <v>-7.8461919641836259E-3</v>
      </c>
      <c r="I1370" s="9">
        <f t="shared" si="152"/>
        <v>-2.9413322275666721E-2</v>
      </c>
      <c r="J1370" s="9">
        <f t="shared" si="153"/>
        <v>16.974142812410825</v>
      </c>
    </row>
    <row r="1371" spans="2:10" x14ac:dyDescent="0.25">
      <c r="B1371" s="1">
        <v>42291</v>
      </c>
      <c r="C1371" s="13">
        <v>27.553000000000001</v>
      </c>
      <c r="D1371" s="6">
        <f t="shared" si="147"/>
        <v>-1.4133390582510397E-2</v>
      </c>
      <c r="E1371" s="14">
        <f t="shared" si="148"/>
        <v>3.046874264664419E-4</v>
      </c>
      <c r="F1371" s="9">
        <f t="shared" si="149"/>
        <v>17.148807355537635</v>
      </c>
      <c r="G1371" s="9">
        <f t="shared" si="150"/>
        <v>-0.29226418626634787</v>
      </c>
      <c r="H1371" s="9">
        <f t="shared" si="151"/>
        <v>-3.4784163532012432E-3</v>
      </c>
      <c r="I1371" s="9">
        <f t="shared" si="152"/>
        <v>-7.5663797236106339E-3</v>
      </c>
      <c r="J1371" s="9">
        <f t="shared" si="153"/>
        <v>16.845498373194477</v>
      </c>
    </row>
    <row r="1372" spans="2:10" x14ac:dyDescent="0.25">
      <c r="B1372" s="1">
        <v>42290</v>
      </c>
      <c r="C1372" s="13">
        <v>27.948</v>
      </c>
      <c r="D1372" s="6">
        <f t="shared" si="147"/>
        <v>1.7204301075268713E-3</v>
      </c>
      <c r="E1372" s="14">
        <f t="shared" si="148"/>
        <v>3.039889995620347E-4</v>
      </c>
      <c r="F1372" s="9">
        <f t="shared" si="149"/>
        <v>17.151102260288557</v>
      </c>
      <c r="G1372" s="9">
        <f t="shared" si="150"/>
        <v>-0.40977794461632999</v>
      </c>
      <c r="H1372" s="9">
        <f t="shared" si="151"/>
        <v>-3.9316924554732218E-4</v>
      </c>
      <c r="I1372" s="9">
        <f t="shared" si="152"/>
        <v>-4.8720341387637687E-4</v>
      </c>
      <c r="J1372" s="9">
        <f t="shared" si="153"/>
        <v>16.740443943012803</v>
      </c>
    </row>
    <row r="1373" spans="2:10" x14ac:dyDescent="0.25">
      <c r="B1373" s="1">
        <v>42289</v>
      </c>
      <c r="C1373" s="13">
        <v>27.9</v>
      </c>
      <c r="D1373" s="6">
        <f t="shared" si="147"/>
        <v>-4.6378879771674653E-3</v>
      </c>
      <c r="E1373" s="14">
        <f t="shared" si="148"/>
        <v>3.0566115274944687E-4</v>
      </c>
      <c r="F1373" s="9">
        <f t="shared" si="149"/>
        <v>17.145616630950844</v>
      </c>
      <c r="G1373" s="9">
        <f t="shared" si="150"/>
        <v>-1.4214707028681117E-5</v>
      </c>
      <c r="H1373" s="9">
        <f t="shared" si="151"/>
        <v>5.5688419939548582E-5</v>
      </c>
      <c r="I1373" s="9">
        <f t="shared" si="152"/>
        <v>-1.1698657252477701E-2</v>
      </c>
      <c r="J1373" s="9">
        <f t="shared" si="153"/>
        <v>17.133959447411279</v>
      </c>
    </row>
    <row r="1374" spans="2:10" x14ac:dyDescent="0.25">
      <c r="B1374" s="1">
        <v>42286</v>
      </c>
      <c r="C1374" s="13">
        <v>28.03</v>
      </c>
      <c r="D1374" s="6">
        <f t="shared" si="147"/>
        <v>2.3926940639269478E-2</v>
      </c>
      <c r="E1374" s="14">
        <f t="shared" si="148"/>
        <v>3.0571269797602943E-4</v>
      </c>
      <c r="F1374" s="9">
        <f t="shared" si="149"/>
        <v>17.145448009978118</v>
      </c>
      <c r="G1374" s="9">
        <f t="shared" si="150"/>
        <v>-6.4389458453133583E-2</v>
      </c>
      <c r="H1374" s="9">
        <f t="shared" si="151"/>
        <v>-1.2918968197886353E-3</v>
      </c>
      <c r="I1374" s="9">
        <f t="shared" si="152"/>
        <v>-3.6327355251453662E-4</v>
      </c>
      <c r="J1374" s="9">
        <f t="shared" si="153"/>
        <v>17.079403381152677</v>
      </c>
    </row>
    <row r="1375" spans="2:10" x14ac:dyDescent="0.25">
      <c r="B1375" s="1">
        <v>42285</v>
      </c>
      <c r="C1375" s="13">
        <v>27.375</v>
      </c>
      <c r="D1375" s="6">
        <f t="shared" si="147"/>
        <v>-1.1554432207979803E-2</v>
      </c>
      <c r="E1375" s="14">
        <f t="shared" si="148"/>
        <v>3.0526817485528664E-4</v>
      </c>
      <c r="F1375" s="9">
        <f t="shared" si="149"/>
        <v>17.146903123285075</v>
      </c>
      <c r="G1375" s="9">
        <f t="shared" si="150"/>
        <v>-0.81689374338675025</v>
      </c>
      <c r="H1375" s="9">
        <f t="shared" si="151"/>
        <v>1.9254041637227397E-3</v>
      </c>
      <c r="I1375" s="9">
        <f t="shared" si="152"/>
        <v>-6.683486307500482E-5</v>
      </c>
      <c r="J1375" s="9">
        <f t="shared" si="153"/>
        <v>16.331867949198973</v>
      </c>
    </row>
    <row r="1376" spans="2:10" x14ac:dyDescent="0.25">
      <c r="B1376" s="1">
        <v>42284</v>
      </c>
      <c r="C1376" s="13">
        <v>27.695</v>
      </c>
      <c r="D1376" s="6">
        <f t="shared" si="147"/>
        <v>-4.779358919074328E-3</v>
      </c>
      <c r="E1376" s="14">
        <f t="shared" si="148"/>
        <v>3.0521577990574351E-4</v>
      </c>
      <c r="F1376" s="9">
        <f t="shared" si="149"/>
        <v>17.147074773823185</v>
      </c>
      <c r="G1376" s="9">
        <f t="shared" si="150"/>
        <v>-0.2854923490541571</v>
      </c>
      <c r="H1376" s="9">
        <f t="shared" si="151"/>
        <v>-2.3905901837742048E-3</v>
      </c>
      <c r="I1376" s="9">
        <f t="shared" si="152"/>
        <v>-1.7961656397025375E-4</v>
      </c>
      <c r="J1376" s="9">
        <f t="shared" si="153"/>
        <v>16.859012218021284</v>
      </c>
    </row>
    <row r="1377" spans="2:10" x14ac:dyDescent="0.25">
      <c r="B1377" s="1">
        <v>42283</v>
      </c>
      <c r="C1377" s="13">
        <v>27.827999999999999</v>
      </c>
      <c r="D1377" s="6">
        <f t="shared" si="147"/>
        <v>4.8023108864416741E-3</v>
      </c>
      <c r="E1377" s="14">
        <f t="shared" si="148"/>
        <v>3.0521683308671753E-4</v>
      </c>
      <c r="F1377" s="9">
        <f t="shared" si="149"/>
        <v>17.147071323217986</v>
      </c>
      <c r="G1377" s="9">
        <f t="shared" si="150"/>
        <v>-6.7439542305000655E-2</v>
      </c>
      <c r="H1377" s="9">
        <f t="shared" si="151"/>
        <v>-1.2448455702183802E-3</v>
      </c>
      <c r="I1377" s="9">
        <f t="shared" si="152"/>
        <v>-2.6707684211140604E-4</v>
      </c>
      <c r="J1377" s="9">
        <f t="shared" si="153"/>
        <v>17.078119858500656</v>
      </c>
    </row>
    <row r="1378" spans="2:10" x14ac:dyDescent="0.25">
      <c r="B1378" s="1">
        <v>42282</v>
      </c>
      <c r="C1378" s="13">
        <v>27.695</v>
      </c>
      <c r="D1378" s="6">
        <f t="shared" si="147"/>
        <v>3.6238448994383443E-3</v>
      </c>
      <c r="E1378" s="14">
        <f t="shared" si="148"/>
        <v>3.0512953489290624E-4</v>
      </c>
      <c r="F1378" s="9">
        <f t="shared" si="149"/>
        <v>17.147357384376001</v>
      </c>
      <c r="G1378" s="9">
        <f t="shared" si="150"/>
        <v>-1.6567085379522856E-2</v>
      </c>
      <c r="H1378" s="9">
        <f t="shared" si="151"/>
        <v>5.4910564901862957E-4</v>
      </c>
      <c r="I1378" s="9">
        <f t="shared" si="152"/>
        <v>-1.3205111480933717E-4</v>
      </c>
      <c r="J1378" s="9">
        <f t="shared" si="153"/>
        <v>17.131207353530684</v>
      </c>
    </row>
    <row r="1379" spans="2:10" x14ac:dyDescent="0.25">
      <c r="B1379" s="1">
        <v>42279</v>
      </c>
      <c r="C1379" s="13">
        <v>27.594999999999999</v>
      </c>
      <c r="D1379" s="6">
        <f t="shared" si="147"/>
        <v>7.3006022996897624E-3</v>
      </c>
      <c r="E1379" s="14">
        <f t="shared" si="148"/>
        <v>3.0504976057869817E-4</v>
      </c>
      <c r="F1379" s="9">
        <f t="shared" si="149"/>
        <v>17.147618862650518</v>
      </c>
      <c r="G1379" s="9">
        <f t="shared" si="150"/>
        <v>-6.5526883460221459E-3</v>
      </c>
      <c r="H1379" s="9">
        <f t="shared" si="151"/>
        <v>3.49022867454148E-4</v>
      </c>
      <c r="I1379" s="9">
        <f t="shared" si="152"/>
        <v>-1.4194724254613562E-4</v>
      </c>
      <c r="J1379" s="9">
        <f t="shared" si="153"/>
        <v>17.141273249929402</v>
      </c>
    </row>
    <row r="1380" spans="2:10" x14ac:dyDescent="0.25">
      <c r="B1380" s="1">
        <v>42278</v>
      </c>
      <c r="C1380" s="13">
        <v>27.395</v>
      </c>
      <c r="D1380" s="6">
        <f t="shared" si="147"/>
        <v>-6.5276518585675181E-3</v>
      </c>
      <c r="E1380" s="14">
        <f t="shared" si="148"/>
        <v>3.0447770895395218E-4</v>
      </c>
      <c r="F1380" s="9">
        <f t="shared" si="149"/>
        <v>17.149495896324296</v>
      </c>
      <c r="G1380" s="9">
        <f t="shared" si="150"/>
        <v>-5.3010530136979615E-2</v>
      </c>
      <c r="H1380" s="9">
        <f t="shared" si="151"/>
        <v>3.1541231947875258E-4</v>
      </c>
      <c r="I1380" s="9">
        <f t="shared" si="152"/>
        <v>-2.2917190928568932E-4</v>
      </c>
      <c r="J1380" s="9">
        <f t="shared" si="153"/>
        <v>17.096571606597511</v>
      </c>
    </row>
    <row r="1381" spans="2:10" x14ac:dyDescent="0.25">
      <c r="B1381" s="1">
        <v>42277</v>
      </c>
      <c r="C1381" s="13">
        <v>27.574999999999999</v>
      </c>
      <c r="D1381" s="6">
        <f t="shared" si="147"/>
        <v>1.1369888134971529E-2</v>
      </c>
      <c r="E1381" s="14">
        <f t="shared" si="148"/>
        <v>3.0445942293215835E-4</v>
      </c>
      <c r="F1381" s="9">
        <f t="shared" si="149"/>
        <v>17.149555955141018</v>
      </c>
      <c r="G1381" s="9">
        <f t="shared" si="150"/>
        <v>-0.10953977736139817</v>
      </c>
      <c r="H1381" s="9">
        <f t="shared" si="151"/>
        <v>-1.5501843253089671E-3</v>
      </c>
      <c r="I1381" s="9">
        <f t="shared" si="152"/>
        <v>-2.3613068733216458E-4</v>
      </c>
      <c r="J1381" s="9">
        <f t="shared" si="153"/>
        <v>17.038229862766979</v>
      </c>
    </row>
    <row r="1382" spans="2:10" x14ac:dyDescent="0.25">
      <c r="B1382" s="1">
        <v>42276</v>
      </c>
      <c r="C1382" s="13">
        <v>27.265000000000001</v>
      </c>
      <c r="D1382" s="6">
        <f t="shared" si="147"/>
        <v>-3.0060476698683725E-2</v>
      </c>
      <c r="E1382" s="14">
        <f t="shared" si="148"/>
        <v>3.0380688686106489E-4</v>
      </c>
      <c r="F1382" s="9">
        <f t="shared" si="149"/>
        <v>17.15170151642203</v>
      </c>
      <c r="G1382" s="9">
        <f t="shared" si="150"/>
        <v>-0.15667510445677513</v>
      </c>
      <c r="H1382" s="9">
        <f t="shared" si="151"/>
        <v>3.5200076208640049E-4</v>
      </c>
      <c r="I1382" s="9">
        <f t="shared" si="152"/>
        <v>-3.8150329068034936E-4</v>
      </c>
      <c r="J1382" s="9">
        <f t="shared" si="153"/>
        <v>16.994996909436662</v>
      </c>
    </row>
    <row r="1383" spans="2:10" x14ac:dyDescent="0.25">
      <c r="B1383" s="1">
        <v>42275</v>
      </c>
      <c r="C1383" s="13">
        <v>28.11</v>
      </c>
      <c r="D1383" s="6">
        <f t="shared" si="147"/>
        <v>-1.9806123160610922E-2</v>
      </c>
      <c r="E1383" s="14">
        <f t="shared" si="148"/>
        <v>2.96769482149277E-4</v>
      </c>
      <c r="F1383" s="9">
        <f t="shared" si="149"/>
        <v>17.175138092329455</v>
      </c>
      <c r="G1383" s="9">
        <f t="shared" si="150"/>
        <v>-1.696754106950578</v>
      </c>
      <c r="H1383" s="9">
        <f t="shared" si="151"/>
        <v>4.9238300878509889E-2</v>
      </c>
      <c r="I1383" s="9">
        <f t="shared" si="152"/>
        <v>-0.14088456721461964</v>
      </c>
      <c r="J1383" s="9">
        <f t="shared" si="153"/>
        <v>15.386737719042767</v>
      </c>
    </row>
    <row r="1384" spans="2:10" x14ac:dyDescent="0.25">
      <c r="B1384" s="1">
        <v>42272</v>
      </c>
      <c r="C1384" s="13">
        <v>28.678000000000001</v>
      </c>
      <c r="D1384" s="6">
        <f t="shared" si="147"/>
        <v>-2.5043478260868834E-3</v>
      </c>
      <c r="E1384" s="14">
        <f t="shared" si="148"/>
        <v>2.9453992815683743E-4</v>
      </c>
      <c r="F1384" s="9">
        <f t="shared" si="149"/>
        <v>17.182679202007364</v>
      </c>
      <c r="G1384" s="9">
        <f t="shared" si="150"/>
        <v>-0.78215738495658871</v>
      </c>
      <c r="H1384" s="9">
        <f t="shared" si="151"/>
        <v>7.6867771804599938E-3</v>
      </c>
      <c r="I1384" s="9">
        <f t="shared" si="152"/>
        <v>-1.1512822459268117E-2</v>
      </c>
      <c r="J1384" s="9">
        <f t="shared" si="153"/>
        <v>16.39669577177197</v>
      </c>
    </row>
    <row r="1385" spans="2:10" x14ac:dyDescent="0.25">
      <c r="B1385" s="1">
        <v>42271</v>
      </c>
      <c r="C1385" s="13">
        <v>28.75</v>
      </c>
      <c r="D1385" s="6">
        <f t="shared" si="147"/>
        <v>5.9482155353394184E-3</v>
      </c>
      <c r="E1385" s="14">
        <f t="shared" si="148"/>
        <v>2.9687809268215859E-4</v>
      </c>
      <c r="F1385" s="9">
        <f t="shared" si="149"/>
        <v>17.174772183198524</v>
      </c>
      <c r="G1385" s="9">
        <f t="shared" si="150"/>
        <v>-2.8835797925528161E-2</v>
      </c>
      <c r="H1385" s="9">
        <f t="shared" si="151"/>
        <v>-3.2304024020131375E-3</v>
      </c>
      <c r="I1385" s="9">
        <f t="shared" si="152"/>
        <v>-2.181867244382275E-2</v>
      </c>
      <c r="J1385" s="9">
        <f t="shared" si="153"/>
        <v>17.120887310427161</v>
      </c>
    </row>
    <row r="1386" spans="2:10" x14ac:dyDescent="0.25">
      <c r="B1386" s="1">
        <v>42270</v>
      </c>
      <c r="C1386" s="13">
        <v>28.58</v>
      </c>
      <c r="D1386" s="6">
        <f t="shared" si="147"/>
        <v>8.112874779541368E-3</v>
      </c>
      <c r="E1386" s="14">
        <f t="shared" si="148"/>
        <v>2.9722324803186777E-4</v>
      </c>
      <c r="F1386" s="9">
        <f t="shared" si="149"/>
        <v>17.173610242078759</v>
      </c>
      <c r="G1386" s="9">
        <f t="shared" si="150"/>
        <v>-3.150012222542687E-2</v>
      </c>
      <c r="H1386" s="9">
        <f t="shared" si="151"/>
        <v>1.2320264743535452E-3</v>
      </c>
      <c r="I1386" s="9">
        <f t="shared" si="152"/>
        <v>-1.3309416425918185E-3</v>
      </c>
      <c r="J1386" s="9">
        <f t="shared" si="153"/>
        <v>17.142011204685094</v>
      </c>
    </row>
    <row r="1387" spans="2:10" x14ac:dyDescent="0.25">
      <c r="B1387" s="1">
        <v>42269</v>
      </c>
      <c r="C1387" s="13">
        <v>28.35</v>
      </c>
      <c r="D1387" s="6">
        <f t="shared" si="147"/>
        <v>-1.5727528382460165E-2</v>
      </c>
      <c r="E1387" s="14">
        <f t="shared" si="148"/>
        <v>2.9659982310907632E-4</v>
      </c>
      <c r="F1387" s="9">
        <f t="shared" si="149"/>
        <v>17.175709942080768</v>
      </c>
      <c r="G1387" s="9">
        <f t="shared" si="150"/>
        <v>-7.111689556367938E-2</v>
      </c>
      <c r="H1387" s="9">
        <f t="shared" si="151"/>
        <v>2.8708601009143006E-4</v>
      </c>
      <c r="I1387" s="9">
        <f t="shared" si="152"/>
        <v>-3.0547469433201302E-4</v>
      </c>
      <c r="J1387" s="9">
        <f t="shared" si="153"/>
        <v>17.104574657832845</v>
      </c>
    </row>
    <row r="1388" spans="2:10" x14ac:dyDescent="0.25">
      <c r="B1388" s="1">
        <v>42268</v>
      </c>
      <c r="C1388" s="13">
        <v>28.803000000000001</v>
      </c>
      <c r="D1388" s="6">
        <f t="shared" si="147"/>
        <v>1.5513168564679436E-2</v>
      </c>
      <c r="E1388" s="14">
        <f t="shared" si="148"/>
        <v>2.9650630668501602E-4</v>
      </c>
      <c r="F1388" s="9">
        <f t="shared" si="149"/>
        <v>17.176025286738792</v>
      </c>
      <c r="G1388" s="9">
        <f t="shared" si="150"/>
        <v>-0.509404088663993</v>
      </c>
      <c r="H1388" s="9">
        <f t="shared" si="151"/>
        <v>-3.0618838155855792E-3</v>
      </c>
      <c r="I1388" s="9">
        <f t="shared" si="152"/>
        <v>-1.4656819942915345E-4</v>
      </c>
      <c r="J1388" s="9">
        <f t="shared" si="153"/>
        <v>16.663412746059784</v>
      </c>
    </row>
    <row r="1389" spans="2:10" x14ac:dyDescent="0.25">
      <c r="B1389" s="1">
        <v>42265</v>
      </c>
      <c r="C1389" s="13">
        <v>28.363</v>
      </c>
      <c r="D1389" s="6">
        <f t="shared" si="147"/>
        <v>-4.1081460674157189E-3</v>
      </c>
      <c r="E1389" s="14">
        <f t="shared" si="148"/>
        <v>2.9993483989394076E-4</v>
      </c>
      <c r="F1389" s="9">
        <f t="shared" si="149"/>
        <v>17.164528524677603</v>
      </c>
      <c r="G1389" s="9">
        <f t="shared" si="150"/>
        <v>-0.32238097467209181</v>
      </c>
      <c r="H1389" s="9">
        <f t="shared" si="151"/>
        <v>1.4478710488979451E-2</v>
      </c>
      <c r="I1389" s="9">
        <f t="shared" si="152"/>
        <v>-4.2927535407488636E-2</v>
      </c>
      <c r="J1389" s="9">
        <f t="shared" si="153"/>
        <v>16.813698725087001</v>
      </c>
    </row>
    <row r="1390" spans="2:10" x14ac:dyDescent="0.25">
      <c r="B1390" s="1">
        <v>42264</v>
      </c>
      <c r="C1390" s="13">
        <v>28.48</v>
      </c>
      <c r="D1390" s="6">
        <f t="shared" si="147"/>
        <v>-2.1406727828746197E-2</v>
      </c>
      <c r="E1390" s="14">
        <f t="shared" si="148"/>
        <v>3.0028589156618504E-4</v>
      </c>
      <c r="F1390" s="9">
        <f t="shared" si="149"/>
        <v>17.163358782634809</v>
      </c>
      <c r="G1390" s="9">
        <f t="shared" si="150"/>
        <v>-5.4936392343254446E-2</v>
      </c>
      <c r="H1390" s="9">
        <f t="shared" si="151"/>
        <v>-1.6270332049799759E-3</v>
      </c>
      <c r="I1390" s="9">
        <f t="shared" si="152"/>
        <v>-1.3207076724352552E-3</v>
      </c>
      <c r="J1390" s="9">
        <f t="shared" si="153"/>
        <v>17.105474649414141</v>
      </c>
    </row>
    <row r="1391" spans="2:10" x14ac:dyDescent="0.25">
      <c r="B1391" s="1">
        <v>42263</v>
      </c>
      <c r="C1391" s="13">
        <v>29.103000000000002</v>
      </c>
      <c r="D1391" s="6">
        <f t="shared" si="147"/>
        <v>1.1351909184726949E-3</v>
      </c>
      <c r="E1391" s="14">
        <f t="shared" si="148"/>
        <v>2.970847190737731E-4</v>
      </c>
      <c r="F1391" s="9">
        <f t="shared" si="149"/>
        <v>17.174076427855397</v>
      </c>
      <c r="G1391" s="9">
        <f t="shared" si="150"/>
        <v>-0.89560100678558241</v>
      </c>
      <c r="H1391" s="9">
        <f t="shared" si="151"/>
        <v>1.3760375315137555E-2</v>
      </c>
      <c r="I1391" s="9">
        <f t="shared" si="152"/>
        <v>-2.6002579990103455E-2</v>
      </c>
      <c r="J1391" s="9">
        <f t="shared" si="153"/>
        <v>16.266233216394848</v>
      </c>
    </row>
    <row r="1392" spans="2:10" x14ac:dyDescent="0.25">
      <c r="B1392" s="1">
        <v>42262</v>
      </c>
      <c r="C1392" s="13">
        <v>29.07</v>
      </c>
      <c r="D1392" s="6">
        <f t="shared" si="147"/>
        <v>8.3946163452199851E-3</v>
      </c>
      <c r="E1392" s="14">
        <f t="shared" si="148"/>
        <v>3.0256670321151738E-4</v>
      </c>
      <c r="F1392" s="9">
        <f t="shared" si="149"/>
        <v>17.155792015741589</v>
      </c>
      <c r="G1392" s="9">
        <f t="shared" si="150"/>
        <v>-4.0145885319356868E-4</v>
      </c>
      <c r="H1392" s="9">
        <f t="shared" si="151"/>
        <v>-7.5568821448098822E-4</v>
      </c>
      <c r="I1392" s="9">
        <f t="shared" si="152"/>
        <v>-0.10208788045044538</v>
      </c>
      <c r="J1392" s="9">
        <f t="shared" si="153"/>
        <v>17.052546988223469</v>
      </c>
    </row>
    <row r="1393" spans="2:10" x14ac:dyDescent="0.25">
      <c r="B1393" s="1">
        <v>42261</v>
      </c>
      <c r="C1393" s="13">
        <v>28.827999999999999</v>
      </c>
      <c r="D1393" s="6">
        <f t="shared" si="147"/>
        <v>9.63121213182494E-3</v>
      </c>
      <c r="E1393" s="14">
        <f t="shared" si="148"/>
        <v>3.0199191151453745E-4</v>
      </c>
      <c r="F1393" s="9">
        <f t="shared" si="149"/>
        <v>17.157693541437112</v>
      </c>
      <c r="G1393" s="9">
        <f t="shared" si="150"/>
        <v>-7.6047449599522476E-2</v>
      </c>
      <c r="H1393" s="9">
        <f t="shared" si="151"/>
        <v>3.7479225955041386E-4</v>
      </c>
      <c r="I1393" s="9">
        <f t="shared" si="152"/>
        <v>-2.287558898772421E-4</v>
      </c>
      <c r="J1393" s="9">
        <f t="shared" si="153"/>
        <v>17.081792128207262</v>
      </c>
    </row>
    <row r="1394" spans="2:10" x14ac:dyDescent="0.25">
      <c r="B1394" s="1">
        <v>42258</v>
      </c>
      <c r="C1394" s="13">
        <v>28.553000000000001</v>
      </c>
      <c r="D1394" s="6">
        <f t="shared" si="147"/>
        <v>1.4568453967238826E-2</v>
      </c>
      <c r="E1394" s="14">
        <f t="shared" si="148"/>
        <v>3.0213253888553617E-4</v>
      </c>
      <c r="F1394" s="9">
        <f t="shared" si="149"/>
        <v>17.157227983807566</v>
      </c>
      <c r="G1394" s="9">
        <f t="shared" si="150"/>
        <v>-0.10632982519959977</v>
      </c>
      <c r="H1394" s="9">
        <f t="shared" si="151"/>
        <v>1.8444563944083055E-3</v>
      </c>
      <c r="I1394" s="9">
        <f t="shared" si="152"/>
        <v>-5.9661742106599861E-4</v>
      </c>
      <c r="J1394" s="9">
        <f t="shared" si="153"/>
        <v>17.052145997581309</v>
      </c>
    </row>
    <row r="1395" spans="2:10" x14ac:dyDescent="0.25">
      <c r="B1395" s="1">
        <v>42257</v>
      </c>
      <c r="C1395" s="13">
        <v>28.143000000000001</v>
      </c>
      <c r="D1395" s="6">
        <f t="shared" si="147"/>
        <v>2.1969641949306506E-2</v>
      </c>
      <c r="E1395" s="14">
        <f t="shared" si="148"/>
        <v>3.0132372340249886E-4</v>
      </c>
      <c r="F1395" s="9">
        <f t="shared" si="149"/>
        <v>17.159908595536724</v>
      </c>
      <c r="G1395" s="9">
        <f t="shared" si="150"/>
        <v>-0.27871649991132347</v>
      </c>
      <c r="H1395" s="9">
        <f t="shared" si="151"/>
        <v>-2.4869560403395125E-5</v>
      </c>
      <c r="I1395" s="9">
        <f t="shared" si="152"/>
        <v>-7.861377780926242E-4</v>
      </c>
      <c r="J1395" s="9">
        <f t="shared" si="153"/>
        <v>16.880381088286907</v>
      </c>
    </row>
    <row r="1396" spans="2:10" x14ac:dyDescent="0.25">
      <c r="B1396" s="1">
        <v>42256</v>
      </c>
      <c r="C1396" s="13">
        <v>27.538</v>
      </c>
      <c r="D1396" s="6">
        <f t="shared" si="147"/>
        <v>-1.9232139041242213E-2</v>
      </c>
      <c r="E1396" s="14">
        <f t="shared" si="148"/>
        <v>2.972894294697368E-4</v>
      </c>
      <c r="F1396" s="9">
        <f t="shared" si="149"/>
        <v>17.173387601113653</v>
      </c>
      <c r="G1396" s="9">
        <f t="shared" si="150"/>
        <v>-0.69802924986621429</v>
      </c>
      <c r="H1396" s="9">
        <f t="shared" si="151"/>
        <v>-1.6359205995784654E-2</v>
      </c>
      <c r="I1396" s="9">
        <f t="shared" si="152"/>
        <v>-4.3122043905847771E-2</v>
      </c>
      <c r="J1396" s="9">
        <f t="shared" si="153"/>
        <v>16.41587710134581</v>
      </c>
    </row>
    <row r="1397" spans="2:10" x14ac:dyDescent="0.25">
      <c r="B1397" s="1">
        <v>42255</v>
      </c>
      <c r="C1397" s="13">
        <v>28.077999999999999</v>
      </c>
      <c r="D1397" s="6">
        <f t="shared" si="147"/>
        <v>2.7820484662127498E-2</v>
      </c>
      <c r="E1397" s="14">
        <f t="shared" si="148"/>
        <v>2.9577266074291093E-4</v>
      </c>
      <c r="F1397" s="9">
        <f t="shared" si="149"/>
        <v>17.17850265418782</v>
      </c>
      <c r="G1397" s="9">
        <f t="shared" si="150"/>
        <v>-0.73773863252587502</v>
      </c>
      <c r="H1397" s="9">
        <f t="shared" si="151"/>
        <v>3.7326942048995725E-3</v>
      </c>
      <c r="I1397" s="9">
        <f t="shared" si="152"/>
        <v>-4.5363372863800426E-3</v>
      </c>
      <c r="J1397" s="9">
        <f t="shared" si="153"/>
        <v>16.439960378580462</v>
      </c>
    </row>
    <row r="1398" spans="2:10" x14ac:dyDescent="0.25">
      <c r="B1398" s="1">
        <v>42251</v>
      </c>
      <c r="C1398" s="13">
        <v>27.318000000000001</v>
      </c>
      <c r="D1398" s="6">
        <f t="shared" si="147"/>
        <v>-9.9662957996592416E-3</v>
      </c>
      <c r="E1398" s="14">
        <f t="shared" si="148"/>
        <v>2.9148010814838054E-4</v>
      </c>
      <c r="F1398" s="9">
        <f t="shared" si="149"/>
        <v>17.193122011554941</v>
      </c>
      <c r="G1398" s="9">
        <f t="shared" si="150"/>
        <v>-1.1803732020113233</v>
      </c>
      <c r="H1398" s="9">
        <f t="shared" si="151"/>
        <v>-2.320029981760429E-2</v>
      </c>
      <c r="I1398" s="9">
        <f t="shared" si="152"/>
        <v>-5.0048753902987533E-2</v>
      </c>
      <c r="J1398" s="9">
        <f t="shared" si="153"/>
        <v>15.939499755823023</v>
      </c>
    </row>
    <row r="1399" spans="2:10" x14ac:dyDescent="0.25">
      <c r="B1399" s="1">
        <v>42250</v>
      </c>
      <c r="C1399" s="13">
        <v>27.593</v>
      </c>
      <c r="D1399" s="6">
        <f t="shared" si="147"/>
        <v>-1.7518248175182549E-2</v>
      </c>
      <c r="E1399" s="14">
        <f t="shared" si="148"/>
        <v>2.9196752362420299E-4</v>
      </c>
      <c r="F1399" s="9">
        <f t="shared" si="149"/>
        <v>17.191451199771095</v>
      </c>
      <c r="G1399" s="9">
        <f t="shared" si="150"/>
        <v>-0.2308653164033771</v>
      </c>
      <c r="H1399" s="9">
        <f t="shared" si="151"/>
        <v>-3.7829490464578396E-3</v>
      </c>
      <c r="I1399" s="9">
        <f t="shared" si="152"/>
        <v>-2.0521149615096725E-3</v>
      </c>
      <c r="J1399" s="9">
        <f t="shared" si="153"/>
        <v>16.954750819359749</v>
      </c>
    </row>
    <row r="1400" spans="2:10" x14ac:dyDescent="0.25">
      <c r="B1400" s="1">
        <v>42249</v>
      </c>
      <c r="C1400" s="13">
        <v>28.085000000000001</v>
      </c>
      <c r="D1400" s="6">
        <f t="shared" si="147"/>
        <v>4.2888971407352372E-2</v>
      </c>
      <c r="E1400" s="14">
        <f t="shared" si="148"/>
        <v>2.8993981429330224E-4</v>
      </c>
      <c r="F1400" s="9">
        <f t="shared" si="149"/>
        <v>17.198420410866756</v>
      </c>
      <c r="G1400" s="9">
        <f t="shared" si="150"/>
        <v>-0.63399121662118396</v>
      </c>
      <c r="H1400" s="9">
        <f t="shared" si="151"/>
        <v>5.9896686805360807E-3</v>
      </c>
      <c r="I1400" s="9">
        <f t="shared" si="152"/>
        <v>-9.2780401938755974E-3</v>
      </c>
      <c r="J1400" s="9">
        <f t="shared" si="153"/>
        <v>16.561140822732231</v>
      </c>
    </row>
    <row r="1401" spans="2:10" x14ac:dyDescent="0.25">
      <c r="B1401" s="1">
        <v>42248</v>
      </c>
      <c r="C1401" s="13">
        <v>26.93</v>
      </c>
      <c r="D1401" s="6">
        <f t="shared" si="147"/>
        <v>-4.469670095778655E-2</v>
      </c>
      <c r="E1401" s="14">
        <f t="shared" si="148"/>
        <v>2.7700750143955325E-4</v>
      </c>
      <c r="F1401" s="9">
        <f t="shared" si="149"/>
        <v>17.244049188558989</v>
      </c>
      <c r="G1401" s="9">
        <f t="shared" si="150"/>
        <v>-3.0821540893966648</v>
      </c>
      <c r="H1401" s="9">
        <f t="shared" si="151"/>
        <v>-0.13361573556155038</v>
      </c>
      <c r="I1401" s="9">
        <f t="shared" si="152"/>
        <v>-0.52859058385720459</v>
      </c>
      <c r="J1401" s="9">
        <f t="shared" si="153"/>
        <v>13.49968877974357</v>
      </c>
    </row>
    <row r="1402" spans="2:10" x14ac:dyDescent="0.25">
      <c r="B1402" s="1">
        <v>42247</v>
      </c>
      <c r="C1402" s="13">
        <v>28.19</v>
      </c>
      <c r="D1402" s="6">
        <f t="shared" si="147"/>
        <v>-4.695830243971244E-3</v>
      </c>
      <c r="E1402" s="14">
        <f t="shared" si="148"/>
        <v>2.6348524939847847E-4</v>
      </c>
      <c r="F1402" s="9">
        <f t="shared" si="149"/>
        <v>17.294096388486771</v>
      </c>
      <c r="G1402" s="9">
        <f t="shared" si="150"/>
        <v>-4.084228239904709</v>
      </c>
      <c r="H1402" s="9">
        <f t="shared" si="151"/>
        <v>0.16537698676335649</v>
      </c>
      <c r="I1402" s="9">
        <f t="shared" si="152"/>
        <v>-0.60695345434543002</v>
      </c>
      <c r="J1402" s="9">
        <f t="shared" si="153"/>
        <v>12.768291680999988</v>
      </c>
    </row>
    <row r="1403" spans="2:10" x14ac:dyDescent="0.25">
      <c r="B1403" s="1">
        <v>42244</v>
      </c>
      <c r="C1403" s="13">
        <v>28.323</v>
      </c>
      <c r="D1403" s="6">
        <f t="shared" si="147"/>
        <v>3.2943676939425348E-3</v>
      </c>
      <c r="E1403" s="14">
        <f t="shared" si="148"/>
        <v>2.6666126268152325E-4</v>
      </c>
      <c r="F1403" s="9">
        <f t="shared" si="149"/>
        <v>17.282114601538666</v>
      </c>
      <c r="G1403" s="9">
        <f t="shared" si="150"/>
        <v>-7.5190729846412799E-2</v>
      </c>
      <c r="H1403" s="9">
        <f t="shared" si="151"/>
        <v>-6.9730908497600439E-3</v>
      </c>
      <c r="I1403" s="9">
        <f t="shared" si="152"/>
        <v>-4.3311174769017129E-2</v>
      </c>
      <c r="J1403" s="9">
        <f t="shared" si="153"/>
        <v>17.15663960607348</v>
      </c>
    </row>
    <row r="1404" spans="2:10" x14ac:dyDescent="0.25">
      <c r="B1404" s="1">
        <v>42243</v>
      </c>
      <c r="C1404" s="13">
        <v>28.23</v>
      </c>
      <c r="D1404" s="6">
        <f t="shared" si="147"/>
        <v>2.9427852532545762E-2</v>
      </c>
      <c r="E1404" s="14">
        <f t="shared" si="148"/>
        <v>2.6673563827455933E-4</v>
      </c>
      <c r="F1404" s="9">
        <f t="shared" si="149"/>
        <v>17.281835726301917</v>
      </c>
      <c r="G1404" s="9">
        <f t="shared" si="150"/>
        <v>-5.2246026663053512E-3</v>
      </c>
      <c r="H1404" s="9">
        <f t="shared" si="151"/>
        <v>4.0452047645227695E-4</v>
      </c>
      <c r="I1404" s="9">
        <f t="shared" si="152"/>
        <v>-6.5247535401954536E-4</v>
      </c>
      <c r="J1404" s="9">
        <f t="shared" si="153"/>
        <v>17.276363168758042</v>
      </c>
    </row>
    <row r="1405" spans="2:10" x14ac:dyDescent="0.25">
      <c r="B1405" s="1">
        <v>42242</v>
      </c>
      <c r="C1405" s="13">
        <v>27.422999999999998</v>
      </c>
      <c r="D1405" s="6">
        <f t="shared" si="147"/>
        <v>5.7374204742625778E-2</v>
      </c>
      <c r="E1405" s="14">
        <f t="shared" si="148"/>
        <v>2.5910563585849203E-4</v>
      </c>
      <c r="F1405" s="9">
        <f t="shared" si="149"/>
        <v>17.310857936384295</v>
      </c>
      <c r="G1405" s="9">
        <f t="shared" si="150"/>
        <v>-1.4958282908889975</v>
      </c>
      <c r="H1405" s="9">
        <f t="shared" si="151"/>
        <v>-5.4178695501728831E-2</v>
      </c>
      <c r="I1405" s="9">
        <f t="shared" si="152"/>
        <v>-0.18780489123566069</v>
      </c>
      <c r="J1405" s="9">
        <f t="shared" si="153"/>
        <v>15.573046058757907</v>
      </c>
    </row>
    <row r="1406" spans="2:10" x14ac:dyDescent="0.25">
      <c r="B1406" s="1">
        <v>42241</v>
      </c>
      <c r="C1406" s="13">
        <v>25.934999999999999</v>
      </c>
      <c r="D1406" s="6">
        <f t="shared" si="147"/>
        <v>6.012412723040983E-3</v>
      </c>
      <c r="E1406" s="14">
        <f t="shared" si="148"/>
        <v>2.3229677752275484E-4</v>
      </c>
      <c r="F1406" s="9">
        <f t="shared" si="149"/>
        <v>17.420078007758846</v>
      </c>
      <c r="G1406" s="9">
        <f t="shared" si="150"/>
        <v>-6.7088926741120867</v>
      </c>
      <c r="H1406" s="9">
        <f t="shared" si="151"/>
        <v>-0.46150510901061514</v>
      </c>
      <c r="I1406" s="9">
        <f t="shared" si="152"/>
        <v>-2.7700817688623007</v>
      </c>
      <c r="J1406" s="9">
        <f t="shared" si="153"/>
        <v>7.4795984557738446</v>
      </c>
    </row>
    <row r="1407" spans="2:10" x14ac:dyDescent="0.25">
      <c r="B1407" s="1">
        <v>42240</v>
      </c>
      <c r="C1407" s="13">
        <v>25.78</v>
      </c>
      <c r="D1407" s="6">
        <f t="shared" si="147"/>
        <v>-2.4962178517397904E-2</v>
      </c>
      <c r="E1407" s="14">
        <f t="shared" si="148"/>
        <v>2.319794628063759E-4</v>
      </c>
      <c r="F1407" s="9">
        <f t="shared" si="149"/>
        <v>17.421444930027199</v>
      </c>
      <c r="G1407" s="9">
        <f t="shared" si="150"/>
        <v>-4.1567661206980758E-2</v>
      </c>
      <c r="H1407" s="9">
        <f t="shared" si="151"/>
        <v>6.7603549251430372E-4</v>
      </c>
      <c r="I1407" s="9">
        <f t="shared" si="152"/>
        <v>-3.9707789912763608E-5</v>
      </c>
      <c r="J1407" s="9">
        <f t="shared" si="153"/>
        <v>17.380513596522821</v>
      </c>
    </row>
    <row r="1408" spans="2:10" x14ac:dyDescent="0.25">
      <c r="B1408" s="1">
        <v>42237</v>
      </c>
      <c r="C1408" s="13">
        <v>26.44</v>
      </c>
      <c r="D1408" s="6">
        <f t="shared" si="147"/>
        <v>-6.1179561836452012E-2</v>
      </c>
      <c r="E1408" s="14">
        <f t="shared" si="148"/>
        <v>2.2756363969104386E-4</v>
      </c>
      <c r="F1408" s="9">
        <f t="shared" si="149"/>
        <v>17.440663841210682</v>
      </c>
      <c r="G1408" s="9">
        <f t="shared" si="150"/>
        <v>-1.5580150012494278</v>
      </c>
      <c r="H1408" s="9">
        <f t="shared" si="151"/>
        <v>3.1231379293090673E-2</v>
      </c>
      <c r="I1408" s="9">
        <f t="shared" si="152"/>
        <v>-6.467259418167709E-2</v>
      </c>
      <c r="J1408" s="9">
        <f t="shared" si="153"/>
        <v>15.849207625072667</v>
      </c>
    </row>
    <row r="1409" spans="2:10" x14ac:dyDescent="0.25">
      <c r="B1409" s="1">
        <v>42236</v>
      </c>
      <c r="C1409" s="13">
        <v>28.163</v>
      </c>
      <c r="D1409" s="6">
        <f t="shared" si="147"/>
        <v>-2.0519597954996027E-2</v>
      </c>
      <c r="E1409" s="14">
        <f t="shared" si="148"/>
        <v>1.979613209116898E-4</v>
      </c>
      <c r="F1409" s="9">
        <f t="shared" si="149"/>
        <v>17.580022112708271</v>
      </c>
      <c r="G1409" s="9">
        <f t="shared" si="150"/>
        <v>-9.9928137449896557</v>
      </c>
      <c r="H1409" s="9">
        <f t="shared" si="151"/>
        <v>0.67566926793678128</v>
      </c>
      <c r="I1409" s="9">
        <f t="shared" si="152"/>
        <v>-3.9595965240922881</v>
      </c>
      <c r="J1409" s="9">
        <f t="shared" si="153"/>
        <v>4.3032811115631082</v>
      </c>
    </row>
    <row r="1410" spans="2:10" x14ac:dyDescent="0.25">
      <c r="B1410" s="1">
        <v>42235</v>
      </c>
      <c r="C1410" s="13">
        <v>28.753</v>
      </c>
      <c r="D1410" s="6">
        <f t="shared" si="147"/>
        <v>-1.2772532188841224E-2</v>
      </c>
      <c r="E1410" s="14">
        <f t="shared" si="148"/>
        <v>1.9641571400552413E-4</v>
      </c>
      <c r="F1410" s="9">
        <f t="shared" si="149"/>
        <v>17.587860372457715</v>
      </c>
      <c r="G1410" s="9">
        <f t="shared" si="150"/>
        <v>-1.25228957571456</v>
      </c>
      <c r="H1410" s="9">
        <f t="shared" si="151"/>
        <v>6.2082385932162518E-3</v>
      </c>
      <c r="I1410" s="9">
        <f t="shared" si="152"/>
        <v>-5.3808089663128994E-3</v>
      </c>
      <c r="J1410" s="9">
        <f t="shared" si="153"/>
        <v>16.336398226370061</v>
      </c>
    </row>
    <row r="1411" spans="2:10" x14ac:dyDescent="0.25">
      <c r="B1411" s="1">
        <v>42234</v>
      </c>
      <c r="C1411" s="13">
        <v>29.125</v>
      </c>
      <c r="D1411" s="6">
        <f t="shared" si="147"/>
        <v>-5.6333219528849066E-3</v>
      </c>
      <c r="E1411" s="14">
        <f t="shared" si="148"/>
        <v>1.9673466138463234E-4</v>
      </c>
      <c r="F1411" s="9">
        <f t="shared" si="149"/>
        <v>17.586237851056012</v>
      </c>
      <c r="G1411" s="9">
        <f t="shared" si="150"/>
        <v>-0.52855501277053829</v>
      </c>
      <c r="H1411" s="9">
        <f t="shared" si="151"/>
        <v>-6.0612745621199835E-3</v>
      </c>
      <c r="I1411" s="9">
        <f t="shared" si="152"/>
        <v>-2.9635687646916709E-3</v>
      </c>
      <c r="J1411" s="9">
        <f t="shared" si="153"/>
        <v>17.04865799495866</v>
      </c>
    </row>
    <row r="1412" spans="2:10" x14ac:dyDescent="0.25">
      <c r="B1412" s="1">
        <v>42233</v>
      </c>
      <c r="C1412" s="13">
        <v>29.29</v>
      </c>
      <c r="D1412" s="6">
        <f t="shared" si="147"/>
        <v>1.0348395998620141E-2</v>
      </c>
      <c r="E1412" s="14">
        <f t="shared" si="148"/>
        <v>2.0164974109124618E-4</v>
      </c>
      <c r="F1412" s="9">
        <f t="shared" si="149"/>
        <v>17.561561538021479</v>
      </c>
      <c r="G1412" s="9">
        <f t="shared" si="150"/>
        <v>-0.1311019317818708</v>
      </c>
      <c r="H1412" s="9">
        <f t="shared" si="151"/>
        <v>-1.5218456638081589E-2</v>
      </c>
      <c r="I1412" s="9">
        <f t="shared" si="152"/>
        <v>-0.13272213670166852</v>
      </c>
      <c r="J1412" s="9">
        <f t="shared" si="153"/>
        <v>17.282519012899858</v>
      </c>
    </row>
    <row r="1413" spans="2:10" x14ac:dyDescent="0.25">
      <c r="B1413" s="1">
        <v>42230</v>
      </c>
      <c r="C1413" s="13">
        <v>28.99</v>
      </c>
      <c r="D1413" s="6">
        <f t="shared" si="147"/>
        <v>7.0168125607892318E-3</v>
      </c>
      <c r="E1413" s="14">
        <f t="shared" si="148"/>
        <v>2.0081405790347244E-4</v>
      </c>
      <c r="F1413" s="9">
        <f t="shared" si="149"/>
        <v>17.565714380542392</v>
      </c>
      <c r="G1413" s="9">
        <f t="shared" si="150"/>
        <v>-0.18993125292989077</v>
      </c>
      <c r="H1413" s="9">
        <f t="shared" si="151"/>
        <v>-1.1142596399328145E-4</v>
      </c>
      <c r="I1413" s="9">
        <f t="shared" si="152"/>
        <v>-6.1944506275659586E-4</v>
      </c>
      <c r="J1413" s="9">
        <f t="shared" si="153"/>
        <v>17.37505225658575</v>
      </c>
    </row>
    <row r="1414" spans="2:10" x14ac:dyDescent="0.25">
      <c r="B1414" s="1">
        <v>42229</v>
      </c>
      <c r="C1414" s="13">
        <v>28.788</v>
      </c>
      <c r="D1414" s="6">
        <f t="shared" si="147"/>
        <v>-7.6362374175631409E-4</v>
      </c>
      <c r="E1414" s="14">
        <f t="shared" si="148"/>
        <v>2.0682240470303967E-4</v>
      </c>
      <c r="F1414" s="9">
        <f t="shared" si="149"/>
        <v>17.536233298666264</v>
      </c>
      <c r="G1414" s="9">
        <f t="shared" si="150"/>
        <v>-7.0428234213544882E-2</v>
      </c>
      <c r="H1414" s="9">
        <f t="shared" si="151"/>
        <v>1.3120394059078815E-2</v>
      </c>
      <c r="I1414" s="9">
        <f t="shared" si="152"/>
        <v>-0.18681468794049333</v>
      </c>
      <c r="J1414" s="9">
        <f t="shared" si="153"/>
        <v>17.292110770571306</v>
      </c>
    </row>
    <row r="1415" spans="2:10" x14ac:dyDescent="0.25">
      <c r="B1415" s="1">
        <v>42228</v>
      </c>
      <c r="C1415" s="13">
        <v>28.81</v>
      </c>
      <c r="D1415" s="6">
        <f t="shared" si="147"/>
        <v>1.5401966658442845E-2</v>
      </c>
      <c r="E1415" s="14">
        <f t="shared" si="148"/>
        <v>2.0749101285099576E-4</v>
      </c>
      <c r="F1415" s="9">
        <f t="shared" si="149"/>
        <v>17.533005748217548</v>
      </c>
      <c r="G1415" s="9">
        <f t="shared" si="150"/>
        <v>-1.3816662883365896E-2</v>
      </c>
      <c r="H1415" s="9">
        <f t="shared" si="151"/>
        <v>-1.2521796198531031E-3</v>
      </c>
      <c r="I1415" s="9">
        <f t="shared" si="152"/>
        <v>-5.6479243997875636E-3</v>
      </c>
      <c r="J1415" s="9">
        <f t="shared" si="153"/>
        <v>17.512288981314541</v>
      </c>
    </row>
    <row r="1416" spans="2:10" x14ac:dyDescent="0.25">
      <c r="B1416" s="1">
        <v>42227</v>
      </c>
      <c r="C1416" s="13">
        <v>28.373000000000001</v>
      </c>
      <c r="D1416" s="6">
        <f t="shared" si="147"/>
        <v>-5.2021383227530804E-2</v>
      </c>
      <c r="E1416" s="14">
        <f t="shared" si="148"/>
        <v>2.0529751137168806E-4</v>
      </c>
      <c r="F1416" s="9">
        <f t="shared" si="149"/>
        <v>17.543633573348366</v>
      </c>
      <c r="G1416" s="9">
        <f t="shared" si="150"/>
        <v>-0.46347755311707789</v>
      </c>
      <c r="H1416" s="9">
        <f t="shared" si="151"/>
        <v>-6.9086142870891645E-3</v>
      </c>
      <c r="I1416" s="9">
        <f t="shared" si="152"/>
        <v>-1.35017298954835E-2</v>
      </c>
      <c r="J1416" s="9">
        <f t="shared" si="153"/>
        <v>17.059745676048717</v>
      </c>
    </row>
    <row r="1417" spans="2:10" x14ac:dyDescent="0.25">
      <c r="B1417" s="1">
        <v>42226</v>
      </c>
      <c r="C1417" s="13">
        <v>29.93</v>
      </c>
      <c r="D1417" s="6">
        <f t="shared" si="147"/>
        <v>3.6357340720221565E-2</v>
      </c>
      <c r="E1417" s="14">
        <f t="shared" si="148"/>
        <v>1.8382580051050802E-4</v>
      </c>
      <c r="F1417" s="9">
        <f t="shared" si="149"/>
        <v>17.654105202573732</v>
      </c>
      <c r="G1417" s="9">
        <f t="shared" si="150"/>
        <v>-7.851736751392612</v>
      </c>
      <c r="H1417" s="9">
        <f t="shared" si="151"/>
        <v>0.44607019444899776</v>
      </c>
      <c r="I1417" s="9">
        <f t="shared" si="152"/>
        <v>-2.2109362896135716</v>
      </c>
      <c r="J1417" s="9">
        <f t="shared" si="153"/>
        <v>8.0375023560165459</v>
      </c>
    </row>
    <row r="1418" spans="2:10" x14ac:dyDescent="0.25">
      <c r="B1418" s="1">
        <v>42223</v>
      </c>
      <c r="C1418" s="13">
        <v>28.88</v>
      </c>
      <c r="D1418" s="6">
        <f t="shared" si="147"/>
        <v>3.3700448181217535E-3</v>
      </c>
      <c r="E1418" s="14">
        <f t="shared" si="148"/>
        <v>1.728098254401813E-4</v>
      </c>
      <c r="F1418" s="9">
        <f t="shared" si="149"/>
        <v>17.715902060449153</v>
      </c>
      <c r="G1418" s="9">
        <f t="shared" si="150"/>
        <v>-3.5002108366130149</v>
      </c>
      <c r="H1418" s="9">
        <f t="shared" si="151"/>
        <v>-0.15179892629796063</v>
      </c>
      <c r="I1418" s="9">
        <f t="shared" si="152"/>
        <v>-0.58948046117639663</v>
      </c>
      <c r="J1418" s="9">
        <f t="shared" si="153"/>
        <v>13.474411836361782</v>
      </c>
    </row>
    <row r="1419" spans="2:10" x14ac:dyDescent="0.25">
      <c r="B1419" s="1">
        <v>42222</v>
      </c>
      <c r="C1419" s="13">
        <v>28.783000000000001</v>
      </c>
      <c r="D1419" s="6">
        <f t="shared" si="147"/>
        <v>-2.3223570190641363E-3</v>
      </c>
      <c r="E1419" s="14">
        <f t="shared" si="148"/>
        <v>1.7293325886710999E-4</v>
      </c>
      <c r="F1419" s="9">
        <f t="shared" si="149"/>
        <v>17.715188042221307</v>
      </c>
      <c r="G1419" s="9">
        <f t="shared" si="150"/>
        <v>-8.8067977113224297E-3</v>
      </c>
      <c r="H1419" s="9">
        <f t="shared" si="151"/>
        <v>6.8882003583124534E-4</v>
      </c>
      <c r="I1419" s="9">
        <f t="shared" si="152"/>
        <v>-2.1764581663260706E-3</v>
      </c>
      <c r="J1419" s="9">
        <f t="shared" si="153"/>
        <v>17.704893606379489</v>
      </c>
    </row>
    <row r="1420" spans="2:10" x14ac:dyDescent="0.25">
      <c r="B1420" s="1">
        <v>42221</v>
      </c>
      <c r="C1420" s="13">
        <v>28.85</v>
      </c>
      <c r="D1420" s="6">
        <f t="shared" si="147"/>
        <v>6.6294487090021725E-3</v>
      </c>
      <c r="E1420" s="14">
        <f t="shared" si="148"/>
        <v>1.7437887735256009E-4</v>
      </c>
      <c r="F1420" s="9">
        <f t="shared" si="149"/>
        <v>17.706863387346836</v>
      </c>
      <c r="G1420" s="9">
        <f t="shared" si="150"/>
        <v>-4.4863060363366195E-2</v>
      </c>
      <c r="H1420" s="9">
        <f t="shared" si="151"/>
        <v>-3.7626307609704493E-3</v>
      </c>
      <c r="I1420" s="9">
        <f t="shared" si="152"/>
        <v>-2.031212618179767E-2</v>
      </c>
      <c r="J1420" s="9">
        <f t="shared" si="153"/>
        <v>17.637925570040704</v>
      </c>
    </row>
    <row r="1421" spans="2:10" x14ac:dyDescent="0.25">
      <c r="B1421" s="1">
        <v>42220</v>
      </c>
      <c r="C1421" s="13">
        <v>28.66</v>
      </c>
      <c r="D1421" s="6">
        <f t="shared" si="147"/>
        <v>-3.208375548801079E-2</v>
      </c>
      <c r="E1421" s="14">
        <f t="shared" si="148"/>
        <v>1.7872974922700067E-4</v>
      </c>
      <c r="F1421" s="9">
        <f t="shared" si="149"/>
        <v>17.682218891270416</v>
      </c>
      <c r="G1421" s="9">
        <f t="shared" si="150"/>
        <v>-7.0203885403064631E-2</v>
      </c>
      <c r="H1421" s="9">
        <f t="shared" si="151"/>
        <v>1.0661386727982367E-2</v>
      </c>
      <c r="I1421" s="9">
        <f t="shared" si="152"/>
        <v>-0.12189067446755579</v>
      </c>
      <c r="J1421" s="9">
        <f t="shared" si="153"/>
        <v>17.50078571812778</v>
      </c>
    </row>
    <row r="1422" spans="2:10" x14ac:dyDescent="0.25">
      <c r="B1422" s="1">
        <v>42219</v>
      </c>
      <c r="C1422" s="13">
        <v>29.61</v>
      </c>
      <c r="D1422" s="6">
        <f t="shared" si="147"/>
        <v>-2.3577906018136807E-2</v>
      </c>
      <c r="E1422" s="14">
        <f t="shared" si="148"/>
        <v>1.7341088683387287E-4</v>
      </c>
      <c r="F1422" s="9">
        <f t="shared" si="149"/>
        <v>17.712429928504214</v>
      </c>
      <c r="G1422" s="9">
        <f t="shared" si="150"/>
        <v>-3.2864185351568622</v>
      </c>
      <c r="H1422" s="9">
        <f t="shared" si="151"/>
        <v>6.4941992092887188E-2</v>
      </c>
      <c r="I1422" s="9">
        <f t="shared" si="152"/>
        <v>-0.1229862494091568</v>
      </c>
      <c r="J1422" s="9">
        <f t="shared" si="153"/>
        <v>14.367967136031082</v>
      </c>
    </row>
    <row r="1423" spans="2:10" x14ac:dyDescent="0.25">
      <c r="B1423" s="1">
        <v>42216</v>
      </c>
      <c r="C1423" s="13">
        <v>30.324999999999999</v>
      </c>
      <c r="D1423" s="6">
        <f t="shared" si="147"/>
        <v>-8.760173895989265E-3</v>
      </c>
      <c r="E1423" s="14">
        <f t="shared" si="148"/>
        <v>1.6908259643731171E-4</v>
      </c>
      <c r="F1423" s="9">
        <f t="shared" si="149"/>
        <v>17.737706443543026</v>
      </c>
      <c r="G1423" s="9">
        <f t="shared" si="150"/>
        <v>-1.8842414311757962</v>
      </c>
      <c r="H1423" s="9">
        <f t="shared" si="151"/>
        <v>3.8880318658898655E-2</v>
      </c>
      <c r="I1423" s="9">
        <f t="shared" si="152"/>
        <v>-7.9188821353403355E-2</v>
      </c>
      <c r="J1423" s="9">
        <f t="shared" si="153"/>
        <v>15.813156509672725</v>
      </c>
    </row>
    <row r="1424" spans="2:10" x14ac:dyDescent="0.25">
      <c r="B1424" s="1">
        <v>42215</v>
      </c>
      <c r="C1424" s="13">
        <v>30.593</v>
      </c>
      <c r="D1424" s="6">
        <f t="shared" ref="D1424:D1487" si="154">C1424/C1425-1</f>
        <v>-5.040978275009822E-3</v>
      </c>
      <c r="E1424" s="14">
        <f t="shared" ref="E1424:E1487" si="155">_xlfn.VAR.S(D1424:D1544)</f>
        <v>1.6903020583922812E-4</v>
      </c>
      <c r="F1424" s="9">
        <f t="shared" si="149"/>
        <v>17.738016343660089</v>
      </c>
      <c r="G1424" s="9">
        <f t="shared" si="150"/>
        <v>-0.32012008518297808</v>
      </c>
      <c r="H1424" s="9">
        <f t="shared" si="151"/>
        <v>-3.4016389265251186E-3</v>
      </c>
      <c r="I1424" s="9">
        <f t="shared" si="152"/>
        <v>-1.2018100533172519E-3</v>
      </c>
      <c r="J1424" s="9">
        <f t="shared" si="153"/>
        <v>17.413292809497268</v>
      </c>
    </row>
    <row r="1425" spans="2:10" x14ac:dyDescent="0.25">
      <c r="B1425" s="1">
        <v>42214</v>
      </c>
      <c r="C1425" s="13">
        <v>30.748000000000001</v>
      </c>
      <c r="D1425" s="6">
        <f t="shared" si="154"/>
        <v>-3.1447560382557027E-3</v>
      </c>
      <c r="E1425" s="14">
        <f t="shared" si="155"/>
        <v>1.6886374427214234E-4</v>
      </c>
      <c r="F1425" s="9">
        <f t="shared" ref="F1425:F1488" si="156">LN(2*PI())-LN($C$6)-LN(E1425)-0.5*LN(1-POWER($C$7,2))</f>
        <v>17.73900163256803</v>
      </c>
      <c r="G1425" s="9">
        <f t="shared" ref="G1425:G1488" si="157">-POWER(D1424-1-$C$3,2)/(2*E1425*(1-POWER($C$7,2)))</f>
        <v>-0.13205372155344358</v>
      </c>
      <c r="H1425" s="9">
        <f t="shared" ref="H1425:H1488" si="158">$C$7*(D1424-1-$C$3)*(E1424-E1425-$C$5*$C$4)/(E1425*$C$6*(1-POWER($C$7,2)))</f>
        <v>-1.8527722086722519E-3</v>
      </c>
      <c r="I1425" s="9">
        <f t="shared" ref="I1425:I1488" si="159">-POWER(E1424-E1425-$C$5*$C$4+$C$4*E1425,2)/(2*POWER($C$6,2)*E1425*(1-POWER($C$7,2)))</f>
        <v>-6.8997489270443098E-4</v>
      </c>
      <c r="J1425" s="9">
        <f t="shared" ref="J1425:J1488" si="160">SUM(F1425:I1425)</f>
        <v>17.60440516391321</v>
      </c>
    </row>
    <row r="1426" spans="2:10" x14ac:dyDescent="0.25">
      <c r="B1426" s="1">
        <v>42213</v>
      </c>
      <c r="C1426" s="13">
        <v>30.844999999999999</v>
      </c>
      <c r="D1426" s="6">
        <f t="shared" si="154"/>
        <v>4.9522692470596041E-3</v>
      </c>
      <c r="E1426" s="14">
        <f t="shared" si="155"/>
        <v>1.6920413794025338E-4</v>
      </c>
      <c r="F1426" s="9">
        <f t="shared" si="156"/>
        <v>17.736987872604118</v>
      </c>
      <c r="G1426" s="9">
        <f t="shared" si="157"/>
        <v>-6.7493546017331874E-2</v>
      </c>
      <c r="H1426" s="9">
        <f t="shared" si="158"/>
        <v>-2.3802517325519829E-3</v>
      </c>
      <c r="I1426" s="9">
        <f t="shared" si="159"/>
        <v>-4.0514417375572482E-3</v>
      </c>
      <c r="J1426" s="9">
        <f t="shared" si="160"/>
        <v>17.663062633116674</v>
      </c>
    </row>
    <row r="1427" spans="2:10" x14ac:dyDescent="0.25">
      <c r="B1427" s="1">
        <v>42212</v>
      </c>
      <c r="C1427" s="13">
        <v>30.693000000000001</v>
      </c>
      <c r="D1427" s="6">
        <f t="shared" si="154"/>
        <v>-1.3879518072289154E-2</v>
      </c>
      <c r="E1427" s="14">
        <f t="shared" si="155"/>
        <v>1.6903087503346593E-4</v>
      </c>
      <c r="F1427" s="9">
        <f t="shared" si="156"/>
        <v>17.738012384646318</v>
      </c>
      <c r="G1427" s="9">
        <f t="shared" si="157"/>
        <v>-3.2798180236451403E-2</v>
      </c>
      <c r="H1427" s="9">
        <f t="shared" si="158"/>
        <v>9.1301205040006047E-4</v>
      </c>
      <c r="I1427" s="9">
        <f t="shared" si="159"/>
        <v>-6.620911389167227E-4</v>
      </c>
      <c r="J1427" s="9">
        <f t="shared" si="160"/>
        <v>17.70546512532135</v>
      </c>
    </row>
    <row r="1428" spans="2:10" x14ac:dyDescent="0.25">
      <c r="B1428" s="1">
        <v>42209</v>
      </c>
      <c r="C1428" s="13">
        <v>31.125</v>
      </c>
      <c r="D1428" s="6">
        <f t="shared" si="154"/>
        <v>-5.2732502396931613E-3</v>
      </c>
      <c r="E1428" s="14">
        <f t="shared" si="155"/>
        <v>1.6853086786980216E-4</v>
      </c>
      <c r="F1428" s="9">
        <f t="shared" si="156"/>
        <v>17.740974850268419</v>
      </c>
      <c r="G1428" s="9">
        <f t="shared" si="157"/>
        <v>-0.71552025482566428</v>
      </c>
      <c r="H1428" s="9">
        <f t="shared" si="158"/>
        <v>-2.0477284171903044E-3</v>
      </c>
      <c r="I1428" s="9">
        <f t="shared" si="159"/>
        <v>-2.6868510343273008E-6</v>
      </c>
      <c r="J1428" s="9">
        <f t="shared" si="160"/>
        <v>17.023404180174531</v>
      </c>
    </row>
    <row r="1429" spans="2:10" x14ac:dyDescent="0.25">
      <c r="B1429" s="1">
        <v>42208</v>
      </c>
      <c r="C1429" s="13">
        <v>31.29</v>
      </c>
      <c r="D1429" s="6">
        <f t="shared" si="154"/>
        <v>-4.7915668423581526E-4</v>
      </c>
      <c r="E1429" s="14">
        <f t="shared" si="155"/>
        <v>1.7016918777129834E-4</v>
      </c>
      <c r="F1429" s="9">
        <f t="shared" si="156"/>
        <v>17.731300611059758</v>
      </c>
      <c r="G1429" s="9">
        <f t="shared" si="157"/>
        <v>-0.140328516442982</v>
      </c>
      <c r="H1429" s="9">
        <f t="shared" si="158"/>
        <v>-7.3141905333545601E-3</v>
      </c>
      <c r="I1429" s="9">
        <f t="shared" si="159"/>
        <v>-2.5275973513190681E-2</v>
      </c>
      <c r="J1429" s="9">
        <f t="shared" si="160"/>
        <v>17.558381930570231</v>
      </c>
    </row>
    <row r="1430" spans="2:10" x14ac:dyDescent="0.25">
      <c r="B1430" s="1">
        <v>42207</v>
      </c>
      <c r="C1430" s="13">
        <v>31.305</v>
      </c>
      <c r="D1430" s="6">
        <f t="shared" si="154"/>
        <v>-4.2309104258443586E-2</v>
      </c>
      <c r="E1430" s="14">
        <f t="shared" si="155"/>
        <v>1.7789883549722835E-4</v>
      </c>
      <c r="F1430" s="9">
        <f t="shared" si="156"/>
        <v>17.686878726566327</v>
      </c>
      <c r="G1430" s="9">
        <f t="shared" si="157"/>
        <v>-1.2508503602450377E-2</v>
      </c>
      <c r="H1430" s="9">
        <f t="shared" si="158"/>
        <v>-7.4690463702047046E-3</v>
      </c>
      <c r="I1430" s="9">
        <f t="shared" si="159"/>
        <v>-0.35226932374194631</v>
      </c>
      <c r="J1430" s="9">
        <f t="shared" si="160"/>
        <v>17.314631852851726</v>
      </c>
    </row>
    <row r="1431" spans="2:10" x14ac:dyDescent="0.25">
      <c r="B1431" s="1">
        <v>42206</v>
      </c>
      <c r="C1431" s="13">
        <v>32.688000000000002</v>
      </c>
      <c r="D1431" s="6">
        <f t="shared" si="154"/>
        <v>-9.9945484281300789E-3</v>
      </c>
      <c r="E1431" s="14">
        <f t="shared" si="155"/>
        <v>1.8769056208370094E-4</v>
      </c>
      <c r="F1431" s="9">
        <f t="shared" si="156"/>
        <v>17.633299114980126</v>
      </c>
      <c r="G1431" s="9">
        <f t="shared" si="157"/>
        <v>-5.1577563825183859</v>
      </c>
      <c r="H1431" s="9">
        <f t="shared" si="158"/>
        <v>-0.18335136017987977</v>
      </c>
      <c r="I1431" s="9">
        <f t="shared" si="159"/>
        <v>-0.52036915464011513</v>
      </c>
      <c r="J1431" s="9">
        <f t="shared" si="160"/>
        <v>11.771822217641745</v>
      </c>
    </row>
    <row r="1432" spans="2:10" x14ac:dyDescent="0.25">
      <c r="B1432" s="1">
        <v>42205</v>
      </c>
      <c r="C1432" s="13">
        <v>33.018000000000001</v>
      </c>
      <c r="D1432" s="6">
        <f t="shared" si="154"/>
        <v>1.8916833821940982E-2</v>
      </c>
      <c r="E1432" s="14">
        <f t="shared" si="155"/>
        <v>1.9769276422986325E-4</v>
      </c>
      <c r="F1432" s="9">
        <f t="shared" si="156"/>
        <v>17.581379645629859</v>
      </c>
      <c r="G1432" s="9">
        <f t="shared" si="157"/>
        <v>-0.34262303678578887</v>
      </c>
      <c r="H1432" s="9">
        <f t="shared" si="158"/>
        <v>-4.6960486404932812E-2</v>
      </c>
      <c r="I1432" s="9">
        <f t="shared" si="159"/>
        <v>-0.51285269396107103</v>
      </c>
      <c r="J1432" s="9">
        <f t="shared" si="160"/>
        <v>16.678943428478064</v>
      </c>
    </row>
    <row r="1433" spans="2:10" x14ac:dyDescent="0.25">
      <c r="B1433" s="1">
        <v>42202</v>
      </c>
      <c r="C1433" s="13">
        <v>32.405000000000001</v>
      </c>
      <c r="D1433" s="6">
        <f t="shared" si="154"/>
        <v>8.6217629482072677E-3</v>
      </c>
      <c r="E1433" s="14">
        <f t="shared" si="155"/>
        <v>1.9510882514709067E-4</v>
      </c>
      <c r="F1433" s="9">
        <f t="shared" si="156"/>
        <v>17.59453629481516</v>
      </c>
      <c r="G1433" s="9">
        <f t="shared" si="157"/>
        <v>-0.7683170546127992</v>
      </c>
      <c r="H1433" s="9">
        <f t="shared" si="158"/>
        <v>-1.1682612539440329E-2</v>
      </c>
      <c r="I1433" s="9">
        <f t="shared" si="159"/>
        <v>-2.0995560363554346E-2</v>
      </c>
      <c r="J1433" s="9">
        <f t="shared" si="160"/>
        <v>16.793541067299365</v>
      </c>
    </row>
    <row r="1434" spans="2:10" x14ac:dyDescent="0.25">
      <c r="B1434" s="1">
        <v>42201</v>
      </c>
      <c r="C1434" s="13">
        <v>32.128</v>
      </c>
      <c r="D1434" s="6">
        <f t="shared" si="154"/>
        <v>1.3341744204384165E-2</v>
      </c>
      <c r="E1434" s="14">
        <f t="shared" si="155"/>
        <v>1.947815418451055E-4</v>
      </c>
      <c r="F1434" s="9">
        <f t="shared" si="156"/>
        <v>17.596215143058483</v>
      </c>
      <c r="G1434" s="9">
        <f t="shared" si="157"/>
        <v>-0.12595289664301032</v>
      </c>
      <c r="H1434" s="9">
        <f t="shared" si="158"/>
        <v>1.2577727228641911E-3</v>
      </c>
      <c r="I1434" s="9">
        <f t="shared" si="159"/>
        <v>-1.0875950350808483E-4</v>
      </c>
      <c r="J1434" s="9">
        <f t="shared" si="160"/>
        <v>17.471411259634827</v>
      </c>
    </row>
    <row r="1435" spans="2:10" x14ac:dyDescent="0.25">
      <c r="B1435" s="1">
        <v>42200</v>
      </c>
      <c r="C1435" s="13">
        <v>31.704999999999998</v>
      </c>
      <c r="D1435" s="6">
        <f t="shared" si="154"/>
        <v>9.6169155813139451E-3</v>
      </c>
      <c r="E1435" s="14">
        <f t="shared" si="155"/>
        <v>1.9866518452645374E-4</v>
      </c>
      <c r="F1435" s="9">
        <f t="shared" si="156"/>
        <v>17.576472857456764</v>
      </c>
      <c r="G1435" s="9">
        <f t="shared" si="157"/>
        <v>-0.34639472088312973</v>
      </c>
      <c r="H1435" s="9">
        <f t="shared" si="158"/>
        <v>2.0425259344830232E-2</v>
      </c>
      <c r="I1435" s="9">
        <f t="shared" si="159"/>
        <v>-8.8231668572956987E-2</v>
      </c>
      <c r="J1435" s="9">
        <f t="shared" si="160"/>
        <v>17.162271727345509</v>
      </c>
    </row>
    <row r="1436" spans="2:10" x14ac:dyDescent="0.25">
      <c r="B1436" s="1">
        <v>42199</v>
      </c>
      <c r="C1436" s="13">
        <v>31.402999999999999</v>
      </c>
      <c r="D1436" s="6">
        <f t="shared" si="154"/>
        <v>-3.8198312907844478E-4</v>
      </c>
      <c r="E1436" s="14">
        <f t="shared" si="155"/>
        <v>1.9842507518751633E-4</v>
      </c>
      <c r="F1436" s="9">
        <f t="shared" si="156"/>
        <v>17.577682201490404</v>
      </c>
      <c r="G1436" s="9">
        <f t="shared" si="157"/>
        <v>-0.16132555960337727</v>
      </c>
      <c r="H1436" s="9">
        <f t="shared" si="158"/>
        <v>1.6698869814559512E-3</v>
      </c>
      <c r="I1436" s="9">
        <f t="shared" si="159"/>
        <v>-2.5183769111394421E-4</v>
      </c>
      <c r="J1436" s="9">
        <f t="shared" si="160"/>
        <v>17.417774691177371</v>
      </c>
    </row>
    <row r="1437" spans="2:10" x14ac:dyDescent="0.25">
      <c r="B1437" s="1">
        <v>42198</v>
      </c>
      <c r="C1437" s="13">
        <v>31.414999999999999</v>
      </c>
      <c r="D1437" s="6">
        <f t="shared" si="154"/>
        <v>1.9305645684620343E-2</v>
      </c>
      <c r="E1437" s="14">
        <f t="shared" si="155"/>
        <v>2.0333461113418073E-4</v>
      </c>
      <c r="F1437" s="9">
        <f t="shared" si="156"/>
        <v>17.553240822642898</v>
      </c>
      <c r="G1437" s="9">
        <f t="shared" si="157"/>
        <v>-9.9573858494025908E-3</v>
      </c>
      <c r="H1437" s="9">
        <f t="shared" si="158"/>
        <v>-4.1726360502906991E-3</v>
      </c>
      <c r="I1437" s="9">
        <f t="shared" si="159"/>
        <v>-0.13121521688373858</v>
      </c>
      <c r="J1437" s="9">
        <f t="shared" si="160"/>
        <v>17.407895583859464</v>
      </c>
    </row>
    <row r="1438" spans="2:10" x14ac:dyDescent="0.25">
      <c r="B1438" s="1">
        <v>42195</v>
      </c>
      <c r="C1438" s="13">
        <v>30.82</v>
      </c>
      <c r="D1438" s="6">
        <f t="shared" si="154"/>
        <v>2.6717302951562383E-2</v>
      </c>
      <c r="E1438" s="14">
        <f t="shared" si="155"/>
        <v>2.0135906311607546E-4</v>
      </c>
      <c r="F1438" s="9">
        <f t="shared" si="156"/>
        <v>17.563004077353341</v>
      </c>
      <c r="G1438" s="9">
        <f t="shared" si="157"/>
        <v>-0.77832850503336448</v>
      </c>
      <c r="H1438" s="9">
        <f t="shared" si="158"/>
        <v>-7.6250086651165989E-3</v>
      </c>
      <c r="I1438" s="9">
        <f t="shared" si="159"/>
        <v>-1.0429226967152682E-2</v>
      </c>
      <c r="J1438" s="9">
        <f t="shared" si="160"/>
        <v>16.766621336687709</v>
      </c>
    </row>
    <row r="1439" spans="2:10" x14ac:dyDescent="0.25">
      <c r="B1439" s="1">
        <v>42194</v>
      </c>
      <c r="C1439" s="13">
        <v>30.018000000000001</v>
      </c>
      <c r="D1439" s="6">
        <f t="shared" si="154"/>
        <v>-2.0396175309206011E-2</v>
      </c>
      <c r="E1439" s="14">
        <f t="shared" si="155"/>
        <v>2.0250210427928073E-4</v>
      </c>
      <c r="F1439" s="9">
        <f t="shared" si="156"/>
        <v>17.557343497393639</v>
      </c>
      <c r="G1439" s="9">
        <f t="shared" si="157"/>
        <v>-1.5589187006556344</v>
      </c>
      <c r="H1439" s="9">
        <f t="shared" si="158"/>
        <v>1.7810114322839948E-2</v>
      </c>
      <c r="I1439" s="9">
        <f t="shared" si="159"/>
        <v>-1.1810190673143199E-2</v>
      </c>
      <c r="J1439" s="9">
        <f t="shared" si="160"/>
        <v>16.0044247203877</v>
      </c>
    </row>
    <row r="1440" spans="2:10" x14ac:dyDescent="0.25">
      <c r="B1440" s="1">
        <v>42193</v>
      </c>
      <c r="C1440" s="13">
        <v>30.643000000000001</v>
      </c>
      <c r="D1440" s="6">
        <f t="shared" si="154"/>
        <v>-2.4822582185023645E-2</v>
      </c>
      <c r="E1440" s="14">
        <f t="shared" si="155"/>
        <v>1.9890543623408204E-4</v>
      </c>
      <c r="F1440" s="9">
        <f t="shared" si="156"/>
        <v>17.575264258408808</v>
      </c>
      <c r="G1440" s="9">
        <f t="shared" si="157"/>
        <v>-1.2228698788741175</v>
      </c>
      <c r="H1440" s="9">
        <f t="shared" si="158"/>
        <v>2.2888782376670559E-2</v>
      </c>
      <c r="I1440" s="9">
        <f t="shared" si="159"/>
        <v>-4.53498058760059E-2</v>
      </c>
      <c r="J1440" s="9">
        <f t="shared" si="160"/>
        <v>16.329933356035355</v>
      </c>
    </row>
    <row r="1441" spans="2:10" x14ac:dyDescent="0.25">
      <c r="B1441" s="1">
        <v>42192</v>
      </c>
      <c r="C1441" s="13">
        <v>31.422999999999998</v>
      </c>
      <c r="D1441" s="6">
        <f t="shared" si="154"/>
        <v>-2.4444444444444713E-3</v>
      </c>
      <c r="E1441" s="14">
        <f t="shared" si="155"/>
        <v>1.9379867008737593E-4</v>
      </c>
      <c r="F1441" s="9">
        <f t="shared" si="156"/>
        <v>17.601273938249982</v>
      </c>
      <c r="G1441" s="9">
        <f t="shared" si="157"/>
        <v>-1.8103042304401014</v>
      </c>
      <c r="H1441" s="9">
        <f t="shared" si="158"/>
        <v>4.3453048711086434E-2</v>
      </c>
      <c r="I1441" s="9">
        <f t="shared" si="159"/>
        <v>-0.10202920123762574</v>
      </c>
      <c r="J1441" s="9">
        <f t="shared" si="160"/>
        <v>15.732393555283341</v>
      </c>
    </row>
    <row r="1442" spans="2:10" x14ac:dyDescent="0.25">
      <c r="B1442" s="1">
        <v>42191</v>
      </c>
      <c r="C1442" s="13">
        <v>31.5</v>
      </c>
      <c r="D1442" s="6">
        <f t="shared" si="154"/>
        <v>-3.4799114204365766E-3</v>
      </c>
      <c r="E1442" s="14">
        <f t="shared" si="155"/>
        <v>1.9923864356975442E-4</v>
      </c>
      <c r="F1442" s="9">
        <f t="shared" si="156"/>
        <v>17.573590455228661</v>
      </c>
      <c r="G1442" s="9">
        <f t="shared" si="157"/>
        <v>-4.173026400104185E-2</v>
      </c>
      <c r="H1442" s="9">
        <f t="shared" si="158"/>
        <v>-9.4310020759181788E-3</v>
      </c>
      <c r="I1442" s="9">
        <f t="shared" si="159"/>
        <v>-0.16202371094947987</v>
      </c>
      <c r="J1442" s="9">
        <f t="shared" si="160"/>
        <v>17.360405478202221</v>
      </c>
    </row>
    <row r="1443" spans="2:10" x14ac:dyDescent="0.25">
      <c r="B1443" s="1">
        <v>42187</v>
      </c>
      <c r="C1443" s="13">
        <v>31.61</v>
      </c>
      <c r="D1443" s="6">
        <f t="shared" si="154"/>
        <v>-1.2638230647709081E-3</v>
      </c>
      <c r="E1443" s="14">
        <f t="shared" si="155"/>
        <v>1.9906459733780795E-4</v>
      </c>
      <c r="F1443" s="9">
        <f t="shared" si="156"/>
        <v>17.574464393600984</v>
      </c>
      <c r="G1443" s="9">
        <f t="shared" si="157"/>
        <v>-6.5710567200462394E-2</v>
      </c>
      <c r="H1443" s="9">
        <f t="shared" si="158"/>
        <v>-1.1893589901000425E-3</v>
      </c>
      <c r="I1443" s="9">
        <f t="shared" si="159"/>
        <v>-4.1096339761472985E-4</v>
      </c>
      <c r="J1443" s="9">
        <f t="shared" si="160"/>
        <v>17.507153504012805</v>
      </c>
    </row>
    <row r="1444" spans="2:10" x14ac:dyDescent="0.25">
      <c r="B1444" s="1">
        <v>42186</v>
      </c>
      <c r="C1444" s="13">
        <v>31.65</v>
      </c>
      <c r="D1444" s="6">
        <f t="shared" si="154"/>
        <v>9.3761959433600328E-3</v>
      </c>
      <c r="E1444" s="14">
        <f t="shared" si="155"/>
        <v>2.1051110167874572E-4</v>
      </c>
      <c r="F1444" s="9">
        <f t="shared" si="156"/>
        <v>17.518555384090618</v>
      </c>
      <c r="G1444" s="9">
        <f t="shared" si="157"/>
        <v>-1.9912513717398574E-2</v>
      </c>
      <c r="H1444" s="9">
        <f t="shared" si="158"/>
        <v>-1.2437709530732607E-2</v>
      </c>
      <c r="I1444" s="9">
        <f t="shared" si="159"/>
        <v>-0.62136134492376605</v>
      </c>
      <c r="J1444" s="9">
        <f t="shared" si="160"/>
        <v>16.864843815918722</v>
      </c>
    </row>
    <row r="1445" spans="2:10" x14ac:dyDescent="0.25">
      <c r="B1445" s="1">
        <v>42185</v>
      </c>
      <c r="C1445" s="13">
        <v>31.356000000000002</v>
      </c>
      <c r="D1445" s="6">
        <f t="shared" si="154"/>
        <v>7.1628175890534607E-3</v>
      </c>
      <c r="E1445" s="14">
        <f t="shared" si="155"/>
        <v>2.1130819407723825E-4</v>
      </c>
      <c r="F1445" s="9">
        <f t="shared" si="156"/>
        <v>17.51477607216599</v>
      </c>
      <c r="G1445" s="9">
        <f t="shared" si="157"/>
        <v>-0.14249877170373479</v>
      </c>
      <c r="H1445" s="9">
        <f t="shared" si="158"/>
        <v>4.3332405454589405E-3</v>
      </c>
      <c r="I1445" s="9">
        <f t="shared" si="159"/>
        <v>-6.8142702030276154E-3</v>
      </c>
      <c r="J1445" s="9">
        <f t="shared" si="160"/>
        <v>17.369796270804688</v>
      </c>
    </row>
    <row r="1446" spans="2:10" x14ac:dyDescent="0.25">
      <c r="B1446" s="1">
        <v>42184</v>
      </c>
      <c r="C1446" s="13">
        <v>31.132999999999999</v>
      </c>
      <c r="D1446" s="6">
        <f t="shared" si="154"/>
        <v>-1.7514516536228264E-2</v>
      </c>
      <c r="E1446" s="14">
        <f t="shared" si="155"/>
        <v>2.1105153042200387E-4</v>
      </c>
      <c r="F1446" s="9">
        <f t="shared" si="156"/>
        <v>17.515991451720147</v>
      </c>
      <c r="G1446" s="9">
        <f t="shared" si="157"/>
        <v>-7.2807074061145907E-2</v>
      </c>
      <c r="H1446" s="9">
        <f t="shared" si="158"/>
        <v>1.0556380900849441E-3</v>
      </c>
      <c r="I1446" s="9">
        <f t="shared" si="159"/>
        <v>-1.6666794753966783E-4</v>
      </c>
      <c r="J1446" s="9">
        <f t="shared" si="160"/>
        <v>17.444073347801549</v>
      </c>
    </row>
    <row r="1447" spans="2:10" x14ac:dyDescent="0.25">
      <c r="B1447" s="1">
        <v>42181</v>
      </c>
      <c r="C1447" s="13">
        <v>31.687999999999999</v>
      </c>
      <c r="D1447" s="6">
        <f t="shared" si="154"/>
        <v>-5.8666666666666867E-3</v>
      </c>
      <c r="E1447" s="14">
        <f t="shared" si="155"/>
        <v>2.1535246814620378E-4</v>
      </c>
      <c r="F1447" s="9">
        <f t="shared" si="156"/>
        <v>17.495817702862226</v>
      </c>
      <c r="G1447" s="9">
        <f t="shared" si="157"/>
        <v>-0.8532414246350295</v>
      </c>
      <c r="H1447" s="9">
        <f t="shared" si="158"/>
        <v>-3.3532248155148776E-2</v>
      </c>
      <c r="I1447" s="9">
        <f t="shared" si="159"/>
        <v>-9.6609472679356559E-2</v>
      </c>
      <c r="J1447" s="9">
        <f t="shared" si="160"/>
        <v>16.512434557392691</v>
      </c>
    </row>
    <row r="1448" spans="2:10" x14ac:dyDescent="0.25">
      <c r="B1448" s="1">
        <v>42180</v>
      </c>
      <c r="C1448" s="13">
        <v>31.875</v>
      </c>
      <c r="D1448" s="6">
        <f t="shared" si="154"/>
        <v>-4.7770700636942109E-3</v>
      </c>
      <c r="E1448" s="14">
        <f t="shared" si="155"/>
        <v>2.1589630482577127E-4</v>
      </c>
      <c r="F1448" s="9">
        <f t="shared" si="156"/>
        <v>17.493295553226371</v>
      </c>
      <c r="G1448" s="9">
        <f t="shared" si="157"/>
        <v>-0.13044794260344411</v>
      </c>
      <c r="H1448" s="9">
        <f t="shared" si="158"/>
        <v>-3.4516620536456212E-3</v>
      </c>
      <c r="I1448" s="9">
        <f t="shared" si="159"/>
        <v>-4.1736455222928679E-3</v>
      </c>
      <c r="J1448" s="9">
        <f t="shared" si="160"/>
        <v>17.35522230304699</v>
      </c>
    </row>
    <row r="1449" spans="2:10" x14ac:dyDescent="0.25">
      <c r="B1449" s="1">
        <v>42179</v>
      </c>
      <c r="C1449" s="13">
        <v>32.027999999999999</v>
      </c>
      <c r="D1449" s="6">
        <f t="shared" si="154"/>
        <v>8.5017948233516716E-3</v>
      </c>
      <c r="E1449" s="14">
        <f t="shared" si="155"/>
        <v>2.1901478131366314E-4</v>
      </c>
      <c r="F1449" s="9">
        <f t="shared" si="156"/>
        <v>17.47895455326708</v>
      </c>
      <c r="G1449" s="9">
        <f t="shared" si="157"/>
        <v>-9.3915938502748222E-2</v>
      </c>
      <c r="H1449" s="9">
        <f t="shared" si="158"/>
        <v>-8.4747534758143634E-3</v>
      </c>
      <c r="I1449" s="9">
        <f t="shared" si="159"/>
        <v>-5.3370596352646217E-2</v>
      </c>
      <c r="J1449" s="9">
        <f t="shared" si="160"/>
        <v>17.323193264935874</v>
      </c>
    </row>
    <row r="1450" spans="2:10" x14ac:dyDescent="0.25">
      <c r="B1450" s="1">
        <v>42178</v>
      </c>
      <c r="C1450" s="13">
        <v>31.757999999999999</v>
      </c>
      <c r="D1450" s="6">
        <f t="shared" si="154"/>
        <v>-4.5450271134376274E-3</v>
      </c>
      <c r="E1450" s="14">
        <f t="shared" si="155"/>
        <v>2.2003521145769721E-4</v>
      </c>
      <c r="F1450" s="9">
        <f t="shared" si="156"/>
        <v>17.474306189763027</v>
      </c>
      <c r="G1450" s="9">
        <f t="shared" si="157"/>
        <v>-0.10770515721107862</v>
      </c>
      <c r="H1450" s="9">
        <f t="shared" si="158"/>
        <v>4.2077383473323659E-3</v>
      </c>
      <c r="I1450" s="9">
        <f t="shared" si="159"/>
        <v>-8.9171659581235782E-3</v>
      </c>
      <c r="J1450" s="9">
        <f t="shared" si="160"/>
        <v>17.361891604941157</v>
      </c>
    </row>
    <row r="1451" spans="2:10" x14ac:dyDescent="0.25">
      <c r="B1451" s="1">
        <v>42177</v>
      </c>
      <c r="C1451" s="13">
        <v>31.902999999999999</v>
      </c>
      <c r="D1451" s="6">
        <f t="shared" si="154"/>
        <v>7.9936808846761132E-3</v>
      </c>
      <c r="E1451" s="14">
        <f t="shared" si="155"/>
        <v>2.1980146336653884E-4</v>
      </c>
      <c r="F1451" s="9">
        <f t="shared" si="156"/>
        <v>17.475369075722945</v>
      </c>
      <c r="G1451" s="9">
        <f t="shared" si="157"/>
        <v>-8.692154343003837E-2</v>
      </c>
      <c r="H1451" s="9">
        <f t="shared" si="158"/>
        <v>-1.1778231473657673E-3</v>
      </c>
      <c r="I1451" s="9">
        <f t="shared" si="159"/>
        <v>-1.7417400091563389E-4</v>
      </c>
      <c r="J1451" s="9">
        <f t="shared" si="160"/>
        <v>17.387095535144628</v>
      </c>
    </row>
    <row r="1452" spans="2:10" x14ac:dyDescent="0.25">
      <c r="B1452" s="1">
        <v>42174</v>
      </c>
      <c r="C1452" s="13">
        <v>31.65</v>
      </c>
      <c r="D1452" s="6">
        <f t="shared" si="154"/>
        <v>-1.0009383797309979E-2</v>
      </c>
      <c r="E1452" s="14">
        <f t="shared" si="155"/>
        <v>2.216982737270678E-4</v>
      </c>
      <c r="F1452" s="9">
        <f t="shared" si="156"/>
        <v>17.466776445323443</v>
      </c>
      <c r="G1452" s="9">
        <f t="shared" si="157"/>
        <v>-9.1678930317882656E-2</v>
      </c>
      <c r="H1452" s="9">
        <f t="shared" si="158"/>
        <v>5.7283600590868197E-3</v>
      </c>
      <c r="I1452" s="9">
        <f t="shared" si="159"/>
        <v>-2.2641380342777892E-2</v>
      </c>
      <c r="J1452" s="9">
        <f t="shared" si="160"/>
        <v>17.358184494721868</v>
      </c>
    </row>
    <row r="1453" spans="2:10" x14ac:dyDescent="0.25">
      <c r="B1453" s="1">
        <v>42173</v>
      </c>
      <c r="C1453" s="13">
        <v>31.97</v>
      </c>
      <c r="D1453" s="6">
        <f t="shared" si="154"/>
        <v>4.556166535742312E-3</v>
      </c>
      <c r="E1453" s="14">
        <f t="shared" si="155"/>
        <v>2.2094544079481469E-4</v>
      </c>
      <c r="F1453" s="9">
        <f t="shared" si="156"/>
        <v>17.470177978581177</v>
      </c>
      <c r="G1453" s="9">
        <f t="shared" si="157"/>
        <v>-0.3073479620305114</v>
      </c>
      <c r="H1453" s="9">
        <f t="shared" si="158"/>
        <v>-1.8752007339400679E-4</v>
      </c>
      <c r="I1453" s="9">
        <f t="shared" si="159"/>
        <v>-4.2124256663345706E-4</v>
      </c>
      <c r="J1453" s="9">
        <f t="shared" si="160"/>
        <v>17.162221253910637</v>
      </c>
    </row>
    <row r="1454" spans="2:10" x14ac:dyDescent="0.25">
      <c r="B1454" s="1">
        <v>42172</v>
      </c>
      <c r="C1454" s="13">
        <v>31.824999999999999</v>
      </c>
      <c r="D1454" s="6">
        <f t="shared" si="154"/>
        <v>-2.3510971786833146E-3</v>
      </c>
      <c r="E1454" s="14">
        <f t="shared" si="155"/>
        <v>2.2102979298430471E-4</v>
      </c>
      <c r="F1454" s="9">
        <f t="shared" si="156"/>
        <v>17.469796273073413</v>
      </c>
      <c r="G1454" s="9">
        <f t="shared" si="157"/>
        <v>-1.9461985507888933E-2</v>
      </c>
      <c r="H1454" s="9">
        <f t="shared" si="158"/>
        <v>8.6744966462637331E-4</v>
      </c>
      <c r="I1454" s="9">
        <f t="shared" si="159"/>
        <v>-1.1285894240545403E-3</v>
      </c>
      <c r="J1454" s="9">
        <f t="shared" si="160"/>
        <v>17.450073147806094</v>
      </c>
    </row>
    <row r="1455" spans="2:10" x14ac:dyDescent="0.25">
      <c r="B1455" s="1">
        <v>42171</v>
      </c>
      <c r="C1455" s="13">
        <v>31.9</v>
      </c>
      <c r="D1455" s="6">
        <f t="shared" si="154"/>
        <v>5.3577056413487423E-3</v>
      </c>
      <c r="E1455" s="14">
        <f t="shared" si="155"/>
        <v>2.2163691715222216E-4</v>
      </c>
      <c r="F1455" s="9">
        <f t="shared" si="156"/>
        <v>17.467053240743702</v>
      </c>
      <c r="G1455" s="9">
        <f t="shared" si="157"/>
        <v>-3.5812785675055567E-2</v>
      </c>
      <c r="H1455" s="9">
        <f t="shared" si="158"/>
        <v>-1.8689681223136082E-3</v>
      </c>
      <c r="I1455" s="9">
        <f t="shared" si="159"/>
        <v>-4.5204553312651555E-3</v>
      </c>
      <c r="J1455" s="9">
        <f t="shared" si="160"/>
        <v>17.42485103161507</v>
      </c>
    </row>
    <row r="1456" spans="2:10" x14ac:dyDescent="0.25">
      <c r="B1456" s="1">
        <v>42170</v>
      </c>
      <c r="C1456" s="13">
        <v>31.73</v>
      </c>
      <c r="D1456" s="6">
        <f t="shared" si="154"/>
        <v>-1.9815682697448267E-3</v>
      </c>
      <c r="E1456" s="14">
        <f t="shared" si="155"/>
        <v>2.2214803864316359E-4</v>
      </c>
      <c r="F1456" s="9">
        <f t="shared" si="156"/>
        <v>17.464749775021101</v>
      </c>
      <c r="G1456" s="9">
        <f t="shared" si="157"/>
        <v>-3.1413153982196643E-2</v>
      </c>
      <c r="H1456" s="9">
        <f t="shared" si="158"/>
        <v>1.6291878447945792E-3</v>
      </c>
      <c r="I1456" s="9">
        <f t="shared" si="159"/>
        <v>-3.7102109170742484E-3</v>
      </c>
      <c r="J1456" s="9">
        <f t="shared" si="160"/>
        <v>17.431255597966626</v>
      </c>
    </row>
    <row r="1457" spans="2:10" x14ac:dyDescent="0.25">
      <c r="B1457" s="1">
        <v>42167</v>
      </c>
      <c r="C1457" s="13">
        <v>31.792999999999999</v>
      </c>
      <c r="D1457" s="6">
        <f t="shared" si="154"/>
        <v>-1.1042677616025953E-2</v>
      </c>
      <c r="E1457" s="14">
        <f t="shared" si="155"/>
        <v>2.2877726748798822E-4</v>
      </c>
      <c r="F1457" s="9">
        <f t="shared" si="156"/>
        <v>17.435344876203956</v>
      </c>
      <c r="G1457" s="9">
        <f t="shared" si="157"/>
        <v>-2.8549217557287111E-2</v>
      </c>
      <c r="H1457" s="9">
        <f t="shared" si="158"/>
        <v>-8.6668197123862534E-3</v>
      </c>
      <c r="I1457" s="9">
        <f t="shared" si="159"/>
        <v>-0.20079761031450474</v>
      </c>
      <c r="J1457" s="9">
        <f t="shared" si="160"/>
        <v>17.197331228619777</v>
      </c>
    </row>
    <row r="1458" spans="2:10" x14ac:dyDescent="0.25">
      <c r="B1458" s="1">
        <v>42166</v>
      </c>
      <c r="C1458" s="13">
        <v>32.148000000000003</v>
      </c>
      <c r="D1458" s="6">
        <f t="shared" si="154"/>
        <v>-2.2346368715082665E-3</v>
      </c>
      <c r="E1458" s="14">
        <f t="shared" si="155"/>
        <v>2.3206271640968621E-4</v>
      </c>
      <c r="F1458" s="9">
        <f t="shared" si="156"/>
        <v>17.421086110902849</v>
      </c>
      <c r="G1458" s="9">
        <f t="shared" si="157"/>
        <v>-0.34689891521798949</v>
      </c>
      <c r="H1458" s="9">
        <f t="shared" si="158"/>
        <v>-1.6497229029658222E-2</v>
      </c>
      <c r="I1458" s="9">
        <f t="shared" si="159"/>
        <v>-5.457132071776364E-2</v>
      </c>
      <c r="J1458" s="9">
        <f t="shared" si="160"/>
        <v>17.003118645937441</v>
      </c>
    </row>
    <row r="1459" spans="2:10" x14ac:dyDescent="0.25">
      <c r="B1459" s="1">
        <v>42165</v>
      </c>
      <c r="C1459" s="13">
        <v>32.22</v>
      </c>
      <c r="D1459" s="6">
        <f t="shared" si="154"/>
        <v>1.1458169832051501E-2</v>
      </c>
      <c r="E1459" s="14">
        <f t="shared" si="155"/>
        <v>2.3388605168309185E-4</v>
      </c>
      <c r="F1459" s="9">
        <f t="shared" si="156"/>
        <v>17.413259737253277</v>
      </c>
      <c r="G1459" s="9">
        <f t="shared" si="157"/>
        <v>-3.1979396783171805E-2</v>
      </c>
      <c r="H1459" s="9">
        <f t="shared" si="158"/>
        <v>-3.2041843558457241E-3</v>
      </c>
      <c r="I1459" s="9">
        <f t="shared" si="159"/>
        <v>-1.9771878809182884E-2</v>
      </c>
      <c r="J1459" s="9">
        <f t="shared" si="160"/>
        <v>17.358304277305077</v>
      </c>
    </row>
    <row r="1460" spans="2:10" x14ac:dyDescent="0.25">
      <c r="B1460" s="1">
        <v>42164</v>
      </c>
      <c r="C1460" s="13">
        <v>31.855</v>
      </c>
      <c r="D1460" s="6">
        <f t="shared" si="154"/>
        <v>-2.9733959311423197E-3</v>
      </c>
      <c r="E1460" s="14">
        <f t="shared" si="155"/>
        <v>2.3497731170875138E-4</v>
      </c>
      <c r="F1460" s="9">
        <f t="shared" si="156"/>
        <v>17.408604811825768</v>
      </c>
      <c r="G1460" s="9">
        <f t="shared" si="157"/>
        <v>-0.20625615648755019</v>
      </c>
      <c r="H1460" s="9">
        <f t="shared" si="158"/>
        <v>5.8537679220749365E-3</v>
      </c>
      <c r="I1460" s="9">
        <f t="shared" si="159"/>
        <v>-8.8868468970411292E-3</v>
      </c>
      <c r="J1460" s="9">
        <f t="shared" si="160"/>
        <v>17.199315576363251</v>
      </c>
    </row>
    <row r="1461" spans="2:10" x14ac:dyDescent="0.25">
      <c r="B1461" s="1">
        <v>42163</v>
      </c>
      <c r="C1461" s="13">
        <v>31.95</v>
      </c>
      <c r="D1461" s="6">
        <f t="shared" si="154"/>
        <v>-6.6225165562913135E-3</v>
      </c>
      <c r="E1461" s="14">
        <f t="shared" si="155"/>
        <v>2.3758852832743774E-4</v>
      </c>
      <c r="F1461" s="9">
        <f t="shared" si="156"/>
        <v>17.397553470516137</v>
      </c>
      <c r="G1461" s="9">
        <f t="shared" si="157"/>
        <v>-4.4677007996329565E-2</v>
      </c>
      <c r="H1461" s="9">
        <f t="shared" si="158"/>
        <v>-4.8857552962008124E-3</v>
      </c>
      <c r="I1461" s="9">
        <f t="shared" si="159"/>
        <v>-3.5441774481698891E-2</v>
      </c>
      <c r="J1461" s="9">
        <f t="shared" si="160"/>
        <v>17.312548932741905</v>
      </c>
    </row>
    <row r="1462" spans="2:10" x14ac:dyDescent="0.25">
      <c r="B1462" s="1">
        <v>42160</v>
      </c>
      <c r="C1462" s="13">
        <v>32.162999999999997</v>
      </c>
      <c r="D1462" s="6">
        <f t="shared" si="154"/>
        <v>-5.4730983302413438E-3</v>
      </c>
      <c r="E1462" s="14">
        <f t="shared" si="155"/>
        <v>2.3722004349108506E-4</v>
      </c>
      <c r="F1462" s="9">
        <f t="shared" si="156"/>
        <v>17.399105611451247</v>
      </c>
      <c r="G1462" s="9">
        <f t="shared" si="157"/>
        <v>-0.14387840440838287</v>
      </c>
      <c r="H1462" s="9">
        <f t="shared" si="158"/>
        <v>-1.1121807353407602E-3</v>
      </c>
      <c r="I1462" s="9">
        <f t="shared" si="159"/>
        <v>-6.2354193963150481E-6</v>
      </c>
      <c r="J1462" s="9">
        <f t="shared" si="160"/>
        <v>17.254108790888129</v>
      </c>
    </row>
    <row r="1463" spans="2:10" x14ac:dyDescent="0.25">
      <c r="B1463" s="1">
        <v>42159</v>
      </c>
      <c r="C1463" s="13">
        <v>32.340000000000003</v>
      </c>
      <c r="D1463" s="6">
        <f t="shared" si="154"/>
        <v>-5.840762373193864E-3</v>
      </c>
      <c r="E1463" s="14">
        <f t="shared" si="155"/>
        <v>2.4025093268780114E-4</v>
      </c>
      <c r="F1463" s="9">
        <f t="shared" si="156"/>
        <v>17.386409845390737</v>
      </c>
      <c r="G1463" s="9">
        <f t="shared" si="157"/>
        <v>-0.10523485008461408</v>
      </c>
      <c r="H1463" s="9">
        <f t="shared" si="158"/>
        <v>-8.3738702339919164E-3</v>
      </c>
      <c r="I1463" s="9">
        <f t="shared" si="159"/>
        <v>-4.535385243891666E-2</v>
      </c>
      <c r="J1463" s="9">
        <f t="shared" si="160"/>
        <v>17.227447272633214</v>
      </c>
    </row>
    <row r="1464" spans="2:10" x14ac:dyDescent="0.25">
      <c r="B1464" s="1">
        <v>42158</v>
      </c>
      <c r="C1464" s="13">
        <v>32.53</v>
      </c>
      <c r="D1464" s="6">
        <f t="shared" si="154"/>
        <v>1.2311480455524659E-3</v>
      </c>
      <c r="E1464" s="14">
        <f t="shared" si="155"/>
        <v>2.4148021421443802E-4</v>
      </c>
      <c r="F1464" s="9">
        <f t="shared" si="156"/>
        <v>17.381306234371259</v>
      </c>
      <c r="G1464" s="9">
        <f t="shared" si="157"/>
        <v>-0.1158225892021458</v>
      </c>
      <c r="H1464" s="9">
        <f t="shared" si="158"/>
        <v>-4.6427634780155198E-3</v>
      </c>
      <c r="I1464" s="9">
        <f t="shared" si="159"/>
        <v>-1.0173441911774826E-2</v>
      </c>
      <c r="J1464" s="9">
        <f t="shared" si="160"/>
        <v>17.25066743977932</v>
      </c>
    </row>
    <row r="1465" spans="2:10" x14ac:dyDescent="0.25">
      <c r="B1465" s="1">
        <v>42157</v>
      </c>
      <c r="C1465" s="13">
        <v>32.49</v>
      </c>
      <c r="D1465" s="6">
        <f t="shared" si="154"/>
        <v>-4.4125758411471816E-3</v>
      </c>
      <c r="E1465" s="14">
        <f t="shared" si="155"/>
        <v>2.4621641993679064E-4</v>
      </c>
      <c r="F1465" s="9">
        <f t="shared" si="156"/>
        <v>17.361882870374238</v>
      </c>
      <c r="G1465" s="9">
        <f t="shared" si="157"/>
        <v>-3.1971784062627997E-4</v>
      </c>
      <c r="H1465" s="9">
        <f t="shared" si="158"/>
        <v>-6.588433602453483E-4</v>
      </c>
      <c r="I1465" s="9">
        <f t="shared" si="159"/>
        <v>-9.8735069472004458E-2</v>
      </c>
      <c r="J1465" s="9">
        <f t="shared" si="160"/>
        <v>17.262169239701365</v>
      </c>
    </row>
    <row r="1466" spans="2:10" x14ac:dyDescent="0.25">
      <c r="B1466" s="1">
        <v>42156</v>
      </c>
      <c r="C1466" s="13">
        <v>32.634</v>
      </c>
      <c r="D1466" s="6">
        <f t="shared" si="154"/>
        <v>1.9649984648448804E-3</v>
      </c>
      <c r="E1466" s="14">
        <f t="shared" si="155"/>
        <v>2.4620251406550398E-4</v>
      </c>
      <c r="F1466" s="9">
        <f t="shared" si="156"/>
        <v>17.361939350214186</v>
      </c>
      <c r="G1466" s="9">
        <f t="shared" si="157"/>
        <v>-7.430599087307635E-2</v>
      </c>
      <c r="H1466" s="9">
        <f t="shared" si="158"/>
        <v>-1.4277475691510605E-3</v>
      </c>
      <c r="I1466" s="9">
        <f t="shared" si="159"/>
        <v>-5.4105997181635209E-4</v>
      </c>
      <c r="J1466" s="9">
        <f t="shared" si="160"/>
        <v>17.285664551800146</v>
      </c>
    </row>
    <row r="1467" spans="2:10" x14ac:dyDescent="0.25">
      <c r="B1467" s="1">
        <v>42153</v>
      </c>
      <c r="C1467" s="13">
        <v>32.57</v>
      </c>
      <c r="D1467" s="6">
        <f t="shared" si="154"/>
        <v>-1.1382607375929554E-2</v>
      </c>
      <c r="E1467" s="14">
        <f t="shared" si="155"/>
        <v>2.4639696311375879E-4</v>
      </c>
      <c r="F1467" s="9">
        <f t="shared" si="156"/>
        <v>17.361149868830779</v>
      </c>
      <c r="G1467" s="9">
        <f t="shared" si="157"/>
        <v>-2.3203342467073047E-4</v>
      </c>
      <c r="H1467" s="9">
        <f t="shared" si="158"/>
        <v>1.0086431629419926E-4</v>
      </c>
      <c r="I1467" s="9">
        <f t="shared" si="159"/>
        <v>-1.2952574908744923E-3</v>
      </c>
      <c r="J1467" s="9">
        <f t="shared" si="160"/>
        <v>17.35972344223153</v>
      </c>
    </row>
    <row r="1468" spans="2:10" x14ac:dyDescent="0.25">
      <c r="B1468" s="1">
        <v>42152</v>
      </c>
      <c r="C1468" s="13">
        <v>32.945</v>
      </c>
      <c r="D1468" s="6">
        <f t="shared" si="154"/>
        <v>-1.9993335554815417E-3</v>
      </c>
      <c r="E1468" s="14">
        <f t="shared" si="155"/>
        <v>2.459420018713694E-4</v>
      </c>
      <c r="F1468" s="9">
        <f t="shared" si="156"/>
        <v>17.362998032003908</v>
      </c>
      <c r="G1468" s="9">
        <f t="shared" si="157"/>
        <v>-0.34512167551621786</v>
      </c>
      <c r="H1468" s="9">
        <f t="shared" si="158"/>
        <v>-1.3534507202173321E-3</v>
      </c>
      <c r="I1468" s="9">
        <f t="shared" si="159"/>
        <v>-1.3927749264495893E-5</v>
      </c>
      <c r="J1468" s="9">
        <f t="shared" si="160"/>
        <v>17.016508978018209</v>
      </c>
    </row>
    <row r="1469" spans="2:10" x14ac:dyDescent="0.25">
      <c r="B1469" s="1">
        <v>42151</v>
      </c>
      <c r="C1469" s="13">
        <v>33.011000000000003</v>
      </c>
      <c r="D1469" s="6">
        <f t="shared" si="154"/>
        <v>1.8700817775034739E-2</v>
      </c>
      <c r="E1469" s="14">
        <f t="shared" si="155"/>
        <v>2.4606904412403252E-4</v>
      </c>
      <c r="F1469" s="9">
        <f t="shared" si="156"/>
        <v>17.362481611665295</v>
      </c>
      <c r="G1469" s="9">
        <f t="shared" si="157"/>
        <v>-2.6804970298419304E-2</v>
      </c>
      <c r="H1469" s="9">
        <f t="shared" si="158"/>
        <v>-1.0113636378315473E-3</v>
      </c>
      <c r="I1469" s="9">
        <f t="shared" si="159"/>
        <v>-1.0186781529205545E-3</v>
      </c>
      <c r="J1469" s="9">
        <f t="shared" si="160"/>
        <v>17.333646599576124</v>
      </c>
    </row>
    <row r="1470" spans="2:10" x14ac:dyDescent="0.25">
      <c r="B1470" s="1">
        <v>42150</v>
      </c>
      <c r="C1470" s="13">
        <v>32.405000000000001</v>
      </c>
      <c r="D1470" s="6">
        <f t="shared" si="154"/>
        <v>-2.2031084955485003E-2</v>
      </c>
      <c r="E1470" s="14">
        <f t="shared" si="155"/>
        <v>2.5282603579827628E-4</v>
      </c>
      <c r="F1470" s="9">
        <f t="shared" si="156"/>
        <v>17.335392128710865</v>
      </c>
      <c r="G1470" s="9">
        <f t="shared" si="157"/>
        <v>-0.57819591110033097</v>
      </c>
      <c r="H1470" s="9">
        <f t="shared" si="158"/>
        <v>3.7739829782414441E-2</v>
      </c>
      <c r="I1470" s="9">
        <f t="shared" si="159"/>
        <v>-0.1862596105525422</v>
      </c>
      <c r="J1470" s="9">
        <f t="shared" si="160"/>
        <v>16.608676436840405</v>
      </c>
    </row>
    <row r="1471" spans="2:10" x14ac:dyDescent="0.25">
      <c r="B1471" s="1">
        <v>42146</v>
      </c>
      <c r="C1471" s="13">
        <v>33.134999999999998</v>
      </c>
      <c r="D1471" s="6">
        <f t="shared" si="154"/>
        <v>8.7372138334145255E-3</v>
      </c>
      <c r="E1471" s="14">
        <f t="shared" si="155"/>
        <v>2.4845316601614114E-4</v>
      </c>
      <c r="F1471" s="9">
        <f t="shared" si="156"/>
        <v>17.352839414350115</v>
      </c>
      <c r="G1471" s="9">
        <f t="shared" si="157"/>
        <v>-1.1297457518931671</v>
      </c>
      <c r="H1471" s="9">
        <f t="shared" si="158"/>
        <v>2.5149737908330989E-2</v>
      </c>
      <c r="I1471" s="9">
        <f t="shared" si="159"/>
        <v>-5.898622637128801E-2</v>
      </c>
      <c r="J1471" s="9">
        <f t="shared" si="160"/>
        <v>16.18925717399399</v>
      </c>
    </row>
    <row r="1472" spans="2:10" x14ac:dyDescent="0.25">
      <c r="B1472" s="1">
        <v>42145</v>
      </c>
      <c r="C1472" s="13">
        <v>32.847999999999999</v>
      </c>
      <c r="D1472" s="6">
        <f t="shared" si="154"/>
        <v>1.0241427033676809E-2</v>
      </c>
      <c r="E1472" s="14">
        <f t="shared" si="155"/>
        <v>2.4894382870380036E-4</v>
      </c>
      <c r="F1472" s="9">
        <f t="shared" si="156"/>
        <v>17.350866491907787</v>
      </c>
      <c r="G1472" s="9">
        <f t="shared" si="157"/>
        <v>-0.10182973648742522</v>
      </c>
      <c r="H1472" s="9">
        <f t="shared" si="158"/>
        <v>2.7277102852412E-3</v>
      </c>
      <c r="I1472" s="9">
        <f t="shared" si="159"/>
        <v>-2.8722078438154128E-3</v>
      </c>
      <c r="J1472" s="9">
        <f t="shared" si="160"/>
        <v>17.24889225786179</v>
      </c>
    </row>
    <row r="1473" spans="2:10" x14ac:dyDescent="0.25">
      <c r="B1473" s="1">
        <v>42144</v>
      </c>
      <c r="C1473" s="13">
        <v>32.515000000000001</v>
      </c>
      <c r="D1473" s="6">
        <f t="shared" si="154"/>
        <v>-9.2256596346595998E-5</v>
      </c>
      <c r="E1473" s="14">
        <f t="shared" si="155"/>
        <v>2.4899332558469666E-4</v>
      </c>
      <c r="F1473" s="9">
        <f t="shared" si="156"/>
        <v>17.350667684164147</v>
      </c>
      <c r="G1473" s="9">
        <f t="shared" si="157"/>
        <v>-0.14944561935179118</v>
      </c>
      <c r="H1473" s="9">
        <f t="shared" si="158"/>
        <v>2.1756057713887217E-3</v>
      </c>
      <c r="I1473" s="9">
        <f t="shared" si="159"/>
        <v>-7.1345953522131914E-4</v>
      </c>
      <c r="J1473" s="9">
        <f t="shared" si="160"/>
        <v>17.202684211048524</v>
      </c>
    </row>
    <row r="1474" spans="2:10" x14ac:dyDescent="0.25">
      <c r="B1474" s="1">
        <v>42143</v>
      </c>
      <c r="C1474" s="13">
        <v>32.518000000000001</v>
      </c>
      <c r="D1474" s="6">
        <f t="shared" si="154"/>
        <v>-9.2171562000742391E-4</v>
      </c>
      <c r="E1474" s="14">
        <f t="shared" si="155"/>
        <v>2.5154080938613718E-4</v>
      </c>
      <c r="F1474" s="9">
        <f t="shared" si="156"/>
        <v>17.340488535051655</v>
      </c>
      <c r="G1474" s="9">
        <f t="shared" si="157"/>
        <v>-5.8952526230744724E-3</v>
      </c>
      <c r="H1474" s="9">
        <f t="shared" si="158"/>
        <v>-1.6926258063573163E-3</v>
      </c>
      <c r="I1474" s="9">
        <f t="shared" si="159"/>
        <v>-3.1578337122240674E-2</v>
      </c>
      <c r="J1474" s="9">
        <f t="shared" si="160"/>
        <v>17.301322319499985</v>
      </c>
    </row>
    <row r="1475" spans="2:10" x14ac:dyDescent="0.25">
      <c r="B1475" s="1">
        <v>42142</v>
      </c>
      <c r="C1475" s="13">
        <v>32.548000000000002</v>
      </c>
      <c r="D1475" s="6">
        <f t="shared" si="154"/>
        <v>1.1027241947007216E-2</v>
      </c>
      <c r="E1475" s="14">
        <f t="shared" si="155"/>
        <v>2.5150941556019148E-4</v>
      </c>
      <c r="F1475" s="9">
        <f t="shared" si="156"/>
        <v>17.34061334893476</v>
      </c>
      <c r="G1475" s="9">
        <f t="shared" si="157"/>
        <v>-1.2955693008576847E-2</v>
      </c>
      <c r="H1475" s="9">
        <f t="shared" si="158"/>
        <v>-5.7674073696309977E-4</v>
      </c>
      <c r="I1475" s="9">
        <f t="shared" si="159"/>
        <v>-4.5890077176018298E-4</v>
      </c>
      <c r="J1475" s="9">
        <f t="shared" si="160"/>
        <v>17.326622014417456</v>
      </c>
    </row>
    <row r="1476" spans="2:10" x14ac:dyDescent="0.25">
      <c r="B1476" s="1">
        <v>42139</v>
      </c>
      <c r="C1476" s="13">
        <v>32.192999999999998</v>
      </c>
      <c r="D1476" s="6">
        <f t="shared" si="154"/>
        <v>-1.3958682300391212E-3</v>
      </c>
      <c r="E1476" s="14">
        <f t="shared" si="155"/>
        <v>2.5214217277077123E-4</v>
      </c>
      <c r="F1476" s="9">
        <f t="shared" si="156"/>
        <v>17.338100669304033</v>
      </c>
      <c r="G1476" s="9">
        <f t="shared" si="157"/>
        <v>-0.1757331177976619</v>
      </c>
      <c r="H1476" s="9">
        <f t="shared" si="158"/>
        <v>3.952234493248016E-3</v>
      </c>
      <c r="I1476" s="9">
        <f t="shared" si="159"/>
        <v>-3.7862659525918713E-3</v>
      </c>
      <c r="J1476" s="9">
        <f t="shared" si="160"/>
        <v>17.162533520047027</v>
      </c>
    </row>
    <row r="1477" spans="2:10" x14ac:dyDescent="0.25">
      <c r="B1477" s="1">
        <v>42138</v>
      </c>
      <c r="C1477" s="13">
        <v>32.238</v>
      </c>
      <c r="D1477" s="6">
        <f t="shared" si="154"/>
        <v>2.3331111322731246E-2</v>
      </c>
      <c r="E1477" s="14">
        <f t="shared" si="155"/>
        <v>2.5262371007788359E-4</v>
      </c>
      <c r="F1477" s="9">
        <f t="shared" si="156"/>
        <v>17.336192705752794</v>
      </c>
      <c r="G1477" s="9">
        <f t="shared" si="157"/>
        <v>-1.8143364089159009E-2</v>
      </c>
      <c r="H1477" s="9">
        <f t="shared" si="158"/>
        <v>-1.1348914438741174E-3</v>
      </c>
      <c r="I1477" s="9">
        <f t="shared" si="159"/>
        <v>-2.7333244002301096E-3</v>
      </c>
      <c r="J1477" s="9">
        <f t="shared" si="160"/>
        <v>17.31418112581953</v>
      </c>
    </row>
    <row r="1478" spans="2:10" x14ac:dyDescent="0.25">
      <c r="B1478" s="1">
        <v>42137</v>
      </c>
      <c r="C1478" s="13">
        <v>31.503</v>
      </c>
      <c r="D1478" s="6">
        <f t="shared" si="154"/>
        <v>1.1758723701773555E-3</v>
      </c>
      <c r="E1478" s="14">
        <f t="shared" si="155"/>
        <v>2.4966385947771953E-4</v>
      </c>
      <c r="F1478" s="9">
        <f t="shared" si="156"/>
        <v>17.347978324350414</v>
      </c>
      <c r="G1478" s="9">
        <f t="shared" si="157"/>
        <v>-0.94616667946036703</v>
      </c>
      <c r="H1478" s="9">
        <f t="shared" si="158"/>
        <v>-1.3877127864613948E-2</v>
      </c>
      <c r="I1478" s="9">
        <f t="shared" si="159"/>
        <v>-2.4476543422881109E-2</v>
      </c>
      <c r="J1478" s="9">
        <f t="shared" si="160"/>
        <v>16.36345797360255</v>
      </c>
    </row>
    <row r="1479" spans="2:10" x14ac:dyDescent="0.25">
      <c r="B1479" s="1">
        <v>42136</v>
      </c>
      <c r="C1479" s="13">
        <v>31.466000000000001</v>
      </c>
      <c r="D1479" s="6">
        <f t="shared" si="154"/>
        <v>-3.6098796706776071E-3</v>
      </c>
      <c r="E1479" s="14">
        <f t="shared" si="155"/>
        <v>2.4971917125798655E-4</v>
      </c>
      <c r="F1479" s="9">
        <f t="shared" si="156"/>
        <v>17.347756803885808</v>
      </c>
      <c r="G1479" s="9">
        <f t="shared" si="157"/>
        <v>-4.0932810446818295E-4</v>
      </c>
      <c r="H1479" s="9">
        <f t="shared" si="158"/>
        <v>-1.1447260040337437E-4</v>
      </c>
      <c r="I1479" s="9">
        <f t="shared" si="159"/>
        <v>-7.2643458755885951E-4</v>
      </c>
      <c r="J1479" s="9">
        <f t="shared" si="160"/>
        <v>17.346506568593377</v>
      </c>
    </row>
    <row r="1480" spans="2:10" x14ac:dyDescent="0.25">
      <c r="B1480" s="1">
        <v>42135</v>
      </c>
      <c r="C1480" s="13">
        <v>31.58</v>
      </c>
      <c r="D1480" s="6">
        <f t="shared" si="154"/>
        <v>-1.0186491145588561E-2</v>
      </c>
      <c r="E1480" s="14">
        <f t="shared" si="155"/>
        <v>2.5056212171550477E-4</v>
      </c>
      <c r="F1480" s="9">
        <f t="shared" si="156"/>
        <v>17.344386894728338</v>
      </c>
      <c r="G1480" s="9">
        <f t="shared" si="157"/>
        <v>-5.4896024637031894E-2</v>
      </c>
      <c r="H1480" s="9">
        <f t="shared" si="158"/>
        <v>-2.5407685529725728E-3</v>
      </c>
      <c r="I1480" s="9">
        <f t="shared" si="159"/>
        <v>-5.5723383281117405E-3</v>
      </c>
      <c r="J1480" s="9">
        <f t="shared" si="160"/>
        <v>17.281377763210223</v>
      </c>
    </row>
    <row r="1481" spans="2:10" x14ac:dyDescent="0.25">
      <c r="B1481" s="1">
        <v>42132</v>
      </c>
      <c r="C1481" s="13">
        <v>31.905000000000001</v>
      </c>
      <c r="D1481" s="6">
        <f t="shared" si="154"/>
        <v>1.884081111288527E-2</v>
      </c>
      <c r="E1481" s="14">
        <f t="shared" si="155"/>
        <v>2.5088390776669946E-4</v>
      </c>
      <c r="F1481" s="9">
        <f t="shared" si="156"/>
        <v>17.343103462109688</v>
      </c>
      <c r="G1481" s="9">
        <f t="shared" si="157"/>
        <v>-0.27897329531750548</v>
      </c>
      <c r="H1481" s="9">
        <f t="shared" si="158"/>
        <v>-3.9093415905881689E-3</v>
      </c>
      <c r="I1481" s="9">
        <f t="shared" si="159"/>
        <v>-1.8440935884491696E-3</v>
      </c>
      <c r="J1481" s="9">
        <f t="shared" si="160"/>
        <v>17.058376731613144</v>
      </c>
    </row>
    <row r="1482" spans="2:10" x14ac:dyDescent="0.25">
      <c r="B1482" s="1">
        <v>42131</v>
      </c>
      <c r="C1482" s="13">
        <v>31.315000000000001</v>
      </c>
      <c r="D1482" s="6">
        <f t="shared" si="154"/>
        <v>1.9838095542827894E-3</v>
      </c>
      <c r="E1482" s="14">
        <f t="shared" si="155"/>
        <v>2.4969070523886021E-4</v>
      </c>
      <c r="F1482" s="9">
        <f t="shared" si="156"/>
        <v>17.347870802508968</v>
      </c>
      <c r="G1482" s="9">
        <f t="shared" si="157"/>
        <v>-0.59509645324926086</v>
      </c>
      <c r="H1482" s="9">
        <f t="shared" si="158"/>
        <v>-1.9993473823282861E-3</v>
      </c>
      <c r="I1482" s="9">
        <f t="shared" si="159"/>
        <v>-2.3995854947452717E-3</v>
      </c>
      <c r="J1482" s="9">
        <f t="shared" si="160"/>
        <v>16.748375416382633</v>
      </c>
    </row>
    <row r="1483" spans="2:10" x14ac:dyDescent="0.25">
      <c r="B1483" s="1">
        <v>42130</v>
      </c>
      <c r="C1483" s="13">
        <v>31.253</v>
      </c>
      <c r="D1483" s="6">
        <f t="shared" si="154"/>
        <v>-6.2639109697932849E-3</v>
      </c>
      <c r="E1483" s="14">
        <f t="shared" si="155"/>
        <v>2.5006366844657497E-4</v>
      </c>
      <c r="F1483" s="9">
        <f t="shared" si="156"/>
        <v>17.34637821616418</v>
      </c>
      <c r="G1483" s="9">
        <f t="shared" si="157"/>
        <v>-2.5481565216494084E-4</v>
      </c>
      <c r="H1483" s="9">
        <f t="shared" si="158"/>
        <v>1.2373831648330536E-4</v>
      </c>
      <c r="I1483" s="9">
        <f t="shared" si="159"/>
        <v>-2.1350276110941005E-3</v>
      </c>
      <c r="J1483" s="9">
        <f t="shared" si="160"/>
        <v>17.344112111217402</v>
      </c>
    </row>
    <row r="1484" spans="2:10" x14ac:dyDescent="0.25">
      <c r="B1484" s="1">
        <v>42129</v>
      </c>
      <c r="C1484" s="13">
        <v>31.45</v>
      </c>
      <c r="D1484" s="6">
        <f t="shared" si="154"/>
        <v>-2.2533022533022473E-2</v>
      </c>
      <c r="E1484" s="14">
        <f t="shared" si="155"/>
        <v>2.4966033785902268E-4</v>
      </c>
      <c r="F1484" s="9">
        <f t="shared" si="156"/>
        <v>17.347992429890326</v>
      </c>
      <c r="G1484" s="9">
        <f t="shared" si="157"/>
        <v>-0.12508245571085513</v>
      </c>
      <c r="H1484" s="9">
        <f t="shared" si="158"/>
        <v>-9.2938600818738885E-4</v>
      </c>
      <c r="I1484" s="9">
        <f t="shared" si="159"/>
        <v>-8.7915840862407989E-7</v>
      </c>
      <c r="J1484" s="9">
        <f t="shared" si="160"/>
        <v>17.221979709012871</v>
      </c>
    </row>
    <row r="1485" spans="2:10" x14ac:dyDescent="0.25">
      <c r="B1485" s="1">
        <v>42128</v>
      </c>
      <c r="C1485" s="13">
        <v>32.174999999999997</v>
      </c>
      <c r="D1485" s="6">
        <f t="shared" si="154"/>
        <v>-1.9542155220547697E-3</v>
      </c>
      <c r="E1485" s="14">
        <f t="shared" si="155"/>
        <v>2.4489968197621658E-4</v>
      </c>
      <c r="F1485" s="9">
        <f t="shared" si="156"/>
        <v>17.367245110017876</v>
      </c>
      <c r="G1485" s="9">
        <f t="shared" si="157"/>
        <v>-1.195287178673005</v>
      </c>
      <c r="H1485" s="9">
        <f t="shared" si="158"/>
        <v>2.8884777805974381E-2</v>
      </c>
      <c r="I1485" s="9">
        <f t="shared" si="159"/>
        <v>-7.1868255737316616E-2</v>
      </c>
      <c r="J1485" s="9">
        <f t="shared" si="160"/>
        <v>16.128974453413527</v>
      </c>
    </row>
    <row r="1486" spans="2:10" x14ac:dyDescent="0.25">
      <c r="B1486" s="1">
        <v>42125</v>
      </c>
      <c r="C1486" s="13">
        <v>32.238</v>
      </c>
      <c r="D1486" s="6">
        <f t="shared" si="154"/>
        <v>3.0363078496548068E-2</v>
      </c>
      <c r="E1486" s="14">
        <f t="shared" si="155"/>
        <v>2.4487358868840987E-4</v>
      </c>
      <c r="F1486" s="9">
        <f t="shared" si="156"/>
        <v>17.367351662536741</v>
      </c>
      <c r="G1486" s="9">
        <f t="shared" si="157"/>
        <v>-2.6269804339117207E-2</v>
      </c>
      <c r="H1486" s="9">
        <f t="shared" si="158"/>
        <v>-8.3804205785245535E-4</v>
      </c>
      <c r="I1486" s="9">
        <f t="shared" si="159"/>
        <v>-5.1575351084209896E-4</v>
      </c>
      <c r="J1486" s="9">
        <f t="shared" si="160"/>
        <v>17.339728062628925</v>
      </c>
    </row>
    <row r="1487" spans="2:10" x14ac:dyDescent="0.25">
      <c r="B1487" s="1">
        <v>42124</v>
      </c>
      <c r="C1487" s="13">
        <v>31.288</v>
      </c>
      <c r="D1487" s="6">
        <f t="shared" si="154"/>
        <v>-2.71144278606964E-2</v>
      </c>
      <c r="E1487" s="14">
        <f t="shared" si="155"/>
        <v>2.3789422077818745E-4</v>
      </c>
      <c r="F1487" s="9">
        <f t="shared" si="156"/>
        <v>17.396267651026605</v>
      </c>
      <c r="G1487" s="9">
        <f t="shared" si="157"/>
        <v>-1.7406595606736466</v>
      </c>
      <c r="H1487" s="9">
        <f t="shared" si="158"/>
        <v>-5.5183301813457521E-2</v>
      </c>
      <c r="I1487" s="9">
        <f t="shared" si="159"/>
        <v>-0.16772324662606827</v>
      </c>
      <c r="J1487" s="9">
        <f t="shared" si="160"/>
        <v>15.432701541913433</v>
      </c>
    </row>
    <row r="1488" spans="2:10" x14ac:dyDescent="0.25">
      <c r="B1488" s="1">
        <v>42123</v>
      </c>
      <c r="C1488" s="13">
        <v>32.159999999999997</v>
      </c>
      <c r="D1488" s="6">
        <f t="shared" ref="D1488:D1551" si="161">C1488/C1489-1</f>
        <v>-1.4705882352941346E-2</v>
      </c>
      <c r="E1488" s="14">
        <f t="shared" ref="E1488:E1551" si="162">_xlfn.VAR.S(D1488:D1608)</f>
        <v>2.3176028392112946E-4</v>
      </c>
      <c r="F1488" s="9">
        <f t="shared" si="156"/>
        <v>17.422390196863233</v>
      </c>
      <c r="G1488" s="9">
        <f t="shared" si="157"/>
        <v>-1.7874811838909068</v>
      </c>
      <c r="H1488" s="9">
        <f t="shared" si="158"/>
        <v>4.8903145311448779E-2</v>
      </c>
      <c r="I1488" s="9">
        <f t="shared" si="159"/>
        <v>-0.13025398224431539</v>
      </c>
      <c r="J1488" s="9">
        <f t="shared" si="160"/>
        <v>15.553558176039459</v>
      </c>
    </row>
    <row r="1489" spans="2:10" x14ac:dyDescent="0.25">
      <c r="B1489" s="1">
        <v>42122</v>
      </c>
      <c r="C1489" s="13">
        <v>32.64</v>
      </c>
      <c r="D1489" s="6">
        <f t="shared" si="161"/>
        <v>-1.5770587703163086E-2</v>
      </c>
      <c r="E1489" s="14">
        <f t="shared" si="162"/>
        <v>2.3063504573997878E-4</v>
      </c>
      <c r="F1489" s="9">
        <f t="shared" ref="F1489:F1552" si="163">LN(2*PI())-LN($C$6)-LN(E1489)-0.5*LN(1-POWER($C$7,2))</f>
        <v>17.427257202778591</v>
      </c>
      <c r="G1489" s="9">
        <f t="shared" ref="G1489:G1552" si="164">-POWER(D1488-1-$C$3,2)/(2*E1489*(1-POWER($C$7,2)))</f>
        <v>-0.58005902579764845</v>
      </c>
      <c r="H1489" s="9">
        <f t="shared" ref="H1489:H1552" si="165">$C$7*(D1488-1-$C$3)*(E1488-E1489-$C$5*$C$4)/(E1489*$C$6*(1-POWER($C$7,2)))</f>
        <v>1.697956868526931E-3</v>
      </c>
      <c r="I1489" s="9">
        <f t="shared" ref="I1489:I1552" si="166">-POWER(E1488-E1489-$C$5*$C$4+$C$4*E1489,2)/(2*POWER($C$6,2)*E1489*(1-POWER($C$7,2)))</f>
        <v>-1.9956124980895465E-3</v>
      </c>
      <c r="J1489" s="9">
        <f t="shared" ref="J1489:J1552" si="167">SUM(F1489:I1489)</f>
        <v>16.84690052135138</v>
      </c>
    </row>
    <row r="1490" spans="2:10" x14ac:dyDescent="0.25">
      <c r="B1490" s="1">
        <v>42121</v>
      </c>
      <c r="C1490" s="13">
        <v>33.162999999999997</v>
      </c>
      <c r="D1490" s="6">
        <f t="shared" si="161"/>
        <v>1.8206938900828806E-2</v>
      </c>
      <c r="E1490" s="14">
        <f t="shared" si="162"/>
        <v>2.2856611424526934E-4</v>
      </c>
      <c r="F1490" s="9">
        <f t="shared" si="163"/>
        <v>17.436268266663539</v>
      </c>
      <c r="G1490" s="9">
        <f t="shared" si="164"/>
        <v>-0.66410524517349112</v>
      </c>
      <c r="H1490" s="9">
        <f t="shared" si="165"/>
        <v>7.1364393413061713E-3</v>
      </c>
      <c r="I1490" s="9">
        <f t="shared" si="166"/>
        <v>-1.0951968879931592E-2</v>
      </c>
      <c r="J1490" s="9">
        <f t="shared" si="167"/>
        <v>16.76834749195142</v>
      </c>
    </row>
    <row r="1491" spans="2:10" x14ac:dyDescent="0.25">
      <c r="B1491" s="1">
        <v>42118</v>
      </c>
      <c r="C1491" s="13">
        <v>32.57</v>
      </c>
      <c r="D1491" s="6">
        <f t="shared" si="161"/>
        <v>4.6887531618236E-3</v>
      </c>
      <c r="E1491" s="14">
        <f t="shared" si="162"/>
        <v>2.2654531030693068E-4</v>
      </c>
      <c r="F1491" s="9">
        <f t="shared" si="163"/>
        <v>17.445148804966994</v>
      </c>
      <c r="G1491" s="9">
        <f t="shared" si="164"/>
        <v>-0.60847925167710137</v>
      </c>
      <c r="H1491" s="9">
        <f t="shared" si="165"/>
        <v>-6.6009865931173891E-3</v>
      </c>
      <c r="I1491" s="9">
        <f t="shared" si="166"/>
        <v>-1.0369458784219033E-2</v>
      </c>
      <c r="J1491" s="9">
        <f t="shared" si="167"/>
        <v>16.819699107912559</v>
      </c>
    </row>
    <row r="1492" spans="2:10" x14ac:dyDescent="0.25">
      <c r="B1492" s="1">
        <v>42117</v>
      </c>
      <c r="C1492" s="13">
        <v>32.417999999999999</v>
      </c>
      <c r="D1492" s="6">
        <f t="shared" si="161"/>
        <v>8.1791323277873307E-3</v>
      </c>
      <c r="E1492" s="14">
        <f t="shared" si="162"/>
        <v>2.2659872320989451E-4</v>
      </c>
      <c r="F1492" s="9">
        <f t="shared" si="163"/>
        <v>17.444913061365575</v>
      </c>
      <c r="G1492" s="9">
        <f t="shared" si="164"/>
        <v>-2.0741358835642033E-2</v>
      </c>
      <c r="H1492" s="9">
        <f t="shared" si="165"/>
        <v>8.535273537593047E-4</v>
      </c>
      <c r="I1492" s="9">
        <f t="shared" si="166"/>
        <v>-9.3729719793424432E-4</v>
      </c>
      <c r="J1492" s="9">
        <f t="shared" si="167"/>
        <v>17.424087932685755</v>
      </c>
    </row>
    <row r="1493" spans="2:10" x14ac:dyDescent="0.25">
      <c r="B1493" s="1">
        <v>42116</v>
      </c>
      <c r="C1493" s="13">
        <v>32.155000000000001</v>
      </c>
      <c r="D1493" s="6">
        <f t="shared" si="161"/>
        <v>1.3458144225920288E-2</v>
      </c>
      <c r="E1493" s="14">
        <f t="shared" si="162"/>
        <v>2.2782688197134457E-4</v>
      </c>
      <c r="F1493" s="9">
        <f t="shared" si="163"/>
        <v>17.439507724440134</v>
      </c>
      <c r="G1493" s="9">
        <f t="shared" si="164"/>
        <v>-9.4485982729864831E-2</v>
      </c>
      <c r="H1493" s="9">
        <f t="shared" si="165"/>
        <v>4.3148099609891738E-3</v>
      </c>
      <c r="I1493" s="9">
        <f t="shared" si="166"/>
        <v>-1.1068887573728238E-2</v>
      </c>
      <c r="J1493" s="9">
        <f t="shared" si="167"/>
        <v>17.338267664097529</v>
      </c>
    </row>
    <row r="1494" spans="2:10" x14ac:dyDescent="0.25">
      <c r="B1494" s="1">
        <v>42115</v>
      </c>
      <c r="C1494" s="13">
        <v>31.728000000000002</v>
      </c>
      <c r="D1494" s="6">
        <f t="shared" si="161"/>
        <v>-5.3918495297804458E-3</v>
      </c>
      <c r="E1494" s="14">
        <f t="shared" si="162"/>
        <v>2.2674206017130345E-4</v>
      </c>
      <c r="F1494" s="9">
        <f t="shared" si="163"/>
        <v>17.444280702789246</v>
      </c>
      <c r="G1494" s="9">
        <f t="shared" si="164"/>
        <v>-0.30956301859156887</v>
      </c>
      <c r="H1494" s="9">
        <f t="shared" si="165"/>
        <v>-1.0950811930200697E-3</v>
      </c>
      <c r="I1494" s="9">
        <f t="shared" si="166"/>
        <v>-1.7693149123894269E-3</v>
      </c>
      <c r="J1494" s="9">
        <f t="shared" si="167"/>
        <v>17.131853288092266</v>
      </c>
    </row>
    <row r="1495" spans="2:10" x14ac:dyDescent="0.25">
      <c r="B1495" s="1">
        <v>42114</v>
      </c>
      <c r="C1495" s="13">
        <v>31.9</v>
      </c>
      <c r="D1495" s="6">
        <f t="shared" si="161"/>
        <v>2.2829293317942811E-2</v>
      </c>
      <c r="E1495" s="14">
        <f t="shared" si="162"/>
        <v>2.2635633075547085E-4</v>
      </c>
      <c r="F1495" s="9">
        <f t="shared" si="163"/>
        <v>17.445983333020301</v>
      </c>
      <c r="G1495" s="9">
        <f t="shared" si="164"/>
        <v>-0.10915299460608255</v>
      </c>
      <c r="H1495" s="9">
        <f t="shared" si="165"/>
        <v>-9.5214683251488132E-4</v>
      </c>
      <c r="I1495" s="9">
        <f t="shared" si="166"/>
        <v>-6.7751636574181248E-6</v>
      </c>
      <c r="J1495" s="9">
        <f t="shared" si="167"/>
        <v>17.335871416418048</v>
      </c>
    </row>
    <row r="1496" spans="2:10" x14ac:dyDescent="0.25">
      <c r="B1496" s="1">
        <v>42111</v>
      </c>
      <c r="C1496" s="13">
        <v>31.187999999999999</v>
      </c>
      <c r="D1496" s="6">
        <f t="shared" si="161"/>
        <v>-1.125447801413948E-2</v>
      </c>
      <c r="E1496" s="14">
        <f t="shared" si="162"/>
        <v>2.2481502613954114E-4</v>
      </c>
      <c r="F1496" s="9">
        <f t="shared" si="163"/>
        <v>17.452815817345424</v>
      </c>
      <c r="G1496" s="9">
        <f t="shared" si="164"/>
        <v>-1.0027191844672425</v>
      </c>
      <c r="H1496" s="9">
        <f t="shared" si="165"/>
        <v>-5.1625536401501033E-3</v>
      </c>
      <c r="I1496" s="9">
        <f t="shared" si="166"/>
        <v>-5.0837932033121281E-3</v>
      </c>
      <c r="J1496" s="9">
        <f t="shared" si="167"/>
        <v>16.439850286034719</v>
      </c>
    </row>
    <row r="1497" spans="2:10" x14ac:dyDescent="0.25">
      <c r="B1497" s="1">
        <v>42110</v>
      </c>
      <c r="C1497" s="13">
        <v>31.542999999999999</v>
      </c>
      <c r="D1497" s="6">
        <f t="shared" si="161"/>
        <v>-4.7957091023821397E-3</v>
      </c>
      <c r="E1497" s="14">
        <f t="shared" si="162"/>
        <v>2.234940430726018E-4</v>
      </c>
      <c r="F1497" s="9">
        <f t="shared" si="163"/>
        <v>17.45870901460944</v>
      </c>
      <c r="G1497" s="9">
        <f t="shared" si="164"/>
        <v>-0.37234217624266169</v>
      </c>
      <c r="H1497" s="9">
        <f t="shared" si="165"/>
        <v>2.2161972219453801E-3</v>
      </c>
      <c r="I1497" s="9">
        <f t="shared" si="166"/>
        <v>-3.2724838750562198E-3</v>
      </c>
      <c r="J1497" s="9">
        <f t="shared" si="167"/>
        <v>17.085310551713668</v>
      </c>
    </row>
    <row r="1498" spans="2:10" x14ac:dyDescent="0.25">
      <c r="B1498" s="1">
        <v>42109</v>
      </c>
      <c r="C1498" s="13">
        <v>31.695</v>
      </c>
      <c r="D1498" s="6">
        <f t="shared" si="161"/>
        <v>3.8004750593825243E-3</v>
      </c>
      <c r="E1498" s="14">
        <f t="shared" si="162"/>
        <v>2.2841443645369155E-4</v>
      </c>
      <c r="F1498" s="9">
        <f t="shared" si="163"/>
        <v>17.436932092714407</v>
      </c>
      <c r="G1498" s="9">
        <f t="shared" si="164"/>
        <v>-9.0576054354983004E-2</v>
      </c>
      <c r="H1498" s="9">
        <f t="shared" si="165"/>
        <v>-1.1896339750646689E-2</v>
      </c>
      <c r="I1498" s="9">
        <f t="shared" si="166"/>
        <v>-0.1154797916777998</v>
      </c>
      <c r="J1498" s="9">
        <f t="shared" si="167"/>
        <v>17.218979906930979</v>
      </c>
    </row>
    <row r="1499" spans="2:10" x14ac:dyDescent="0.25">
      <c r="B1499" s="1">
        <v>42108</v>
      </c>
      <c r="C1499" s="13">
        <v>31.574999999999999</v>
      </c>
      <c r="D1499" s="6">
        <f t="shared" si="161"/>
        <v>-4.351527764639207E-3</v>
      </c>
      <c r="E1499" s="14">
        <f t="shared" si="162"/>
        <v>2.3146723003321214E-4</v>
      </c>
      <c r="F1499" s="9">
        <f t="shared" si="163"/>
        <v>17.423655466814544</v>
      </c>
      <c r="G1499" s="9">
        <f t="shared" si="164"/>
        <v>-1.0231367266120318E-2</v>
      </c>
      <c r="H1499" s="9">
        <f t="shared" si="165"/>
        <v>2.675325141740942E-3</v>
      </c>
      <c r="I1499" s="9">
        <f t="shared" si="166"/>
        <v>-4.8079124545954116E-2</v>
      </c>
      <c r="J1499" s="9">
        <f t="shared" si="167"/>
        <v>17.368020300144213</v>
      </c>
    </row>
    <row r="1500" spans="2:10" x14ac:dyDescent="0.25">
      <c r="B1500" s="1">
        <v>42107</v>
      </c>
      <c r="C1500" s="13">
        <v>31.713000000000001</v>
      </c>
      <c r="D1500" s="6">
        <f t="shared" si="161"/>
        <v>-1.9512195121950127E-3</v>
      </c>
      <c r="E1500" s="14">
        <f t="shared" si="162"/>
        <v>2.3236719584065118E-4</v>
      </c>
      <c r="F1500" s="9">
        <f t="shared" si="163"/>
        <v>17.41977491424408</v>
      </c>
      <c r="G1500" s="9">
        <f t="shared" si="164"/>
        <v>-7.7146749263843156E-2</v>
      </c>
      <c r="H1500" s="9">
        <f t="shared" si="165"/>
        <v>-3.2361658611046781E-3</v>
      </c>
      <c r="I1500" s="9">
        <f t="shared" si="166"/>
        <v>-6.8904441303361489E-3</v>
      </c>
      <c r="J1500" s="9">
        <f t="shared" si="167"/>
        <v>17.332501554988799</v>
      </c>
    </row>
    <row r="1501" spans="2:10" x14ac:dyDescent="0.25">
      <c r="B1501" s="1">
        <v>42104</v>
      </c>
      <c r="C1501" s="13">
        <v>31.774999999999999</v>
      </c>
      <c r="D1501" s="6">
        <f t="shared" si="161"/>
        <v>4.2667509481668642E-3</v>
      </c>
      <c r="E1501" s="14">
        <f t="shared" si="162"/>
        <v>2.3420846250003867E-4</v>
      </c>
      <c r="F1501" s="9">
        <f t="shared" si="163"/>
        <v>17.411882191231427</v>
      </c>
      <c r="G1501" s="9">
        <f t="shared" si="164"/>
        <v>-2.7420117701754516E-2</v>
      </c>
      <c r="H1501" s="9">
        <f t="shared" si="165"/>
        <v>-2.9852123781521399E-3</v>
      </c>
      <c r="I1501" s="9">
        <f t="shared" si="166"/>
        <v>-2.0052929297129988E-2</v>
      </c>
      <c r="J1501" s="9">
        <f t="shared" si="167"/>
        <v>17.361423931854389</v>
      </c>
    </row>
    <row r="1502" spans="2:10" x14ac:dyDescent="0.25">
      <c r="B1502" s="1">
        <v>42103</v>
      </c>
      <c r="C1502" s="13">
        <v>31.64</v>
      </c>
      <c r="D1502" s="6">
        <f t="shared" si="161"/>
        <v>7.6433121019108263E-3</v>
      </c>
      <c r="E1502" s="14">
        <f t="shared" si="162"/>
        <v>2.3592880185376234E-4</v>
      </c>
      <c r="F1502" s="9">
        <f t="shared" si="163"/>
        <v>17.404563702940276</v>
      </c>
      <c r="G1502" s="9">
        <f t="shared" si="164"/>
        <v>-1.4807557898116464E-2</v>
      </c>
      <c r="H1502" s="9">
        <f t="shared" si="165"/>
        <v>2.0856798207792913E-3</v>
      </c>
      <c r="I1502" s="9">
        <f t="shared" si="166"/>
        <v>-1.7781151647797016E-2</v>
      </c>
      <c r="J1502" s="9">
        <f t="shared" si="167"/>
        <v>17.374060673215144</v>
      </c>
    </row>
    <row r="1503" spans="2:10" x14ac:dyDescent="0.25">
      <c r="B1503" s="1">
        <v>42102</v>
      </c>
      <c r="C1503" s="13">
        <v>31.4</v>
      </c>
      <c r="D1503" s="6">
        <f t="shared" si="161"/>
        <v>-3.2695298860426769E-3</v>
      </c>
      <c r="E1503" s="14">
        <f t="shared" si="162"/>
        <v>2.370191145105296E-4</v>
      </c>
      <c r="F1503" s="9">
        <f t="shared" si="163"/>
        <v>17.399952985562763</v>
      </c>
      <c r="G1503" s="9">
        <f t="shared" si="164"/>
        <v>-7.6573810042281656E-2</v>
      </c>
      <c r="H1503" s="9">
        <f t="shared" si="165"/>
        <v>3.5495717590525722E-3</v>
      </c>
      <c r="I1503" s="9">
        <f t="shared" si="166"/>
        <v>-8.7596685965060615E-3</v>
      </c>
      <c r="J1503" s="9">
        <f t="shared" si="167"/>
        <v>17.318169078683027</v>
      </c>
    </row>
    <row r="1504" spans="2:10" x14ac:dyDescent="0.25">
      <c r="B1504" s="1">
        <v>42101</v>
      </c>
      <c r="C1504" s="13">
        <v>31.503</v>
      </c>
      <c r="D1504" s="6">
        <f t="shared" si="161"/>
        <v>-1.0522017714680643E-2</v>
      </c>
      <c r="E1504" s="14">
        <f t="shared" si="162"/>
        <v>2.3782001563776595E-4</v>
      </c>
      <c r="F1504" s="9">
        <f t="shared" si="163"/>
        <v>17.396579624624799</v>
      </c>
      <c r="G1504" s="9">
        <f t="shared" si="164"/>
        <v>-5.0564248863981608E-2</v>
      </c>
      <c r="H1504" s="9">
        <f t="shared" si="165"/>
        <v>-2.4389158538180465E-3</v>
      </c>
      <c r="I1504" s="9">
        <f t="shared" si="166"/>
        <v>-5.6723460448152773E-3</v>
      </c>
      <c r="J1504" s="9">
        <f t="shared" si="167"/>
        <v>17.337904113862184</v>
      </c>
    </row>
    <row r="1505" spans="2:10" x14ac:dyDescent="0.25">
      <c r="B1505" s="1">
        <v>42100</v>
      </c>
      <c r="C1505" s="13">
        <v>31.838000000000001</v>
      </c>
      <c r="D1505" s="6">
        <f t="shared" si="161"/>
        <v>1.6214490903287748E-2</v>
      </c>
      <c r="E1505" s="14">
        <f t="shared" si="162"/>
        <v>2.3670925394744468E-4</v>
      </c>
      <c r="F1505" s="9">
        <f t="shared" si="163"/>
        <v>17.401261163953187</v>
      </c>
      <c r="G1505" s="9">
        <f t="shared" si="164"/>
        <v>-0.31271254466514098</v>
      </c>
      <c r="H1505" s="9">
        <f t="shared" si="165"/>
        <v>1.1756628264975287E-3</v>
      </c>
      <c r="I1505" s="9">
        <f t="shared" si="166"/>
        <v>-1.9200913508674695E-3</v>
      </c>
      <c r="J1505" s="9">
        <f t="shared" si="167"/>
        <v>17.087804190763674</v>
      </c>
    </row>
    <row r="1506" spans="2:10" x14ac:dyDescent="0.25">
      <c r="B1506" s="1">
        <v>42096</v>
      </c>
      <c r="C1506" s="13">
        <v>31.33</v>
      </c>
      <c r="D1506" s="6">
        <f t="shared" si="161"/>
        <v>8.5954350835399929E-3</v>
      </c>
      <c r="E1506" s="14">
        <f t="shared" si="162"/>
        <v>2.3501995389056495E-4</v>
      </c>
      <c r="F1506" s="9">
        <f t="shared" si="163"/>
        <v>17.408423354676749</v>
      </c>
      <c r="G1506" s="9">
        <f t="shared" si="164"/>
        <v>-0.45403461327612654</v>
      </c>
      <c r="H1506" s="9">
        <f t="shared" si="165"/>
        <v>-4.076874843342764E-3</v>
      </c>
      <c r="I1506" s="9">
        <f t="shared" si="166"/>
        <v>-6.4116604185806949E-3</v>
      </c>
      <c r="J1506" s="9">
        <f t="shared" si="167"/>
        <v>16.9439002061387</v>
      </c>
    </row>
    <row r="1507" spans="2:10" x14ac:dyDescent="0.25">
      <c r="B1507" s="1">
        <v>42095</v>
      </c>
      <c r="C1507" s="13">
        <v>31.062999999999999</v>
      </c>
      <c r="D1507" s="6">
        <f t="shared" si="161"/>
        <v>-1.4465732287515243E-3</v>
      </c>
      <c r="E1507" s="14">
        <f t="shared" si="162"/>
        <v>2.3759026098781744E-4</v>
      </c>
      <c r="F1507" s="9">
        <f t="shared" si="163"/>
        <v>17.397546177848959</v>
      </c>
      <c r="G1507" s="9">
        <f t="shared" si="164"/>
        <v>-0.10248296369687256</v>
      </c>
      <c r="H1507" s="9">
        <f t="shared" si="165"/>
        <v>7.3109804426040332E-3</v>
      </c>
      <c r="I1507" s="9">
        <f t="shared" si="166"/>
        <v>-3.4487477045351489E-2</v>
      </c>
      <c r="J1507" s="9">
        <f t="shared" si="167"/>
        <v>17.267886717549338</v>
      </c>
    </row>
    <row r="1508" spans="2:10" x14ac:dyDescent="0.25">
      <c r="B1508" s="1">
        <v>42094</v>
      </c>
      <c r="C1508" s="13">
        <v>31.108000000000001</v>
      </c>
      <c r="D1508" s="6">
        <f t="shared" si="161"/>
        <v>-1.5351501914981136E-2</v>
      </c>
      <c r="E1508" s="14">
        <f t="shared" si="162"/>
        <v>2.3844617823072753E-4</v>
      </c>
      <c r="F1508" s="9">
        <f t="shared" si="163"/>
        <v>17.393950158322966</v>
      </c>
      <c r="G1508" s="9">
        <f t="shared" si="164"/>
        <v>-1.987232140154057E-2</v>
      </c>
      <c r="H1508" s="9">
        <f t="shared" si="165"/>
        <v>-1.579405368233279E-3</v>
      </c>
      <c r="I1508" s="9">
        <f t="shared" si="166"/>
        <v>-6.1741812775700112E-3</v>
      </c>
      <c r="J1508" s="9">
        <f t="shared" si="167"/>
        <v>17.366324250275625</v>
      </c>
    </row>
    <row r="1509" spans="2:10" x14ac:dyDescent="0.25">
      <c r="B1509" s="1">
        <v>42093</v>
      </c>
      <c r="C1509" s="13">
        <v>31.593</v>
      </c>
      <c r="D1509" s="6">
        <f t="shared" si="161"/>
        <v>2.5313990848018664E-2</v>
      </c>
      <c r="E1509" s="14">
        <f t="shared" si="162"/>
        <v>2.3596520883342102E-4</v>
      </c>
      <c r="F1509" s="9">
        <f t="shared" si="163"/>
        <v>17.404409401428047</v>
      </c>
      <c r="G1509" s="9">
        <f t="shared" si="164"/>
        <v>-0.61266331680638109</v>
      </c>
      <c r="H1509" s="9">
        <f t="shared" si="165"/>
        <v>8.938409499429022E-3</v>
      </c>
      <c r="I1509" s="9">
        <f t="shared" si="166"/>
        <v>-1.6781940264454606E-2</v>
      </c>
      <c r="J1509" s="9">
        <f t="shared" si="167"/>
        <v>16.783902553856642</v>
      </c>
    </row>
    <row r="1510" spans="2:10" x14ac:dyDescent="0.25">
      <c r="B1510" s="1">
        <v>42090</v>
      </c>
      <c r="C1510" s="13">
        <v>30.812999999999999</v>
      </c>
      <c r="D1510" s="6">
        <f t="shared" si="161"/>
        <v>-7.9523502897617115E-3</v>
      </c>
      <c r="E1510" s="14">
        <f t="shared" si="162"/>
        <v>2.3161299036504235E-4</v>
      </c>
      <c r="F1510" s="9">
        <f t="shared" si="163"/>
        <v>17.42302594160391</v>
      </c>
      <c r="G1510" s="9">
        <f t="shared" si="164"/>
        <v>-1.2147792142607023</v>
      </c>
      <c r="H1510" s="9">
        <f t="shared" si="165"/>
        <v>-2.685433337690055E-2</v>
      </c>
      <c r="I1510" s="9">
        <f t="shared" si="166"/>
        <v>-6.174297903050404E-2</v>
      </c>
      <c r="J1510" s="9">
        <f t="shared" si="167"/>
        <v>16.119649414935804</v>
      </c>
    </row>
    <row r="1511" spans="2:10" x14ac:dyDescent="0.25">
      <c r="B1511" s="1">
        <v>42089</v>
      </c>
      <c r="C1511" s="13">
        <v>31.06</v>
      </c>
      <c r="D1511" s="6">
        <f t="shared" si="161"/>
        <v>6.9703355487114038E-3</v>
      </c>
      <c r="E1511" s="14">
        <f t="shared" si="162"/>
        <v>2.310396961523251E-4</v>
      </c>
      <c r="F1511" s="9">
        <f t="shared" si="163"/>
        <v>17.425504234815435</v>
      </c>
      <c r="G1511" s="9">
        <f t="shared" si="164"/>
        <v>-0.19919131705249679</v>
      </c>
      <c r="H1511" s="9">
        <f t="shared" si="165"/>
        <v>-6.9807738352446508E-4</v>
      </c>
      <c r="I1511" s="9">
        <f t="shared" si="166"/>
        <v>-9.5531137484015333E-5</v>
      </c>
      <c r="J1511" s="9">
        <f t="shared" si="167"/>
        <v>17.225519309241932</v>
      </c>
    </row>
    <row r="1512" spans="2:10" x14ac:dyDescent="0.25">
      <c r="B1512" s="1">
        <v>42088</v>
      </c>
      <c r="C1512" s="13">
        <v>30.844999999999999</v>
      </c>
      <c r="D1512" s="6">
        <f t="shared" si="161"/>
        <v>-2.6142139993054148E-2</v>
      </c>
      <c r="E1512" s="14">
        <f t="shared" si="162"/>
        <v>2.3337245564903277E-4</v>
      </c>
      <c r="F1512" s="9">
        <f t="shared" si="163"/>
        <v>17.415458076000835</v>
      </c>
      <c r="G1512" s="9">
        <f t="shared" si="164"/>
        <v>-6.1343968636656497E-2</v>
      </c>
      <c r="H1512" s="9">
        <f t="shared" si="165"/>
        <v>5.3050860336519255E-3</v>
      </c>
      <c r="I1512" s="9">
        <f t="shared" si="166"/>
        <v>-2.9884731364417931E-2</v>
      </c>
      <c r="J1512" s="9">
        <f t="shared" si="167"/>
        <v>17.329534462033411</v>
      </c>
    </row>
    <row r="1513" spans="2:10" x14ac:dyDescent="0.25">
      <c r="B1513" s="1">
        <v>42087</v>
      </c>
      <c r="C1513" s="13">
        <v>31.673000000000002</v>
      </c>
      <c r="D1513" s="6">
        <f t="shared" si="161"/>
        <v>-4.0876646857214149E-3</v>
      </c>
      <c r="E1513" s="14">
        <f t="shared" si="162"/>
        <v>2.269737888757408E-4</v>
      </c>
      <c r="F1513" s="9">
        <f t="shared" si="163"/>
        <v>17.443259232082092</v>
      </c>
      <c r="G1513" s="9">
        <f t="shared" si="164"/>
        <v>-1.7037792895206565</v>
      </c>
      <c r="H1513" s="9">
        <f t="shared" si="165"/>
        <v>5.0640141779622144E-2</v>
      </c>
      <c r="I1513" s="9">
        <f t="shared" si="166"/>
        <v>-0.14521942656160947</v>
      </c>
      <c r="J1513" s="9">
        <f t="shared" si="167"/>
        <v>15.644900657779447</v>
      </c>
    </row>
    <row r="1514" spans="2:10" x14ac:dyDescent="0.25">
      <c r="B1514" s="1">
        <v>42086</v>
      </c>
      <c r="C1514" s="13">
        <v>31.803000000000001</v>
      </c>
      <c r="D1514" s="6">
        <f t="shared" si="161"/>
        <v>1.0420969023034132E-2</v>
      </c>
      <c r="E1514" s="14">
        <f t="shared" si="162"/>
        <v>2.2724820168560297E-4</v>
      </c>
      <c r="F1514" s="9">
        <f t="shared" si="163"/>
        <v>17.442050955737269</v>
      </c>
      <c r="G1514" s="9">
        <f t="shared" si="164"/>
        <v>-7.2075445777069327E-2</v>
      </c>
      <c r="H1514" s="9">
        <f t="shared" si="165"/>
        <v>-1.9997701160130109E-3</v>
      </c>
      <c r="I1514" s="9">
        <f t="shared" si="166"/>
        <v>-1.9886033945585523E-3</v>
      </c>
      <c r="J1514" s="9">
        <f t="shared" si="167"/>
        <v>17.365987136449629</v>
      </c>
    </row>
    <row r="1515" spans="2:10" x14ac:dyDescent="0.25">
      <c r="B1515" s="1">
        <v>42083</v>
      </c>
      <c r="C1515" s="13">
        <v>31.475000000000001</v>
      </c>
      <c r="D1515" s="6">
        <f t="shared" si="161"/>
        <v>-1.2518039781640122E-2</v>
      </c>
      <c r="E1515" s="14">
        <f t="shared" si="162"/>
        <v>2.3288760357889515E-4</v>
      </c>
      <c r="F1515" s="9">
        <f t="shared" si="163"/>
        <v>17.41753782628313</v>
      </c>
      <c r="G1515" s="9">
        <f t="shared" si="164"/>
        <v>-0.16651076283432462</v>
      </c>
      <c r="H1515" s="9">
        <f t="shared" si="165"/>
        <v>1.7981573709815693E-2</v>
      </c>
      <c r="I1515" s="9">
        <f t="shared" si="166"/>
        <v>-0.14543736588947967</v>
      </c>
      <c r="J1515" s="9">
        <f t="shared" si="167"/>
        <v>17.123571271269142</v>
      </c>
    </row>
    <row r="1516" spans="2:10" x14ac:dyDescent="0.25">
      <c r="B1516" s="1">
        <v>42082</v>
      </c>
      <c r="C1516" s="13">
        <v>31.873999999999999</v>
      </c>
      <c r="D1516" s="6">
        <f t="shared" si="161"/>
        <v>-7.5969861137058503E-3</v>
      </c>
      <c r="E1516" s="14">
        <f t="shared" si="162"/>
        <v>2.4459208731454288E-4</v>
      </c>
      <c r="F1516" s="9">
        <f t="shared" si="163"/>
        <v>17.368501902149873</v>
      </c>
      <c r="G1516" s="9">
        <f t="shared" si="164"/>
        <v>-0.41024248466356938</v>
      </c>
      <c r="H1516" s="9">
        <f t="shared" si="165"/>
        <v>-5.3476981882644284E-2</v>
      </c>
      <c r="I1516" s="9">
        <f t="shared" si="166"/>
        <v>-0.55305571957890454</v>
      </c>
      <c r="J1516" s="9">
        <f t="shared" si="167"/>
        <v>16.351726716024757</v>
      </c>
    </row>
    <row r="1517" spans="2:10" x14ac:dyDescent="0.25">
      <c r="B1517" s="1">
        <v>42081</v>
      </c>
      <c r="C1517" s="13">
        <v>32.118000000000002</v>
      </c>
      <c r="D1517" s="6">
        <f t="shared" si="161"/>
        <v>1.1272040302267028E-2</v>
      </c>
      <c r="E1517" s="14">
        <f t="shared" si="162"/>
        <v>2.4476972991047011E-4</v>
      </c>
      <c r="F1517" s="9">
        <f t="shared" si="163"/>
        <v>17.367775884722782</v>
      </c>
      <c r="G1517" s="9">
        <f t="shared" si="164"/>
        <v>-0.17432741476589025</v>
      </c>
      <c r="H1517" s="9">
        <f t="shared" si="165"/>
        <v>-2.7270236240596779E-3</v>
      </c>
      <c r="I1517" s="9">
        <f t="shared" si="166"/>
        <v>-1.2419999230268996E-3</v>
      </c>
      <c r="J1517" s="9">
        <f t="shared" si="167"/>
        <v>17.189479446409802</v>
      </c>
    </row>
    <row r="1518" spans="2:10" x14ac:dyDescent="0.25">
      <c r="B1518" s="1">
        <v>42080</v>
      </c>
      <c r="C1518" s="13">
        <v>31.76</v>
      </c>
      <c r="D1518" s="6">
        <f t="shared" si="161"/>
        <v>1.6710416800051364E-2</v>
      </c>
      <c r="E1518" s="14">
        <f t="shared" si="162"/>
        <v>2.4560271103918829E-4</v>
      </c>
      <c r="F1518" s="9">
        <f t="shared" si="163"/>
        <v>17.364378540743619</v>
      </c>
      <c r="G1518" s="9">
        <f t="shared" si="164"/>
        <v>-0.1899314118932208</v>
      </c>
      <c r="H1518" s="9">
        <f t="shared" si="165"/>
        <v>4.7445220825629688E-3</v>
      </c>
      <c r="I1518" s="9">
        <f t="shared" si="166"/>
        <v>-5.6685580987958176E-3</v>
      </c>
      <c r="J1518" s="9">
        <f t="shared" si="167"/>
        <v>17.173523092834166</v>
      </c>
    </row>
    <row r="1519" spans="2:10" x14ac:dyDescent="0.25">
      <c r="B1519" s="1">
        <v>42079</v>
      </c>
      <c r="C1519" s="13">
        <v>31.238</v>
      </c>
      <c r="D1519" s="6">
        <f t="shared" si="161"/>
        <v>1.1003948475629466E-2</v>
      </c>
      <c r="E1519" s="14">
        <f t="shared" si="162"/>
        <v>2.4379455424390034E-4</v>
      </c>
      <c r="F1519" s="9">
        <f t="shared" si="163"/>
        <v>17.371767895572702</v>
      </c>
      <c r="G1519" s="9">
        <f t="shared" si="164"/>
        <v>-0.46795991073457127</v>
      </c>
      <c r="H1519" s="9">
        <f t="shared" si="165"/>
        <v>-4.6074865254649182E-3</v>
      </c>
      <c r="I1519" s="9">
        <f t="shared" si="166"/>
        <v>-7.5392474384838783E-3</v>
      </c>
      <c r="J1519" s="9">
        <f t="shared" si="167"/>
        <v>16.891661250874183</v>
      </c>
    </row>
    <row r="1520" spans="2:10" x14ac:dyDescent="0.25">
      <c r="B1520" s="1">
        <v>42076</v>
      </c>
      <c r="C1520" s="13">
        <v>30.898</v>
      </c>
      <c r="D1520" s="6">
        <f t="shared" si="161"/>
        <v>-6.9102947321055819E-3</v>
      </c>
      <c r="E1520" s="14">
        <f t="shared" si="162"/>
        <v>2.4391909480757454E-4</v>
      </c>
      <c r="F1520" s="9">
        <f t="shared" si="163"/>
        <v>17.371257183737498</v>
      </c>
      <c r="G1520" s="9">
        <f t="shared" si="164"/>
        <v>-0.18075828873606281</v>
      </c>
      <c r="H1520" s="9">
        <f t="shared" si="165"/>
        <v>2.630765025319599E-3</v>
      </c>
      <c r="I1520" s="9">
        <f t="shared" si="166"/>
        <v>-1.0318256427251041E-3</v>
      </c>
      <c r="J1520" s="9">
        <f t="shared" si="167"/>
        <v>17.192097834384029</v>
      </c>
    </row>
    <row r="1521" spans="2:10" x14ac:dyDescent="0.25">
      <c r="B1521" s="1">
        <v>42075</v>
      </c>
      <c r="C1521" s="13">
        <v>31.113</v>
      </c>
      <c r="D1521" s="6">
        <f t="shared" si="161"/>
        <v>1.8095549738220029E-2</v>
      </c>
      <c r="E1521" s="14">
        <f t="shared" si="162"/>
        <v>2.4329311776318858E-4</v>
      </c>
      <c r="F1521" s="9">
        <f t="shared" si="163"/>
        <v>17.373826813039386</v>
      </c>
      <c r="G1521" s="9">
        <f t="shared" si="164"/>
        <v>-0.1502448121144758</v>
      </c>
      <c r="H1521" s="9">
        <f t="shared" si="165"/>
        <v>-4.5410715507412697E-4</v>
      </c>
      <c r="I1521" s="9">
        <f t="shared" si="166"/>
        <v>-1.9656928056219547E-4</v>
      </c>
      <c r="J1521" s="9">
        <f t="shared" si="167"/>
        <v>17.222931324489274</v>
      </c>
    </row>
    <row r="1522" spans="2:10" x14ac:dyDescent="0.25">
      <c r="B1522" s="1">
        <v>42074</v>
      </c>
      <c r="C1522" s="13">
        <v>30.56</v>
      </c>
      <c r="D1522" s="6">
        <f t="shared" si="161"/>
        <v>-1.8247237214083833E-2</v>
      </c>
      <c r="E1522" s="14">
        <f t="shared" si="162"/>
        <v>2.4130947524237691E-4</v>
      </c>
      <c r="F1522" s="9">
        <f t="shared" si="163"/>
        <v>17.38201353605109</v>
      </c>
      <c r="G1522" s="9">
        <f t="shared" si="164"/>
        <v>-0.56360029462972072</v>
      </c>
      <c r="H1522" s="9">
        <f t="shared" si="165"/>
        <v>-5.9679552183539639E-3</v>
      </c>
      <c r="I1522" s="9">
        <f t="shared" si="166"/>
        <v>-9.5801637742679475E-3</v>
      </c>
      <c r="J1522" s="9">
        <f t="shared" si="167"/>
        <v>16.802865122428749</v>
      </c>
    </row>
    <row r="1523" spans="2:10" x14ac:dyDescent="0.25">
      <c r="B1523" s="1">
        <v>42073</v>
      </c>
      <c r="C1523" s="13">
        <v>31.128</v>
      </c>
      <c r="D1523" s="6">
        <f t="shared" si="161"/>
        <v>-2.0670127418593642E-2</v>
      </c>
      <c r="E1523" s="14">
        <f t="shared" si="162"/>
        <v>2.3870435703746297E-4</v>
      </c>
      <c r="F1523" s="9">
        <f t="shared" si="163"/>
        <v>17.392867989016434</v>
      </c>
      <c r="G1523" s="9">
        <f t="shared" si="164"/>
        <v>-0.82982995623493316</v>
      </c>
      <c r="H1523" s="9">
        <f t="shared" si="165"/>
        <v>1.1107108471456791E-2</v>
      </c>
      <c r="I1523" s="9">
        <f t="shared" si="166"/>
        <v>-1.8715601673691219E-2</v>
      </c>
      <c r="J1523" s="9">
        <f t="shared" si="167"/>
        <v>16.555429539579265</v>
      </c>
    </row>
    <row r="1524" spans="2:10" x14ac:dyDescent="0.25">
      <c r="B1524" s="1">
        <v>42072</v>
      </c>
      <c r="C1524" s="13">
        <v>31.785</v>
      </c>
      <c r="D1524" s="6">
        <f t="shared" si="161"/>
        <v>4.2654028436019953E-3</v>
      </c>
      <c r="E1524" s="14">
        <f t="shared" si="162"/>
        <v>2.3450492044435064E-4</v>
      </c>
      <c r="F1524" s="9">
        <f t="shared" si="163"/>
        <v>17.410617205017541</v>
      </c>
      <c r="G1524" s="9">
        <f t="shared" si="164"/>
        <v>-1.0631945252268462</v>
      </c>
      <c r="H1524" s="9">
        <f t="shared" si="165"/>
        <v>2.3893480164212423E-2</v>
      </c>
      <c r="I1524" s="9">
        <f t="shared" si="166"/>
        <v>-5.6480107996424798E-2</v>
      </c>
      <c r="J1524" s="9">
        <f t="shared" si="167"/>
        <v>16.314836051958483</v>
      </c>
    </row>
    <row r="1525" spans="2:10" x14ac:dyDescent="0.25">
      <c r="B1525" s="1">
        <v>42069</v>
      </c>
      <c r="C1525" s="13">
        <v>31.65</v>
      </c>
      <c r="D1525" s="6">
        <f t="shared" si="161"/>
        <v>1.4872005822230694E-3</v>
      </c>
      <c r="E1525" s="14">
        <f t="shared" si="162"/>
        <v>2.3446124119721445E-4</v>
      </c>
      <c r="F1525" s="9">
        <f t="shared" si="163"/>
        <v>17.410803483904314</v>
      </c>
      <c r="G1525" s="9">
        <f t="shared" si="164"/>
        <v>-1.488502563307002E-2</v>
      </c>
      <c r="H1525" s="9">
        <f t="shared" si="165"/>
        <v>6.300541276313391E-4</v>
      </c>
      <c r="I1525" s="9">
        <f t="shared" si="166"/>
        <v>-5.3761378957911709E-4</v>
      </c>
      <c r="J1525" s="9">
        <f t="shared" si="167"/>
        <v>17.396010898609294</v>
      </c>
    </row>
    <row r="1526" spans="2:10" x14ac:dyDescent="0.25">
      <c r="B1526" s="1">
        <v>42068</v>
      </c>
      <c r="C1526" s="13">
        <v>31.603000000000002</v>
      </c>
      <c r="D1526" s="6">
        <f t="shared" si="161"/>
        <v>-1.6555157927493291E-2</v>
      </c>
      <c r="E1526" s="14">
        <f t="shared" si="162"/>
        <v>2.3450408519490115E-4</v>
      </c>
      <c r="F1526" s="9">
        <f t="shared" si="163"/>
        <v>17.41062076678049</v>
      </c>
      <c r="G1526" s="9">
        <f t="shared" si="164"/>
        <v>-4.2002782345299033E-5</v>
      </c>
      <c r="H1526" s="9">
        <f t="shared" si="165"/>
        <v>-3.7289422762080634E-5</v>
      </c>
      <c r="I1526" s="9">
        <f t="shared" si="166"/>
        <v>-8.1856391009020525E-4</v>
      </c>
      <c r="J1526" s="9">
        <f t="shared" si="167"/>
        <v>17.409722910665291</v>
      </c>
    </row>
    <row r="1527" spans="2:10" x14ac:dyDescent="0.25">
      <c r="B1527" s="1">
        <v>42067</v>
      </c>
      <c r="C1527" s="13">
        <v>32.134999999999998</v>
      </c>
      <c r="D1527" s="6">
        <f t="shared" si="161"/>
        <v>-6.3388991960422469E-3</v>
      </c>
      <c r="E1527" s="14">
        <f t="shared" si="162"/>
        <v>2.3836530991369574E-4</v>
      </c>
      <c r="F1527" s="9">
        <f t="shared" si="163"/>
        <v>17.394289362892561</v>
      </c>
      <c r="G1527" s="9">
        <f t="shared" si="164"/>
        <v>-0.69553299166768368</v>
      </c>
      <c r="H1527" s="9">
        <f t="shared" si="165"/>
        <v>-2.6296436267036781E-2</v>
      </c>
      <c r="I1527" s="9">
        <f t="shared" si="166"/>
        <v>-7.0591942767089258E-2</v>
      </c>
      <c r="J1527" s="9">
        <f t="shared" si="167"/>
        <v>16.601867992190755</v>
      </c>
    </row>
    <row r="1528" spans="2:10" x14ac:dyDescent="0.25">
      <c r="B1528" s="1">
        <v>42066</v>
      </c>
      <c r="C1528" s="13">
        <v>32.340000000000003</v>
      </c>
      <c r="D1528" s="6">
        <f t="shared" si="161"/>
        <v>2.0760387940383929E-3</v>
      </c>
      <c r="E1528" s="14">
        <f t="shared" si="162"/>
        <v>2.3804435140050291E-4</v>
      </c>
      <c r="F1528" s="9">
        <f t="shared" si="163"/>
        <v>17.395636768656189</v>
      </c>
      <c r="G1528" s="9">
        <f t="shared" si="164"/>
        <v>-0.13369126631075948</v>
      </c>
      <c r="H1528" s="9">
        <f t="shared" si="165"/>
        <v>-1.1878315056911052E-3</v>
      </c>
      <c r="I1528" s="9">
        <f t="shared" si="166"/>
        <v>-2.8820933141818063E-5</v>
      </c>
      <c r="J1528" s="9">
        <f t="shared" si="167"/>
        <v>17.260728849906595</v>
      </c>
    </row>
    <row r="1529" spans="2:10" x14ac:dyDescent="0.25">
      <c r="B1529" s="1">
        <v>42065</v>
      </c>
      <c r="C1529" s="13">
        <v>32.273000000000003</v>
      </c>
      <c r="D1529" s="6">
        <f t="shared" si="161"/>
        <v>4.9198193990347416E-3</v>
      </c>
      <c r="E1529" s="14">
        <f t="shared" si="162"/>
        <v>2.3865060444452034E-4</v>
      </c>
      <c r="F1529" s="9">
        <f t="shared" si="163"/>
        <v>17.393093199174523</v>
      </c>
      <c r="G1529" s="9">
        <f t="shared" si="164"/>
        <v>-4.2304200310454699E-4</v>
      </c>
      <c r="H1529" s="9">
        <f t="shared" si="165"/>
        <v>1.9563457418868778E-4</v>
      </c>
      <c r="I1529" s="9">
        <f t="shared" si="166"/>
        <v>-3.9674673012396206E-3</v>
      </c>
      <c r="J1529" s="9">
        <f t="shared" si="167"/>
        <v>17.388898324444369</v>
      </c>
    </row>
    <row r="1530" spans="2:10" x14ac:dyDescent="0.25">
      <c r="B1530" s="1">
        <v>42062</v>
      </c>
      <c r="C1530" s="13">
        <v>32.115000000000002</v>
      </c>
      <c r="D1530" s="6">
        <f t="shared" si="161"/>
        <v>-1.4998159735001737E-2</v>
      </c>
      <c r="E1530" s="14">
        <f t="shared" si="162"/>
        <v>2.3893097277255567E-4</v>
      </c>
      <c r="F1530" s="9">
        <f t="shared" si="163"/>
        <v>17.391919082024202</v>
      </c>
      <c r="G1530" s="9">
        <f t="shared" si="164"/>
        <v>-2.2752264619953628E-2</v>
      </c>
      <c r="H1530" s="9">
        <f t="shared" si="165"/>
        <v>1.1018213868752734E-3</v>
      </c>
      <c r="I1530" s="9">
        <f t="shared" si="166"/>
        <v>-1.8197282427721783E-3</v>
      </c>
      <c r="J1530" s="9">
        <f t="shared" si="167"/>
        <v>17.368448910548352</v>
      </c>
    </row>
    <row r="1531" spans="2:10" x14ac:dyDescent="0.25">
      <c r="B1531" s="1">
        <v>42061</v>
      </c>
      <c r="C1531" s="13">
        <v>32.603999999999999</v>
      </c>
      <c r="D1531" s="6">
        <f t="shared" si="161"/>
        <v>1.260947884961805E-2</v>
      </c>
      <c r="E1531" s="14">
        <f t="shared" si="162"/>
        <v>2.3736322916265875E-4</v>
      </c>
      <c r="F1531" s="9">
        <f t="shared" si="163"/>
        <v>17.398502195004991</v>
      </c>
      <c r="G1531" s="9">
        <f t="shared" si="164"/>
        <v>-0.5839688845455292</v>
      </c>
      <c r="H1531" s="9">
        <f t="shared" si="165"/>
        <v>3.9711391286775515E-3</v>
      </c>
      <c r="I1531" s="9">
        <f t="shared" si="166"/>
        <v>-5.2323666976634561E-3</v>
      </c>
      <c r="J1531" s="9">
        <f t="shared" si="167"/>
        <v>16.813272082890474</v>
      </c>
    </row>
    <row r="1532" spans="2:10" x14ac:dyDescent="0.25">
      <c r="B1532" s="1">
        <v>42060</v>
      </c>
      <c r="C1532" s="13">
        <v>32.198</v>
      </c>
      <c r="D1532" s="6">
        <f t="shared" si="161"/>
        <v>-2.5572738552794849E-2</v>
      </c>
      <c r="E1532" s="14">
        <f t="shared" si="162"/>
        <v>2.5287175050341511E-4</v>
      </c>
      <c r="F1532" s="9">
        <f t="shared" si="163"/>
        <v>17.33521133019245</v>
      </c>
      <c r="G1532" s="9">
        <f t="shared" si="164"/>
        <v>-0.23918069375497686</v>
      </c>
      <c r="H1532" s="9">
        <f t="shared" si="165"/>
        <v>5.237469712974014E-2</v>
      </c>
      <c r="I1532" s="9">
        <f t="shared" si="166"/>
        <v>-0.92255675386986546</v>
      </c>
      <c r="J1532" s="9">
        <f t="shared" si="167"/>
        <v>16.225848579697345</v>
      </c>
    </row>
    <row r="1533" spans="2:10" x14ac:dyDescent="0.25">
      <c r="B1533" s="1">
        <v>42059</v>
      </c>
      <c r="C1533" s="13">
        <v>33.042999999999999</v>
      </c>
      <c r="D1533" s="6">
        <f t="shared" si="161"/>
        <v>-6.2255639097744675E-3</v>
      </c>
      <c r="E1533" s="14">
        <f t="shared" si="162"/>
        <v>2.4676838934079991E-4</v>
      </c>
      <c r="F1533" s="9">
        <f t="shared" si="163"/>
        <v>17.359643573648359</v>
      </c>
      <c r="G1533" s="9">
        <f t="shared" si="164"/>
        <v>-1.5035031539289863</v>
      </c>
      <c r="H1533" s="9">
        <f t="shared" si="165"/>
        <v>4.3216126730240313E-2</v>
      </c>
      <c r="I1533" s="9">
        <f t="shared" si="166"/>
        <v>-0.12208637513402171</v>
      </c>
      <c r="J1533" s="9">
        <f t="shared" si="167"/>
        <v>15.777270171315593</v>
      </c>
    </row>
    <row r="1534" spans="2:10" x14ac:dyDescent="0.25">
      <c r="B1534" s="1">
        <v>42058</v>
      </c>
      <c r="C1534" s="13">
        <v>33.25</v>
      </c>
      <c r="D1534" s="6">
        <f t="shared" si="161"/>
        <v>2.7058750849447089E-2</v>
      </c>
      <c r="E1534" s="14">
        <f t="shared" si="162"/>
        <v>2.4616840198050173E-4</v>
      </c>
      <c r="F1534" s="9">
        <f t="shared" si="163"/>
        <v>17.362077912765081</v>
      </c>
      <c r="G1534" s="9">
        <f t="shared" si="164"/>
        <v>-0.12562686048139993</v>
      </c>
      <c r="H1534" s="9">
        <f t="shared" si="165"/>
        <v>-4.7411320626560775E-4</v>
      </c>
      <c r="I1534" s="9">
        <f t="shared" si="166"/>
        <v>-1.5970636507322102E-4</v>
      </c>
      <c r="J1534" s="9">
        <f t="shared" si="167"/>
        <v>17.235817232712339</v>
      </c>
    </row>
    <row r="1535" spans="2:10" x14ac:dyDescent="0.25">
      <c r="B1535" s="1">
        <v>42055</v>
      </c>
      <c r="C1535" s="13">
        <v>32.374000000000002</v>
      </c>
      <c r="D1535" s="6">
        <f t="shared" si="161"/>
        <v>8.1275495905086537E-3</v>
      </c>
      <c r="E1535" s="14">
        <f t="shared" si="162"/>
        <v>2.4102320081591109E-4</v>
      </c>
      <c r="F1535" s="9">
        <f t="shared" si="163"/>
        <v>17.383200577586074</v>
      </c>
      <c r="G1535" s="9">
        <f t="shared" si="164"/>
        <v>-1.3456590293173412</v>
      </c>
      <c r="H1535" s="9">
        <f t="shared" si="165"/>
        <v>-3.3893578966375938E-2</v>
      </c>
      <c r="I1535" s="9">
        <f t="shared" si="166"/>
        <v>-8.6224463649908364E-2</v>
      </c>
      <c r="J1535" s="9">
        <f t="shared" si="167"/>
        <v>15.917423505652447</v>
      </c>
    </row>
    <row r="1536" spans="2:10" x14ac:dyDescent="0.25">
      <c r="B1536" s="1">
        <v>42054</v>
      </c>
      <c r="C1536" s="13">
        <v>32.113</v>
      </c>
      <c r="D1536" s="6">
        <f t="shared" si="161"/>
        <v>-2.0510270673421704E-3</v>
      </c>
      <c r="E1536" s="14">
        <f t="shared" si="162"/>
        <v>2.4159260404530005E-4</v>
      </c>
      <c r="F1536" s="9">
        <f t="shared" si="163"/>
        <v>17.38084092219205</v>
      </c>
      <c r="G1536" s="9">
        <f t="shared" si="164"/>
        <v>-8.7704763265187002E-2</v>
      </c>
      <c r="H1536" s="9">
        <f t="shared" si="165"/>
        <v>2.7263458779147403E-3</v>
      </c>
      <c r="I1536" s="9">
        <f t="shared" si="166"/>
        <v>-3.6028147497653871E-3</v>
      </c>
      <c r="J1536" s="9">
        <f t="shared" si="167"/>
        <v>17.292259690055012</v>
      </c>
    </row>
    <row r="1537" spans="2:10" x14ac:dyDescent="0.25">
      <c r="B1537" s="1">
        <v>42053</v>
      </c>
      <c r="C1537" s="13">
        <v>32.179000000000002</v>
      </c>
      <c r="D1537" s="6">
        <f t="shared" si="161"/>
        <v>6.9153263658552344E-3</v>
      </c>
      <c r="E1537" s="14">
        <f t="shared" si="162"/>
        <v>2.4205407044746225E-4</v>
      </c>
      <c r="F1537" s="9">
        <f t="shared" si="163"/>
        <v>17.378932642588214</v>
      </c>
      <c r="G1537" s="9">
        <f t="shared" si="164"/>
        <v>-2.8031935993050084E-2</v>
      </c>
      <c r="H1537" s="9">
        <f t="shared" si="165"/>
        <v>-1.4185758318871074E-3</v>
      </c>
      <c r="I1537" s="9">
        <f t="shared" si="166"/>
        <v>-2.8356570391850642E-3</v>
      </c>
      <c r="J1537" s="9">
        <f t="shared" si="167"/>
        <v>17.346646473724093</v>
      </c>
    </row>
    <row r="1538" spans="2:10" x14ac:dyDescent="0.25">
      <c r="B1538" s="1">
        <v>42052</v>
      </c>
      <c r="C1538" s="13">
        <v>31.957999999999998</v>
      </c>
      <c r="D1538" s="6">
        <f t="shared" si="161"/>
        <v>5.9175322631412897E-3</v>
      </c>
      <c r="E1538" s="14">
        <f t="shared" si="162"/>
        <v>2.4185788528359876E-4</v>
      </c>
      <c r="F1538" s="9">
        <f t="shared" si="163"/>
        <v>17.379743472625737</v>
      </c>
      <c r="G1538" s="9">
        <f t="shared" si="164"/>
        <v>-5.7979201223772793E-2</v>
      </c>
      <c r="H1538" s="9">
        <f t="shared" si="165"/>
        <v>9.7776586622745913E-4</v>
      </c>
      <c r="I1538" s="9">
        <f t="shared" si="166"/>
        <v>-1.5995870628943067E-4</v>
      </c>
      <c r="J1538" s="9">
        <f t="shared" si="167"/>
        <v>17.322582078561904</v>
      </c>
    </row>
    <row r="1539" spans="2:10" x14ac:dyDescent="0.25">
      <c r="B1539" s="1">
        <v>42048</v>
      </c>
      <c r="C1539" s="13">
        <v>31.77</v>
      </c>
      <c r="D1539" s="6">
        <f t="shared" si="161"/>
        <v>4.9027360430176081E-3</v>
      </c>
      <c r="E1539" s="14">
        <f t="shared" si="162"/>
        <v>2.4196800610483171E-4</v>
      </c>
      <c r="F1539" s="9">
        <f t="shared" si="163"/>
        <v>17.379288264150563</v>
      </c>
      <c r="G1539" s="9">
        <f t="shared" si="164"/>
        <v>-3.8145828691277514E-2</v>
      </c>
      <c r="H1539" s="9">
        <f t="shared" si="165"/>
        <v>1.1944852720260099E-3</v>
      </c>
      <c r="I1539" s="9">
        <f t="shared" si="166"/>
        <v>-9.9601888594973652E-4</v>
      </c>
      <c r="J1539" s="9">
        <f t="shared" si="167"/>
        <v>17.341340901845363</v>
      </c>
    </row>
    <row r="1540" spans="2:10" x14ac:dyDescent="0.25">
      <c r="B1540" s="1">
        <v>42047</v>
      </c>
      <c r="C1540" s="13">
        <v>31.614999999999998</v>
      </c>
      <c r="D1540" s="6">
        <f t="shared" si="161"/>
        <v>1.2652146060217806E-2</v>
      </c>
      <c r="E1540" s="14">
        <f t="shared" si="162"/>
        <v>2.4193129264116984E-4</v>
      </c>
      <c r="F1540" s="9">
        <f t="shared" si="163"/>
        <v>17.379440004249496</v>
      </c>
      <c r="G1540" s="9">
        <f t="shared" si="164"/>
        <v>-2.2237529176382262E-2</v>
      </c>
      <c r="H1540" s="9">
        <f t="shared" si="165"/>
        <v>7.6508955676158957E-4</v>
      </c>
      <c r="I1540" s="9">
        <f t="shared" si="166"/>
        <v>-5.0590997381638346E-4</v>
      </c>
      <c r="J1540" s="9">
        <f t="shared" si="167"/>
        <v>17.357461654656056</v>
      </c>
    </row>
    <row r="1541" spans="2:10" x14ac:dyDescent="0.25">
      <c r="B1541" s="1">
        <v>42046</v>
      </c>
      <c r="C1541" s="13">
        <v>31.22</v>
      </c>
      <c r="D1541" s="6">
        <f t="shared" si="161"/>
        <v>2.3438780527782255E-2</v>
      </c>
      <c r="E1541" s="14">
        <f t="shared" si="162"/>
        <v>2.4099973301135334E-4</v>
      </c>
      <c r="F1541" s="9">
        <f t="shared" si="163"/>
        <v>17.383297949735528</v>
      </c>
      <c r="G1541" s="9">
        <f t="shared" si="164"/>
        <v>-0.25291694875905518</v>
      </c>
      <c r="H1541" s="9">
        <f t="shared" si="165"/>
        <v>-4.416824460117959E-4</v>
      </c>
      <c r="I1541" s="9">
        <f t="shared" si="166"/>
        <v>-1.0739752064748563E-3</v>
      </c>
      <c r="J1541" s="9">
        <f t="shared" si="167"/>
        <v>17.128865343323987</v>
      </c>
    </row>
    <row r="1542" spans="2:10" x14ac:dyDescent="0.25">
      <c r="B1542" s="1">
        <v>42045</v>
      </c>
      <c r="C1542" s="13">
        <v>30.504999999999999</v>
      </c>
      <c r="D1542" s="6">
        <f t="shared" si="161"/>
        <v>1.9211493484797781E-2</v>
      </c>
      <c r="E1542" s="14">
        <f t="shared" si="162"/>
        <v>2.3831678535593401E-4</v>
      </c>
      <c r="F1542" s="9">
        <f t="shared" si="163"/>
        <v>17.394492955846488</v>
      </c>
      <c r="G1542" s="9">
        <f t="shared" si="164"/>
        <v>-1.0010758580457626</v>
      </c>
      <c r="H1542" s="9">
        <f t="shared" si="165"/>
        <v>-1.2736063131010781E-2</v>
      </c>
      <c r="I1542" s="9">
        <f t="shared" si="166"/>
        <v>-2.0085117870718851E-2</v>
      </c>
      <c r="J1542" s="9">
        <f t="shared" si="167"/>
        <v>16.360595916798996</v>
      </c>
    </row>
    <row r="1543" spans="2:10" x14ac:dyDescent="0.25">
      <c r="B1543" s="1">
        <v>42044</v>
      </c>
      <c r="C1543" s="13">
        <v>29.93</v>
      </c>
      <c r="D1543" s="6">
        <f t="shared" si="161"/>
        <v>6.6256348165338874E-3</v>
      </c>
      <c r="E1543" s="14">
        <f t="shared" si="162"/>
        <v>2.36665330225727E-4</v>
      </c>
      <c r="F1543" s="9">
        <f t="shared" si="163"/>
        <v>17.401446740971103</v>
      </c>
      <c r="G1543" s="9">
        <f t="shared" si="164"/>
        <v>-0.6551807477213466</v>
      </c>
      <c r="H1543" s="9">
        <f t="shared" si="165"/>
        <v>-4.672405961101001E-3</v>
      </c>
      <c r="I1543" s="9">
        <f t="shared" si="166"/>
        <v>-6.0217030772904342E-3</v>
      </c>
      <c r="J1543" s="9">
        <f t="shared" si="167"/>
        <v>16.735571884211364</v>
      </c>
    </row>
    <row r="1544" spans="2:10" x14ac:dyDescent="0.25">
      <c r="B1544" s="1">
        <v>42041</v>
      </c>
      <c r="C1544" s="13">
        <v>29.733000000000001</v>
      </c>
      <c r="D1544" s="6">
        <f t="shared" si="161"/>
        <v>-8.4042021010505286E-3</v>
      </c>
      <c r="E1544" s="14">
        <f t="shared" si="162"/>
        <v>2.3655163428045018E-4</v>
      </c>
      <c r="F1544" s="9">
        <f t="shared" si="163"/>
        <v>17.401927264519465</v>
      </c>
      <c r="G1544" s="9">
        <f t="shared" si="164"/>
        <v>-5.2962627969632747E-2</v>
      </c>
      <c r="H1544" s="9">
        <f t="shared" si="165"/>
        <v>1.0738126267951307E-3</v>
      </c>
      <c r="I1544" s="9">
        <f t="shared" si="166"/>
        <v>-3.419598563474223E-4</v>
      </c>
      <c r="J1544" s="9">
        <f t="shared" si="167"/>
        <v>17.34969648932028</v>
      </c>
    </row>
    <row r="1545" spans="2:10" x14ac:dyDescent="0.25">
      <c r="B1545" s="1">
        <v>42040</v>
      </c>
      <c r="C1545" s="13">
        <v>29.984999999999999</v>
      </c>
      <c r="D1545" s="6">
        <f t="shared" si="161"/>
        <v>3.1783205085311739E-3</v>
      </c>
      <c r="E1545" s="14">
        <f t="shared" si="162"/>
        <v>2.3568911408066478E-4</v>
      </c>
      <c r="F1545" s="9">
        <f t="shared" si="163"/>
        <v>17.405580152000567</v>
      </c>
      <c r="G1545" s="9">
        <f t="shared" si="164"/>
        <v>-0.21411638926641302</v>
      </c>
      <c r="H1545" s="9">
        <f t="shared" si="165"/>
        <v>1.9366566174439893E-4</v>
      </c>
      <c r="I1545" s="9">
        <f t="shared" si="166"/>
        <v>-7.9898208720490058E-4</v>
      </c>
      <c r="J1545" s="9">
        <f t="shared" si="167"/>
        <v>17.190858446308695</v>
      </c>
    </row>
    <row r="1546" spans="2:10" x14ac:dyDescent="0.25">
      <c r="B1546" s="1">
        <v>42039</v>
      </c>
      <c r="C1546" s="13">
        <v>29.89</v>
      </c>
      <c r="D1546" s="6">
        <f t="shared" si="161"/>
        <v>7.6526312240838834E-3</v>
      </c>
      <c r="E1546" s="14">
        <f t="shared" si="162"/>
        <v>2.3674295209149171E-4</v>
      </c>
      <c r="F1546" s="9">
        <f t="shared" si="163"/>
        <v>17.401118813178709</v>
      </c>
      <c r="G1546" s="9">
        <f t="shared" si="164"/>
        <v>-5.095466625008733E-3</v>
      </c>
      <c r="H1546" s="9">
        <f t="shared" si="165"/>
        <v>8.9851132581616469E-4</v>
      </c>
      <c r="I1546" s="9">
        <f t="shared" si="166"/>
        <v>-8.3535467487623628E-3</v>
      </c>
      <c r="J1546" s="9">
        <f t="shared" si="167"/>
        <v>17.388568311130754</v>
      </c>
    </row>
    <row r="1547" spans="2:10" x14ac:dyDescent="0.25">
      <c r="B1547" s="1">
        <v>42038</v>
      </c>
      <c r="C1547" s="13">
        <v>29.663</v>
      </c>
      <c r="D1547" s="6">
        <f t="shared" si="161"/>
        <v>1.6858857643797798E-4</v>
      </c>
      <c r="E1547" s="14">
        <f t="shared" si="162"/>
        <v>2.3650455546794054E-4</v>
      </c>
      <c r="F1547" s="9">
        <f t="shared" si="163"/>
        <v>17.402126305621493</v>
      </c>
      <c r="G1547" s="9">
        <f t="shared" si="164"/>
        <v>-7.6978346428171002E-2</v>
      </c>
      <c r="H1547" s="9">
        <f t="shared" si="165"/>
        <v>1.059796453593995E-3</v>
      </c>
      <c r="I1547" s="9">
        <f t="shared" si="166"/>
        <v>-1.1460154398192798E-4</v>
      </c>
      <c r="J1547" s="9">
        <f t="shared" si="167"/>
        <v>17.326093154102935</v>
      </c>
    </row>
    <row r="1548" spans="2:10" x14ac:dyDescent="0.25">
      <c r="B1548" s="1">
        <v>42037</v>
      </c>
      <c r="C1548" s="13">
        <v>29.658000000000001</v>
      </c>
      <c r="D1548" s="6">
        <f t="shared" si="161"/>
        <v>1.2564015022191954E-2</v>
      </c>
      <c r="E1548" s="14">
        <f t="shared" si="162"/>
        <v>2.3754129289290347E-4</v>
      </c>
      <c r="F1548" s="9">
        <f t="shared" si="163"/>
        <v>17.397752302214677</v>
      </c>
      <c r="G1548" s="9">
        <f t="shared" si="164"/>
        <v>-4.4924368999776157E-3</v>
      </c>
      <c r="H1548" s="9">
        <f t="shared" si="165"/>
        <v>-8.3448585089043075E-4</v>
      </c>
      <c r="I1548" s="9">
        <f t="shared" si="166"/>
        <v>-8.1171482353400402E-3</v>
      </c>
      <c r="J1548" s="9">
        <f t="shared" si="167"/>
        <v>17.38430823122847</v>
      </c>
    </row>
    <row r="1549" spans="2:10" x14ac:dyDescent="0.25">
      <c r="B1549" s="1">
        <v>42034</v>
      </c>
      <c r="C1549" s="13">
        <v>29.29</v>
      </c>
      <c r="D1549" s="6">
        <f t="shared" si="161"/>
        <v>-1.4634146341463539E-2</v>
      </c>
      <c r="E1549" s="14">
        <f t="shared" si="162"/>
        <v>2.3660577022396046E-4</v>
      </c>
      <c r="F1549" s="9">
        <f t="shared" si="163"/>
        <v>17.401698436044072</v>
      </c>
      <c r="G1549" s="9">
        <f t="shared" si="164"/>
        <v>-0.25351161145870627</v>
      </c>
      <c r="H1549" s="9">
        <f t="shared" si="165"/>
        <v>-4.5983362693014873E-4</v>
      </c>
      <c r="I1549" s="9">
        <f t="shared" si="166"/>
        <v>-1.0802941226981081E-3</v>
      </c>
      <c r="J1549" s="9">
        <f t="shared" si="167"/>
        <v>17.146646696835738</v>
      </c>
    </row>
    <row r="1550" spans="2:10" x14ac:dyDescent="0.25">
      <c r="B1550" s="1">
        <v>42033</v>
      </c>
      <c r="C1550" s="13">
        <v>29.725000000000001</v>
      </c>
      <c r="D1550" s="6">
        <f t="shared" si="161"/>
        <v>3.1115582072984704E-2</v>
      </c>
      <c r="E1550" s="14">
        <f t="shared" si="162"/>
        <v>2.3472488472477026E-4</v>
      </c>
      <c r="F1550" s="9">
        <f t="shared" si="163"/>
        <v>17.409679650351961</v>
      </c>
      <c r="G1550" s="9">
        <f t="shared" si="164"/>
        <v>-0.56495659863381464</v>
      </c>
      <c r="H1550" s="9">
        <f t="shared" si="165"/>
        <v>5.5319708977717933E-3</v>
      </c>
      <c r="I1550" s="9">
        <f t="shared" si="166"/>
        <v>-8.4845681033102107E-3</v>
      </c>
      <c r="J1550" s="9">
        <f t="shared" si="167"/>
        <v>16.841770454512609</v>
      </c>
    </row>
    <row r="1551" spans="2:10" x14ac:dyDescent="0.25">
      <c r="B1551" s="1">
        <v>42032</v>
      </c>
      <c r="C1551" s="13">
        <v>28.827999999999999</v>
      </c>
      <c r="D1551" s="6">
        <f t="shared" si="161"/>
        <v>5.6551218618288379E-2</v>
      </c>
      <c r="E1551" s="14">
        <f t="shared" si="162"/>
        <v>2.2768633363280506E-4</v>
      </c>
      <c r="F1551" s="9">
        <f t="shared" si="163"/>
        <v>17.440124823299989</v>
      </c>
      <c r="G1551" s="9">
        <f t="shared" si="164"/>
        <v>-1.9151985976883197</v>
      </c>
      <c r="H1551" s="9">
        <f t="shared" si="165"/>
        <v>-5.9733982876661394E-2</v>
      </c>
      <c r="I1551" s="9">
        <f t="shared" si="166"/>
        <v>-0.17750561206607038</v>
      </c>
      <c r="J1551" s="9">
        <f t="shared" si="167"/>
        <v>15.287686630668937</v>
      </c>
    </row>
    <row r="1552" spans="2:10" x14ac:dyDescent="0.25">
      <c r="B1552" s="1">
        <v>42031</v>
      </c>
      <c r="C1552" s="13">
        <v>27.285</v>
      </c>
      <c r="D1552" s="6">
        <f t="shared" ref="D1552:D1615" si="168">C1552/C1553-1</f>
        <v>-3.5013262599469464E-2</v>
      </c>
      <c r="E1552" s="14">
        <f t="shared" ref="E1552:E1615" si="169">_xlfn.VAR.S(D1552:D1672)</f>
        <v>2.0272598948022631E-4</v>
      </c>
      <c r="F1552" s="9">
        <f t="shared" si="163"/>
        <v>17.556238513671268</v>
      </c>
      <c r="G1552" s="9">
        <f t="shared" si="164"/>
        <v>-7.462186541443967</v>
      </c>
      <c r="H1552" s="9">
        <f t="shared" si="165"/>
        <v>-0.48398465209209701</v>
      </c>
      <c r="I1552" s="9">
        <f t="shared" si="166"/>
        <v>-2.7341452595460023</v>
      </c>
      <c r="J1552" s="9">
        <f t="shared" si="167"/>
        <v>6.8759220605892022</v>
      </c>
    </row>
    <row r="1553" spans="2:10" x14ac:dyDescent="0.25">
      <c r="B1553" s="1">
        <v>42030</v>
      </c>
      <c r="C1553" s="13">
        <v>28.274999999999999</v>
      </c>
      <c r="D1553" s="6">
        <f t="shared" si="168"/>
        <v>1.0621348911310502E-3</v>
      </c>
      <c r="E1553" s="14">
        <f t="shared" si="169"/>
        <v>1.9212703403876508E-4</v>
      </c>
      <c r="F1553" s="9">
        <f t="shared" ref="F1553:F1616" si="170">LN(2*PI())-LN($C$6)-LN(E1553)-0.5*LN(1-POWER($C$7,2))</f>
        <v>17.609936986526861</v>
      </c>
      <c r="G1553" s="9">
        <f t="shared" ref="G1553:G1616" si="171">-POWER(D1552-1-$C$3,2)/(2*E1553*(1-POWER($C$7,2)))</f>
        <v>-3.5042107506304898</v>
      </c>
      <c r="H1553" s="9">
        <f t="shared" ref="H1553:H1616" si="172">$C$7*(D1552-1-$C$3)*(E1552-E1553-$C$5*$C$4)/(E1553*$C$6*(1-POWER($C$7,2)))</f>
        <v>0.13816716936275186</v>
      </c>
      <c r="I1553" s="9">
        <f t="shared" ref="I1553:I1616" si="173">-POWER(E1552-E1553-$C$5*$C$4+$C$4*E1553,2)/(2*POWER($C$6,2)*E1553*(1-POWER($C$7,2)))</f>
        <v>-0.49203992122491663</v>
      </c>
      <c r="J1553" s="9">
        <f t="shared" ref="J1553:J1616" si="174">SUM(F1553:I1553)</f>
        <v>13.751853484034207</v>
      </c>
    </row>
    <row r="1554" spans="2:10" x14ac:dyDescent="0.25">
      <c r="B1554" s="1">
        <v>42027</v>
      </c>
      <c r="C1554" s="13">
        <v>28.245000000000001</v>
      </c>
      <c r="D1554" s="6">
        <f t="shared" si="168"/>
        <v>5.1601423487543929E-3</v>
      </c>
      <c r="E1554" s="14">
        <f t="shared" si="169"/>
        <v>1.9226625897588053E-4</v>
      </c>
      <c r="F1554" s="9">
        <f t="shared" si="170"/>
        <v>17.609212598532928</v>
      </c>
      <c r="G1554" s="9">
        <f t="shared" si="171"/>
        <v>-8.3325108419293737E-4</v>
      </c>
      <c r="H1554" s="9">
        <f t="shared" si="172"/>
        <v>-2.0437542768079266E-4</v>
      </c>
      <c r="I1554" s="9">
        <f t="shared" si="173"/>
        <v>-1.8595288932631144E-3</v>
      </c>
      <c r="J1554" s="9">
        <f t="shared" si="174"/>
        <v>17.606315443127791</v>
      </c>
    </row>
    <row r="1555" spans="2:10" x14ac:dyDescent="0.25">
      <c r="B1555" s="1">
        <v>42026</v>
      </c>
      <c r="C1555" s="13">
        <v>28.1</v>
      </c>
      <c r="D1555" s="6">
        <f t="shared" si="168"/>
        <v>2.5996786913976999E-2</v>
      </c>
      <c r="E1555" s="14">
        <f t="shared" si="169"/>
        <v>1.9837805288234946E-4</v>
      </c>
      <c r="F1555" s="9">
        <f t="shared" si="170"/>
        <v>17.577919207209668</v>
      </c>
      <c r="G1555" s="9">
        <f t="shared" si="171"/>
        <v>-3.1549767601580653E-2</v>
      </c>
      <c r="H1555" s="9">
        <f t="shared" si="172"/>
        <v>9.1027310736734555E-3</v>
      </c>
      <c r="I1555" s="9">
        <f t="shared" si="173"/>
        <v>-0.20190346306148685</v>
      </c>
      <c r="J1555" s="9">
        <f t="shared" si="174"/>
        <v>17.353568707620273</v>
      </c>
    </row>
    <row r="1556" spans="2:10" x14ac:dyDescent="0.25">
      <c r="B1556" s="1">
        <v>42025</v>
      </c>
      <c r="C1556" s="13">
        <v>27.388000000000002</v>
      </c>
      <c r="D1556" s="6">
        <f t="shared" si="168"/>
        <v>7.6526857983811869E-3</v>
      </c>
      <c r="E1556" s="14">
        <f t="shared" si="169"/>
        <v>1.9331108073978326E-4</v>
      </c>
      <c r="F1556" s="9">
        <f t="shared" si="170"/>
        <v>17.603793066762787</v>
      </c>
      <c r="G1556" s="9">
        <f t="shared" si="171"/>
        <v>-1.5405917031507872</v>
      </c>
      <c r="H1556" s="9">
        <f t="shared" si="172"/>
        <v>-3.9765171472991273E-2</v>
      </c>
      <c r="I1556" s="9">
        <f t="shared" si="173"/>
        <v>-0.10049912850695229</v>
      </c>
      <c r="J1556" s="9">
        <f t="shared" si="174"/>
        <v>15.922937063632057</v>
      </c>
    </row>
    <row r="1557" spans="2:10" x14ac:dyDescent="0.25">
      <c r="B1557" s="1">
        <v>42024</v>
      </c>
      <c r="C1557" s="13">
        <v>27.18</v>
      </c>
      <c r="D1557" s="6">
        <f t="shared" si="168"/>
        <v>2.5737791531436294E-2</v>
      </c>
      <c r="E1557" s="14">
        <f t="shared" si="169"/>
        <v>1.933892734086665E-4</v>
      </c>
      <c r="F1557" s="9">
        <f t="shared" si="170"/>
        <v>17.60338865715152</v>
      </c>
      <c r="G1557" s="9">
        <f t="shared" si="171"/>
        <v>-9.4142033225846036E-2</v>
      </c>
      <c r="H1557" s="9">
        <f t="shared" si="172"/>
        <v>2.0254412637027942E-3</v>
      </c>
      <c r="I1557" s="9">
        <f t="shared" si="173"/>
        <v>-1.4938354233896174E-3</v>
      </c>
      <c r="J1557" s="9">
        <f t="shared" si="174"/>
        <v>17.509778229765988</v>
      </c>
    </row>
    <row r="1558" spans="2:10" x14ac:dyDescent="0.25">
      <c r="B1558" s="1">
        <v>42020</v>
      </c>
      <c r="C1558" s="13">
        <v>26.498000000000001</v>
      </c>
      <c r="D1558" s="6">
        <f t="shared" si="168"/>
        <v>-7.7513574237033644E-3</v>
      </c>
      <c r="E1558" s="14">
        <f t="shared" si="169"/>
        <v>1.8961929615049849E-4</v>
      </c>
      <c r="F1558" s="9">
        <f t="shared" si="170"/>
        <v>17.623075417800788</v>
      </c>
      <c r="G1558" s="9">
        <f t="shared" si="171"/>
        <v>-1.5373795938381176</v>
      </c>
      <c r="H1558" s="9">
        <f t="shared" si="172"/>
        <v>-2.7914272151379434E-2</v>
      </c>
      <c r="I1558" s="9">
        <f t="shared" si="173"/>
        <v>-5.2501262421049098E-2</v>
      </c>
      <c r="J1558" s="9">
        <f t="shared" si="174"/>
        <v>16.005280289390242</v>
      </c>
    </row>
    <row r="1559" spans="2:10" x14ac:dyDescent="0.25">
      <c r="B1559" s="1">
        <v>42019</v>
      </c>
      <c r="C1559" s="13">
        <v>26.704999999999998</v>
      </c>
      <c r="D1559" s="6">
        <f t="shared" si="168"/>
        <v>-2.714025500910755E-2</v>
      </c>
      <c r="E1559" s="14">
        <f t="shared" si="169"/>
        <v>1.8928282431684043E-4</v>
      </c>
      <c r="F1559" s="9">
        <f t="shared" si="170"/>
        <v>17.624851453900494</v>
      </c>
      <c r="G1559" s="9">
        <f t="shared" si="171"/>
        <v>-0.23303863616660989</v>
      </c>
      <c r="H1559" s="9">
        <f t="shared" si="172"/>
        <v>-1.7018584072939578E-3</v>
      </c>
      <c r="I1559" s="9">
        <f t="shared" si="173"/>
        <v>-1.1178481661244649E-4</v>
      </c>
      <c r="J1559" s="9">
        <f t="shared" si="174"/>
        <v>17.389999174509974</v>
      </c>
    </row>
    <row r="1560" spans="2:10" x14ac:dyDescent="0.25">
      <c r="B1560" s="1">
        <v>42018</v>
      </c>
      <c r="C1560" s="13">
        <v>27.45</v>
      </c>
      <c r="D1560" s="6">
        <f t="shared" si="168"/>
        <v>-3.8105606967883121E-3</v>
      </c>
      <c r="E1560" s="14">
        <f t="shared" si="169"/>
        <v>1.8274479174723706E-4</v>
      </c>
      <c r="F1560" s="9">
        <f t="shared" si="170"/>
        <v>17.660003176496211</v>
      </c>
      <c r="G1560" s="9">
        <f t="shared" si="171"/>
        <v>-2.2709921964057691</v>
      </c>
      <c r="H1560" s="9">
        <f t="shared" si="172"/>
        <v>6.6779268886168197E-2</v>
      </c>
      <c r="I1560" s="9">
        <f t="shared" si="173"/>
        <v>-0.18438566730640712</v>
      </c>
      <c r="J1560" s="9">
        <f t="shared" si="174"/>
        <v>15.271404581670204</v>
      </c>
    </row>
    <row r="1561" spans="2:10" x14ac:dyDescent="0.25">
      <c r="B1561" s="1">
        <v>42017</v>
      </c>
      <c r="C1561" s="13">
        <v>27.555</v>
      </c>
      <c r="D1561" s="6">
        <f t="shared" si="168"/>
        <v>8.8602496979459655E-3</v>
      </c>
      <c r="E1561" s="14">
        <f t="shared" si="169"/>
        <v>1.8769006877699805E-4</v>
      </c>
      <c r="F1561" s="9">
        <f t="shared" si="170"/>
        <v>17.633301743281439</v>
      </c>
      <c r="G1561" s="9">
        <f t="shared" si="171"/>
        <v>-7.9008884553132139E-2</v>
      </c>
      <c r="H1561" s="9">
        <f t="shared" si="172"/>
        <v>-1.2310353053804079E-2</v>
      </c>
      <c r="I1561" s="9">
        <f t="shared" si="173"/>
        <v>-0.14543124757280274</v>
      </c>
      <c r="J1561" s="9">
        <f t="shared" si="174"/>
        <v>17.396551258101702</v>
      </c>
    </row>
    <row r="1562" spans="2:10" x14ac:dyDescent="0.25">
      <c r="B1562" s="1">
        <v>42016</v>
      </c>
      <c r="C1562" s="13">
        <v>27.312999999999999</v>
      </c>
      <c r="D1562" s="6">
        <f t="shared" si="168"/>
        <v>-2.464021711959441E-2</v>
      </c>
      <c r="E1562" s="14">
        <f t="shared" si="169"/>
        <v>1.8762287113017283E-4</v>
      </c>
      <c r="F1562" s="9">
        <f t="shared" si="170"/>
        <v>17.633659831907746</v>
      </c>
      <c r="G1562" s="9">
        <f t="shared" si="171"/>
        <v>-0.13982747751731889</v>
      </c>
      <c r="H1562" s="9">
        <f t="shared" si="172"/>
        <v>2.0916591808631808E-3</v>
      </c>
      <c r="I1562" s="9">
        <f t="shared" si="173"/>
        <v>-8.8251100285763817E-4</v>
      </c>
      <c r="J1562" s="9">
        <f t="shared" si="174"/>
        <v>17.495041502568434</v>
      </c>
    </row>
    <row r="1563" spans="2:10" x14ac:dyDescent="0.25">
      <c r="B1563" s="1">
        <v>42013</v>
      </c>
      <c r="C1563" s="13">
        <v>28.003</v>
      </c>
      <c r="D1563" s="6">
        <f t="shared" si="168"/>
        <v>1.0724627319200764E-3</v>
      </c>
      <c r="E1563" s="14">
        <f t="shared" si="169"/>
        <v>1.8232902603730324E-4</v>
      </c>
      <c r="F1563" s="9">
        <f t="shared" si="170"/>
        <v>17.662280885109801</v>
      </c>
      <c r="G1563" s="9">
        <f t="shared" si="171"/>
        <v>-1.8977417929976321</v>
      </c>
      <c r="H1563" s="9">
        <f t="shared" si="172"/>
        <v>4.7860966002346621E-2</v>
      </c>
      <c r="I1563" s="9">
        <f t="shared" si="173"/>
        <v>-0.11647158546908033</v>
      </c>
      <c r="J1563" s="9">
        <f t="shared" si="174"/>
        <v>15.695928472645436</v>
      </c>
    </row>
    <row r="1564" spans="2:10" x14ac:dyDescent="0.25">
      <c r="B1564" s="1">
        <v>42012</v>
      </c>
      <c r="C1564" s="13">
        <v>27.972999999999999</v>
      </c>
      <c r="D1564" s="6">
        <f t="shared" si="168"/>
        <v>3.8421560620684581E-2</v>
      </c>
      <c r="E1564" s="14">
        <f t="shared" si="169"/>
        <v>1.8370957147964149E-4</v>
      </c>
      <c r="F1564" s="9">
        <f t="shared" si="170"/>
        <v>17.654737680662095</v>
      </c>
      <c r="G1564" s="9">
        <f t="shared" si="171"/>
        <v>-8.4048339979652406E-4</v>
      </c>
      <c r="H1564" s="9">
        <f t="shared" si="172"/>
        <v>-4.8722281313680452E-4</v>
      </c>
      <c r="I1564" s="9">
        <f t="shared" si="173"/>
        <v>-1.7727548466517064E-2</v>
      </c>
      <c r="J1564" s="9">
        <f t="shared" si="174"/>
        <v>17.635682425982644</v>
      </c>
    </row>
    <row r="1565" spans="2:10" x14ac:dyDescent="0.25">
      <c r="B1565" s="1">
        <v>42011</v>
      </c>
      <c r="C1565" s="13">
        <v>26.937999999999999</v>
      </c>
      <c r="D1565" s="6">
        <f t="shared" si="168"/>
        <v>1.4041031432335593E-2</v>
      </c>
      <c r="E1565" s="14">
        <f t="shared" si="169"/>
        <v>1.7535816940253507E-4</v>
      </c>
      <c r="F1565" s="9">
        <f t="shared" si="170"/>
        <v>17.701263210765958</v>
      </c>
      <c r="G1565" s="9">
        <f t="shared" si="171"/>
        <v>-3.8715625238029805</v>
      </c>
      <c r="H1565" s="9">
        <f t="shared" si="172"/>
        <v>-0.11714370514092194</v>
      </c>
      <c r="I1565" s="9">
        <f t="shared" si="173"/>
        <v>-0.32385554262473687</v>
      </c>
      <c r="J1565" s="9">
        <f t="shared" si="174"/>
        <v>13.38870143919732</v>
      </c>
    </row>
    <row r="1566" spans="2:10" x14ac:dyDescent="0.25">
      <c r="B1566" s="1">
        <v>42010</v>
      </c>
      <c r="C1566" s="13">
        <v>26.565000000000001</v>
      </c>
      <c r="D1566" s="6">
        <f t="shared" si="168"/>
        <v>7.5292700372875387E-5</v>
      </c>
      <c r="E1566" s="14">
        <f t="shared" si="169"/>
        <v>1.7433294860765908E-4</v>
      </c>
      <c r="F1566" s="9">
        <f t="shared" si="170"/>
        <v>17.707126806833912</v>
      </c>
      <c r="G1566" s="9">
        <f t="shared" si="171"/>
        <v>-0.44327687148564188</v>
      </c>
      <c r="H1566" s="9">
        <f t="shared" si="172"/>
        <v>-1.1806528228209836E-3</v>
      </c>
      <c r="I1566" s="9">
        <f t="shared" si="173"/>
        <v>-1.3927935270990385E-3</v>
      </c>
      <c r="J1566" s="9">
        <f t="shared" si="174"/>
        <v>17.261276488998348</v>
      </c>
    </row>
    <row r="1567" spans="2:10" x14ac:dyDescent="0.25">
      <c r="B1567" s="1">
        <v>42009</v>
      </c>
      <c r="C1567" s="13">
        <v>26.562999999999999</v>
      </c>
      <c r="D1567" s="6">
        <f t="shared" si="168"/>
        <v>-2.8171075257015343E-2</v>
      </c>
      <c r="E1567" s="14">
        <f t="shared" si="169"/>
        <v>1.7566506160279861E-4</v>
      </c>
      <c r="F1567" s="9">
        <f t="shared" si="170"/>
        <v>17.699514652543318</v>
      </c>
      <c r="G1567" s="9">
        <f t="shared" si="171"/>
        <v>-6.8767417243755903E-3</v>
      </c>
      <c r="H1567" s="9">
        <f t="shared" si="172"/>
        <v>-1.393564657133721E-3</v>
      </c>
      <c r="I1567" s="9">
        <f t="shared" si="173"/>
        <v>-1.7852253452237635E-2</v>
      </c>
      <c r="J1567" s="9">
        <f t="shared" si="174"/>
        <v>17.67339209270957</v>
      </c>
    </row>
    <row r="1568" spans="2:10" x14ac:dyDescent="0.25">
      <c r="B1568" s="1">
        <v>42006</v>
      </c>
      <c r="C1568" s="13">
        <v>27.332999999999998</v>
      </c>
      <c r="D1568" s="6">
        <f t="shared" si="168"/>
        <v>-9.4944736365283333E-3</v>
      </c>
      <c r="E1568" s="14">
        <f t="shared" si="169"/>
        <v>1.6972229303659396E-4</v>
      </c>
      <c r="F1568" s="9">
        <f t="shared" si="170"/>
        <v>17.733930244442529</v>
      </c>
      <c r="G1568" s="9">
        <f t="shared" si="171"/>
        <v>-2.6236202493627401</v>
      </c>
      <c r="H1568" s="9">
        <f t="shared" si="172"/>
        <v>6.6751761908246512E-2</v>
      </c>
      <c r="I1568" s="9">
        <f t="shared" si="173"/>
        <v>-0.16005132738702096</v>
      </c>
      <c r="J1568" s="9">
        <f t="shared" si="174"/>
        <v>15.017010429601013</v>
      </c>
    </row>
    <row r="1569" spans="2:10" x14ac:dyDescent="0.25">
      <c r="B1569" s="1">
        <v>42004</v>
      </c>
      <c r="C1569" s="13">
        <v>27.594999999999999</v>
      </c>
      <c r="D1569" s="6">
        <f t="shared" si="168"/>
        <v>-1.9018841094916472E-2</v>
      </c>
      <c r="E1569" s="14">
        <f t="shared" si="169"/>
        <v>1.6875954375150369E-4</v>
      </c>
      <c r="F1569" s="9">
        <f t="shared" si="170"/>
        <v>17.739618891670961</v>
      </c>
      <c r="G1569" s="9">
        <f t="shared" si="171"/>
        <v>-0.36756727989446841</v>
      </c>
      <c r="H1569" s="9">
        <f t="shared" si="172"/>
        <v>7.8829178267908885E-4</v>
      </c>
      <c r="I1569" s="9">
        <f t="shared" si="173"/>
        <v>-1.0645236963101978E-3</v>
      </c>
      <c r="J1569" s="9">
        <f t="shared" si="174"/>
        <v>17.371775379862861</v>
      </c>
    </row>
    <row r="1570" spans="2:10" x14ac:dyDescent="0.25">
      <c r="B1570" s="1">
        <v>42003</v>
      </c>
      <c r="C1570" s="13">
        <v>28.13</v>
      </c>
      <c r="D1570" s="6">
        <f t="shared" si="168"/>
        <v>-1.2219959266802527E-2</v>
      </c>
      <c r="E1570" s="14">
        <f t="shared" si="169"/>
        <v>1.6550849236445354E-4</v>
      </c>
      <c r="F1570" s="9">
        <f t="shared" si="170"/>
        <v>17.759071268507846</v>
      </c>
      <c r="G1570" s="9">
        <f t="shared" si="171"/>
        <v>-1.2915547612306282</v>
      </c>
      <c r="H1570" s="9">
        <f t="shared" si="172"/>
        <v>2.2599149840447509E-2</v>
      </c>
      <c r="I1570" s="9">
        <f t="shared" si="173"/>
        <v>-4.1414028389295636E-2</v>
      </c>
      <c r="J1570" s="9">
        <f t="shared" si="174"/>
        <v>16.448701628728372</v>
      </c>
    </row>
    <row r="1571" spans="2:10" x14ac:dyDescent="0.25">
      <c r="B1571" s="1">
        <v>42002</v>
      </c>
      <c r="C1571" s="13">
        <v>28.478000000000002</v>
      </c>
      <c r="D1571" s="6">
        <f t="shared" si="168"/>
        <v>-7.0180363534277923E-4</v>
      </c>
      <c r="E1571" s="14">
        <f t="shared" si="169"/>
        <v>1.639495430777211E-4</v>
      </c>
      <c r="F1571" s="9">
        <f t="shared" si="170"/>
        <v>17.768535059063225</v>
      </c>
      <c r="G1571" s="9">
        <f t="shared" si="171"/>
        <v>-0.58650777060540638</v>
      </c>
      <c r="H1571" s="9">
        <f t="shared" si="172"/>
        <v>4.7336793613415428E-3</v>
      </c>
      <c r="I1571" s="9">
        <f t="shared" si="173"/>
        <v>-5.9688766890170289E-3</v>
      </c>
      <c r="J1571" s="9">
        <f t="shared" si="174"/>
        <v>17.18079209113014</v>
      </c>
    </row>
    <row r="1572" spans="2:10" x14ac:dyDescent="0.25">
      <c r="B1572" s="1">
        <v>41999</v>
      </c>
      <c r="C1572" s="13">
        <v>28.498000000000001</v>
      </c>
      <c r="D1572" s="6">
        <f t="shared" si="168"/>
        <v>1.7676677498839499E-2</v>
      </c>
      <c r="E1572" s="14">
        <f t="shared" si="169"/>
        <v>1.6443444713673709E-4</v>
      </c>
      <c r="F1572" s="9">
        <f t="shared" si="170"/>
        <v>17.76558178225374</v>
      </c>
      <c r="G1572" s="9">
        <f t="shared" si="171"/>
        <v>-1.654460098197922E-2</v>
      </c>
      <c r="H1572" s="9">
        <f t="shared" si="172"/>
        <v>-1.3467990152741813E-3</v>
      </c>
      <c r="I1572" s="9">
        <f t="shared" si="173"/>
        <v>-5.7745780462780784E-3</v>
      </c>
      <c r="J1572" s="9">
        <f t="shared" si="174"/>
        <v>17.741915804210208</v>
      </c>
    </row>
    <row r="1573" spans="2:10" x14ac:dyDescent="0.25">
      <c r="B1573" s="1">
        <v>41997</v>
      </c>
      <c r="C1573" s="13">
        <v>28.003</v>
      </c>
      <c r="D1573" s="6">
        <f t="shared" si="168"/>
        <v>-4.6916651857118463E-3</v>
      </c>
      <c r="E1573" s="14">
        <f t="shared" si="169"/>
        <v>1.6528940459359598E-4</v>
      </c>
      <c r="F1573" s="9">
        <f t="shared" si="170"/>
        <v>17.76039587065862</v>
      </c>
      <c r="G1573" s="9">
        <f t="shared" si="171"/>
        <v>-0.78148743556467626</v>
      </c>
      <c r="H1573" s="9">
        <f t="shared" si="172"/>
        <v>1.188916458517464E-2</v>
      </c>
      <c r="I1573" s="9">
        <f t="shared" si="173"/>
        <v>-1.0681908212180995E-2</v>
      </c>
      <c r="J1573" s="9">
        <f t="shared" si="174"/>
        <v>16.980115691466935</v>
      </c>
    </row>
    <row r="1574" spans="2:10" x14ac:dyDescent="0.25">
      <c r="B1574" s="1">
        <v>41996</v>
      </c>
      <c r="C1574" s="13">
        <v>28.135000000000002</v>
      </c>
      <c r="D1574" s="6">
        <f t="shared" si="168"/>
        <v>-3.5417035594119683E-3</v>
      </c>
      <c r="E1574" s="14">
        <f t="shared" si="169"/>
        <v>1.6511874026734987E-4</v>
      </c>
      <c r="F1574" s="9">
        <f t="shared" si="170"/>
        <v>17.761428922319595</v>
      </c>
      <c r="G1574" s="9">
        <f t="shared" si="171"/>
        <v>-0.12127060372416729</v>
      </c>
      <c r="H1574" s="9">
        <f t="shared" si="172"/>
        <v>-1.7836448398659802E-3</v>
      </c>
      <c r="I1574" s="9">
        <f t="shared" si="173"/>
        <v>-7.1356774861657468E-4</v>
      </c>
      <c r="J1574" s="9">
        <f t="shared" si="174"/>
        <v>17.637661106006949</v>
      </c>
    </row>
    <row r="1575" spans="2:10" x14ac:dyDescent="0.25">
      <c r="B1575" s="1">
        <v>41995</v>
      </c>
      <c r="C1575" s="13">
        <v>28.234999999999999</v>
      </c>
      <c r="D1575" s="6">
        <f t="shared" si="168"/>
        <v>1.0377527285739818E-2</v>
      </c>
      <c r="E1575" s="14">
        <f t="shared" si="169"/>
        <v>1.6493115552882167E-4</v>
      </c>
      <c r="F1575" s="9">
        <f t="shared" si="170"/>
        <v>17.762565627776048</v>
      </c>
      <c r="G1575" s="9">
        <f t="shared" si="171"/>
        <v>-8.1240471308858003E-2</v>
      </c>
      <c r="H1575" s="9">
        <f t="shared" si="172"/>
        <v>-1.4214973371132415E-3</v>
      </c>
      <c r="I1575" s="9">
        <f t="shared" si="173"/>
        <v>-6.4947296397722411E-4</v>
      </c>
      <c r="J1575" s="9">
        <f t="shared" si="174"/>
        <v>17.679254186166098</v>
      </c>
    </row>
    <row r="1576" spans="2:10" x14ac:dyDescent="0.25">
      <c r="B1576" s="1">
        <v>41992</v>
      </c>
      <c r="C1576" s="13">
        <v>27.945</v>
      </c>
      <c r="D1576" s="6">
        <f t="shared" si="168"/>
        <v>-7.7406526293363198E-3</v>
      </c>
      <c r="E1576" s="14">
        <f t="shared" si="169"/>
        <v>1.6447707532653145E-4</v>
      </c>
      <c r="F1576" s="9">
        <f t="shared" si="170"/>
        <v>17.765322574612036</v>
      </c>
      <c r="G1576" s="9">
        <f t="shared" si="171"/>
        <v>-0.23344346468937208</v>
      </c>
      <c r="H1576" s="9">
        <f t="shared" si="172"/>
        <v>1.3646310377921273E-3</v>
      </c>
      <c r="I1576" s="9">
        <f t="shared" si="173"/>
        <v>-3.1403320466471675E-5</v>
      </c>
      <c r="J1576" s="9">
        <f t="shared" si="174"/>
        <v>17.533212337639988</v>
      </c>
    </row>
    <row r="1577" spans="2:10" x14ac:dyDescent="0.25">
      <c r="B1577" s="1">
        <v>41991</v>
      </c>
      <c r="C1577" s="13">
        <v>28.163</v>
      </c>
      <c r="D1577" s="6">
        <f t="shared" si="168"/>
        <v>2.9612839542280556E-2</v>
      </c>
      <c r="E1577" s="14">
        <f t="shared" si="169"/>
        <v>1.6436277463994549E-4</v>
      </c>
      <c r="F1577" s="9">
        <f t="shared" si="170"/>
        <v>17.766017750036795</v>
      </c>
      <c r="G1577" s="9">
        <f t="shared" si="171"/>
        <v>-0.26775877064452203</v>
      </c>
      <c r="H1577" s="9">
        <f t="shared" si="172"/>
        <v>-2.8939734247364194E-3</v>
      </c>
      <c r="I1577" s="9">
        <f t="shared" si="173"/>
        <v>-9.6680131700131299E-4</v>
      </c>
      <c r="J1577" s="9">
        <f t="shared" si="174"/>
        <v>17.494398204650533</v>
      </c>
    </row>
    <row r="1578" spans="2:10" x14ac:dyDescent="0.25">
      <c r="B1578" s="1">
        <v>41990</v>
      </c>
      <c r="C1578" s="13">
        <v>27.353000000000002</v>
      </c>
      <c r="D1578" s="6">
        <f t="shared" si="168"/>
        <v>2.4994379075170547E-2</v>
      </c>
      <c r="E1578" s="14">
        <f t="shared" si="169"/>
        <v>1.5872950971512349E-4</v>
      </c>
      <c r="F1578" s="9">
        <f t="shared" si="170"/>
        <v>17.800892218607292</v>
      </c>
      <c r="G1578" s="9">
        <f t="shared" si="171"/>
        <v>-2.4743518223074155</v>
      </c>
      <c r="H1578" s="9">
        <f t="shared" si="172"/>
        <v>-6.2997291324807664E-2</v>
      </c>
      <c r="I1578" s="9">
        <f t="shared" si="173"/>
        <v>-0.15107690512364577</v>
      </c>
      <c r="J1578" s="9">
        <f t="shared" si="174"/>
        <v>15.112466199851424</v>
      </c>
    </row>
    <row r="1579" spans="2:10" x14ac:dyDescent="0.25">
      <c r="B1579" s="1">
        <v>41989</v>
      </c>
      <c r="C1579" s="13">
        <v>26.686</v>
      </c>
      <c r="D1579" s="6">
        <f t="shared" si="168"/>
        <v>-1.3675340035481987E-2</v>
      </c>
      <c r="E1579" s="14">
        <f t="shared" si="169"/>
        <v>1.5430718522925263E-4</v>
      </c>
      <c r="F1579" s="9">
        <f t="shared" si="170"/>
        <v>17.82914845048532</v>
      </c>
      <c r="G1579" s="9">
        <f t="shared" si="171"/>
        <v>-1.7744924880629458</v>
      </c>
      <c r="H1579" s="9">
        <f t="shared" si="172"/>
        <v>-4.0549096128244366E-2</v>
      </c>
      <c r="I1579" s="9">
        <f t="shared" si="173"/>
        <v>-8.9972528363819415E-2</v>
      </c>
      <c r="J1579" s="9">
        <f t="shared" si="174"/>
        <v>15.924134337930308</v>
      </c>
    </row>
    <row r="1580" spans="2:10" x14ac:dyDescent="0.25">
      <c r="B1580" s="1">
        <v>41988</v>
      </c>
      <c r="C1580" s="13">
        <v>27.056000000000001</v>
      </c>
      <c r="D1580" s="6">
        <f t="shared" si="168"/>
        <v>-1.3742572813764453E-2</v>
      </c>
      <c r="E1580" s="14">
        <f t="shared" si="169"/>
        <v>1.5238759121543975E-4</v>
      </c>
      <c r="F1580" s="9">
        <f t="shared" si="170"/>
        <v>17.841666557922174</v>
      </c>
      <c r="G1580" s="9">
        <f t="shared" si="171"/>
        <v>-0.77061802508645649</v>
      </c>
      <c r="H1580" s="9">
        <f t="shared" si="172"/>
        <v>8.3059870849433431E-3</v>
      </c>
      <c r="I1580" s="9">
        <f t="shared" si="173"/>
        <v>-1.139051589309119E-2</v>
      </c>
      <c r="J1580" s="9">
        <f t="shared" si="174"/>
        <v>17.067964004027569</v>
      </c>
    </row>
    <row r="1581" spans="2:10" x14ac:dyDescent="0.25">
      <c r="B1581" s="1">
        <v>41985</v>
      </c>
      <c r="C1581" s="13">
        <v>27.433</v>
      </c>
      <c r="D1581" s="6">
        <f t="shared" si="168"/>
        <v>-1.6914531445977432E-2</v>
      </c>
      <c r="E1581" s="14">
        <f t="shared" si="169"/>
        <v>1.5091624961085444E-4</v>
      </c>
      <c r="F1581" s="9">
        <f t="shared" si="170"/>
        <v>17.851368730781388</v>
      </c>
      <c r="G1581" s="9">
        <f t="shared" si="171"/>
        <v>-0.78498358226130494</v>
      </c>
      <c r="H1581" s="9">
        <f t="shared" si="172"/>
        <v>5.0482000298311402E-3</v>
      </c>
      <c r="I1581" s="9">
        <f t="shared" si="173"/>
        <v>-5.1816978375569178E-3</v>
      </c>
      <c r="J1581" s="9">
        <f t="shared" si="174"/>
        <v>17.066251650712356</v>
      </c>
    </row>
    <row r="1582" spans="2:10" x14ac:dyDescent="0.25">
      <c r="B1582" s="1">
        <v>41984</v>
      </c>
      <c r="C1582" s="13">
        <v>27.905000000000001</v>
      </c>
      <c r="D1582" s="6">
        <f t="shared" si="168"/>
        <v>-2.9655566671430433E-3</v>
      </c>
      <c r="E1582" s="14">
        <f t="shared" si="169"/>
        <v>1.4808293135701664E-4</v>
      </c>
      <c r="F1582" s="9">
        <f t="shared" si="170"/>
        <v>17.870321311553639</v>
      </c>
      <c r="G1582" s="9">
        <f t="shared" si="171"/>
        <v>-1.1642756465029382</v>
      </c>
      <c r="H1582" s="9">
        <f t="shared" si="172"/>
        <v>1.8816478037887531E-2</v>
      </c>
      <c r="I1582" s="9">
        <f t="shared" si="173"/>
        <v>-3.2354515304823889E-2</v>
      </c>
      <c r="J1582" s="9">
        <f t="shared" si="174"/>
        <v>16.692507627783765</v>
      </c>
    </row>
    <row r="1583" spans="2:10" x14ac:dyDescent="0.25">
      <c r="B1583" s="1">
        <v>41983</v>
      </c>
      <c r="C1583" s="13">
        <v>27.988</v>
      </c>
      <c r="D1583" s="6">
        <f t="shared" si="168"/>
        <v>-1.8997546442341418E-2</v>
      </c>
      <c r="E1583" s="14">
        <f t="shared" si="169"/>
        <v>1.4911053385850343E-4</v>
      </c>
      <c r="F1583" s="9">
        <f t="shared" si="170"/>
        <v>17.863405906492652</v>
      </c>
      <c r="G1583" s="9">
        <f t="shared" si="171"/>
        <v>-7.0944700844284295E-2</v>
      </c>
      <c r="H1583" s="9">
        <f t="shared" si="172"/>
        <v>-4.1647524458643566E-3</v>
      </c>
      <c r="I1583" s="9">
        <f t="shared" si="173"/>
        <v>-1.5503265686079069E-2</v>
      </c>
      <c r="J1583" s="9">
        <f t="shared" si="174"/>
        <v>17.772793187516427</v>
      </c>
    </row>
    <row r="1584" spans="2:10" x14ac:dyDescent="0.25">
      <c r="B1584" s="1">
        <v>41982</v>
      </c>
      <c r="C1584" s="13">
        <v>28.53</v>
      </c>
      <c r="D1584" s="6">
        <f t="shared" si="168"/>
        <v>1.530249110320292E-2</v>
      </c>
      <c r="E1584" s="14">
        <f t="shared" si="169"/>
        <v>1.457442384958461E-4</v>
      </c>
      <c r="F1584" s="9">
        <f t="shared" si="170"/>
        <v>17.886240480985244</v>
      </c>
      <c r="G1584" s="9">
        <f t="shared" si="171"/>
        <v>-1.4636774425956147</v>
      </c>
      <c r="H1584" s="9">
        <f t="shared" si="172"/>
        <v>2.6843236603692814E-2</v>
      </c>
      <c r="I1584" s="9">
        <f t="shared" si="173"/>
        <v>-4.9923688134180633E-2</v>
      </c>
      <c r="J1584" s="9">
        <f t="shared" si="174"/>
        <v>16.39948258685914</v>
      </c>
    </row>
    <row r="1585" spans="2:10" x14ac:dyDescent="0.25">
      <c r="B1585" s="1">
        <v>41981</v>
      </c>
      <c r="C1585" s="13">
        <v>28.1</v>
      </c>
      <c r="D1585" s="6">
        <f t="shared" si="168"/>
        <v>-2.2608695652173827E-2</v>
      </c>
      <c r="E1585" s="14">
        <f t="shared" si="169"/>
        <v>1.4422439891929246E-4</v>
      </c>
      <c r="F1585" s="9">
        <f t="shared" si="170"/>
        <v>17.896723362914205</v>
      </c>
      <c r="G1585" s="9">
        <f t="shared" si="171"/>
        <v>-0.65024682853660409</v>
      </c>
      <c r="H1585" s="9">
        <f t="shared" si="172"/>
        <v>-5.0399837379654583E-3</v>
      </c>
      <c r="I1585" s="9">
        <f t="shared" si="173"/>
        <v>-5.8722212207670587E-3</v>
      </c>
      <c r="J1585" s="9">
        <f t="shared" si="174"/>
        <v>17.235564329418867</v>
      </c>
    </row>
    <row r="1586" spans="2:10" x14ac:dyDescent="0.25">
      <c r="B1586" s="1">
        <v>41978</v>
      </c>
      <c r="C1586" s="13">
        <v>28.75</v>
      </c>
      <c r="D1586" s="6">
        <f t="shared" si="168"/>
        <v>-4.2600353271222691E-3</v>
      </c>
      <c r="E1586" s="14">
        <f t="shared" si="169"/>
        <v>1.3933644525848286E-4</v>
      </c>
      <c r="F1586" s="9">
        <f t="shared" si="170"/>
        <v>17.931202297390598</v>
      </c>
      <c r="G1586" s="9">
        <f t="shared" si="171"/>
        <v>-2.1140342859101904</v>
      </c>
      <c r="H1586" s="9">
        <f t="shared" si="172"/>
        <v>5.2564540907602514E-2</v>
      </c>
      <c r="I1586" s="9">
        <f t="shared" si="173"/>
        <v>-0.12359046220499155</v>
      </c>
      <c r="J1586" s="9">
        <f t="shared" si="174"/>
        <v>15.746142090183019</v>
      </c>
    </row>
    <row r="1587" spans="2:10" x14ac:dyDescent="0.25">
      <c r="B1587" s="1">
        <v>41977</v>
      </c>
      <c r="C1587" s="13">
        <v>28.873000000000001</v>
      </c>
      <c r="D1587" s="6">
        <f t="shared" si="168"/>
        <v>-3.7953282958975709E-3</v>
      </c>
      <c r="E1587" s="14">
        <f t="shared" si="169"/>
        <v>1.3956419141687582E-4</v>
      </c>
      <c r="F1587" s="9">
        <f t="shared" si="170"/>
        <v>17.929569126439617</v>
      </c>
      <c r="G1587" s="9">
        <f t="shared" si="171"/>
        <v>-0.12454434548323401</v>
      </c>
      <c r="H1587" s="9">
        <f t="shared" si="172"/>
        <v>-3.2088127112945767E-3</v>
      </c>
      <c r="I1587" s="9">
        <f t="shared" si="173"/>
        <v>-4.2132640176432258E-3</v>
      </c>
      <c r="J1587" s="9">
        <f t="shared" si="174"/>
        <v>17.797602704227447</v>
      </c>
    </row>
    <row r="1588" spans="2:10" x14ac:dyDescent="0.25">
      <c r="B1588" s="1">
        <v>41976</v>
      </c>
      <c r="C1588" s="13">
        <v>28.983000000000001</v>
      </c>
      <c r="D1588" s="6">
        <f t="shared" si="168"/>
        <v>1.1340637867262249E-2</v>
      </c>
      <c r="E1588" s="14">
        <f t="shared" si="169"/>
        <v>1.4068344663589722E-4</v>
      </c>
      <c r="F1588" s="9">
        <f t="shared" si="170"/>
        <v>17.921581468254526</v>
      </c>
      <c r="G1588" s="9">
        <f t="shared" si="171"/>
        <v>-0.10481845696274666</v>
      </c>
      <c r="H1588" s="9">
        <f t="shared" si="172"/>
        <v>-5.4729386405472291E-3</v>
      </c>
      <c r="I1588" s="9">
        <f t="shared" si="173"/>
        <v>-1.8698913469067241E-2</v>
      </c>
      <c r="J1588" s="9">
        <f t="shared" si="174"/>
        <v>17.792591159182166</v>
      </c>
    </row>
    <row r="1589" spans="2:10" x14ac:dyDescent="0.25">
      <c r="B1589" s="1">
        <v>41975</v>
      </c>
      <c r="C1589" s="13">
        <v>28.658000000000001</v>
      </c>
      <c r="D1589" s="6">
        <f t="shared" si="168"/>
        <v>-3.8236929922135232E-3</v>
      </c>
      <c r="E1589" s="14">
        <f t="shared" si="169"/>
        <v>1.4279771566225044E-4</v>
      </c>
      <c r="F1589" s="9">
        <f t="shared" si="170"/>
        <v>17.906664722374281</v>
      </c>
      <c r="G1589" s="9">
        <f t="shared" si="171"/>
        <v>-0.33133295862602169</v>
      </c>
      <c r="H1589" s="9">
        <f t="shared" si="172"/>
        <v>1.4662762318281543E-2</v>
      </c>
      <c r="I1589" s="9">
        <f t="shared" si="173"/>
        <v>-4.6430743151121681E-2</v>
      </c>
      <c r="J1589" s="9">
        <f t="shared" si="174"/>
        <v>17.54356378291542</v>
      </c>
    </row>
    <row r="1590" spans="2:10" x14ac:dyDescent="0.25">
      <c r="B1590" s="1">
        <v>41974</v>
      </c>
      <c r="C1590" s="13">
        <v>28.768000000000001</v>
      </c>
      <c r="D1590" s="6">
        <f t="shared" si="168"/>
        <v>-3.2455520801802695E-2</v>
      </c>
      <c r="E1590" s="14">
        <f t="shared" si="169"/>
        <v>1.4282965762042144E-4</v>
      </c>
      <c r="F1590" s="9">
        <f t="shared" si="170"/>
        <v>17.906441060629696</v>
      </c>
      <c r="G1590" s="9">
        <f t="shared" si="171"/>
        <v>-0.10432632315439158</v>
      </c>
      <c r="H1590" s="9">
        <f t="shared" si="172"/>
        <v>-2.3505097523024367E-3</v>
      </c>
      <c r="I1590" s="9">
        <f t="shared" si="173"/>
        <v>-2.3022340217755729E-3</v>
      </c>
      <c r="J1590" s="9">
        <f t="shared" si="174"/>
        <v>17.797461993701226</v>
      </c>
    </row>
    <row r="1591" spans="2:10" x14ac:dyDescent="0.25">
      <c r="B1591" s="1">
        <v>41971</v>
      </c>
      <c r="C1591" s="13">
        <v>29.733000000000001</v>
      </c>
      <c r="D1591" s="6">
        <f t="shared" si="168"/>
        <v>-5.7142857142855608E-4</v>
      </c>
      <c r="E1591" s="14">
        <f t="shared" si="169"/>
        <v>1.3313912367317232E-4</v>
      </c>
      <c r="F1591" s="9">
        <f t="shared" si="170"/>
        <v>17.976699151233063</v>
      </c>
      <c r="G1591" s="9">
        <f t="shared" si="171"/>
        <v>-4.3754213763004524</v>
      </c>
      <c r="H1591" s="9">
        <f t="shared" si="172"/>
        <v>0.16826922332688043</v>
      </c>
      <c r="I1591" s="9">
        <f t="shared" si="173"/>
        <v>-0.5758363576531218</v>
      </c>
      <c r="J1591" s="9">
        <f t="shared" si="174"/>
        <v>13.193710640606371</v>
      </c>
    </row>
    <row r="1592" spans="2:10" x14ac:dyDescent="0.25">
      <c r="B1592" s="1">
        <v>41969</v>
      </c>
      <c r="C1592" s="13">
        <v>29.75</v>
      </c>
      <c r="D1592" s="6">
        <f t="shared" si="168"/>
        <v>1.1904761904761862E-2</v>
      </c>
      <c r="E1592" s="14">
        <f t="shared" si="169"/>
        <v>1.3468876893503592E-4</v>
      </c>
      <c r="F1592" s="9">
        <f t="shared" si="170"/>
        <v>17.965127073807764</v>
      </c>
      <c r="G1592" s="9">
        <f t="shared" si="171"/>
        <v>-1.8000493381453833E-2</v>
      </c>
      <c r="H1592" s="9">
        <f t="shared" si="172"/>
        <v>-2.8374518925544799E-3</v>
      </c>
      <c r="I1592" s="9">
        <f t="shared" si="173"/>
        <v>-3.1053316809966289E-2</v>
      </c>
      <c r="J1592" s="9">
        <f t="shared" si="174"/>
        <v>17.913235811723791</v>
      </c>
    </row>
    <row r="1593" spans="2:10" x14ac:dyDescent="0.25">
      <c r="B1593" s="1">
        <v>41968</v>
      </c>
      <c r="C1593" s="13">
        <v>29.4</v>
      </c>
      <c r="D1593" s="6">
        <f t="shared" si="168"/>
        <v>-8.6323172376584489E-3</v>
      </c>
      <c r="E1593" s="14">
        <f t="shared" si="169"/>
        <v>1.3408885383720223E-4</v>
      </c>
      <c r="F1593" s="9">
        <f t="shared" si="170"/>
        <v>17.969591106846558</v>
      </c>
      <c r="G1593" s="9">
        <f t="shared" si="171"/>
        <v>-0.39502830938254152</v>
      </c>
      <c r="H1593" s="9">
        <f t="shared" si="172"/>
        <v>1.1395433026992799E-3</v>
      </c>
      <c r="I1593" s="9">
        <f t="shared" si="173"/>
        <v>-2.9759456573727691E-6</v>
      </c>
      <c r="J1593" s="9">
        <f t="shared" si="174"/>
        <v>17.575699364821055</v>
      </c>
    </row>
    <row r="1594" spans="2:10" x14ac:dyDescent="0.25">
      <c r="B1594" s="1">
        <v>41967</v>
      </c>
      <c r="C1594" s="13">
        <v>29.655999999999999</v>
      </c>
      <c r="D1594" s="6">
        <f t="shared" si="168"/>
        <v>1.8476543718662031E-2</v>
      </c>
      <c r="E1594" s="14">
        <f t="shared" si="169"/>
        <v>1.3315620057910023E-4</v>
      </c>
      <c r="F1594" s="9">
        <f t="shared" si="170"/>
        <v>17.976570895838428</v>
      </c>
      <c r="G1594" s="9">
        <f t="shared" si="171"/>
        <v>-0.39642252791918658</v>
      </c>
      <c r="H1594" s="9">
        <f t="shared" si="172"/>
        <v>7.5015357352301937E-4</v>
      </c>
      <c r="I1594" s="9">
        <f t="shared" si="173"/>
        <v>-8.5951797568828165E-4</v>
      </c>
      <c r="J1594" s="9">
        <f t="shared" si="174"/>
        <v>17.580039003517079</v>
      </c>
    </row>
    <row r="1595" spans="2:10" x14ac:dyDescent="0.25">
      <c r="B1595" s="1">
        <v>41964</v>
      </c>
      <c r="C1595" s="13">
        <v>29.117999999999999</v>
      </c>
      <c r="D1595" s="6">
        <f t="shared" si="168"/>
        <v>1.375610427126972E-3</v>
      </c>
      <c r="E1595" s="14">
        <f t="shared" si="169"/>
        <v>1.3164842981200134E-4</v>
      </c>
      <c r="F1595" s="9">
        <f t="shared" si="170"/>
        <v>17.987958816505888</v>
      </c>
      <c r="G1595" s="9">
        <f t="shared" si="171"/>
        <v>-1.0814237346864577</v>
      </c>
      <c r="H1595" s="9">
        <f t="shared" si="172"/>
        <v>-6.6887698287697436E-3</v>
      </c>
      <c r="I1595" s="9">
        <f t="shared" si="173"/>
        <v>-5.9989812998101737E-3</v>
      </c>
      <c r="J1595" s="9">
        <f t="shared" si="174"/>
        <v>16.89384733069085</v>
      </c>
    </row>
    <row r="1596" spans="2:10" x14ac:dyDescent="0.25">
      <c r="B1596" s="1">
        <v>41963</v>
      </c>
      <c r="C1596" s="13">
        <v>29.077999999999999</v>
      </c>
      <c r="D1596" s="6">
        <f t="shared" si="168"/>
        <v>1.4301660387888937E-2</v>
      </c>
      <c r="E1596" s="14">
        <f t="shared" si="169"/>
        <v>1.3283663789726133E-4</v>
      </c>
      <c r="F1596" s="9">
        <f t="shared" si="170"/>
        <v>17.97897368861598</v>
      </c>
      <c r="G1596" s="9">
        <f t="shared" si="171"/>
        <v>-2.3924025791924352E-4</v>
      </c>
      <c r="H1596" s="9">
        <f t="shared" si="172"/>
        <v>-2.787422345072037E-4</v>
      </c>
      <c r="I1596" s="9">
        <f t="shared" si="173"/>
        <v>-2.1773287346580818E-2</v>
      </c>
      <c r="J1596" s="9">
        <f t="shared" si="174"/>
        <v>17.956682418776975</v>
      </c>
    </row>
    <row r="1597" spans="2:10" x14ac:dyDescent="0.25">
      <c r="B1597" s="1">
        <v>41962</v>
      </c>
      <c r="C1597" s="13">
        <v>28.667999999999999</v>
      </c>
      <c r="D1597" s="6">
        <f t="shared" si="168"/>
        <v>-6.9280864625190786E-3</v>
      </c>
      <c r="E1597" s="14">
        <f t="shared" si="169"/>
        <v>1.3227079928736392E-4</v>
      </c>
      <c r="F1597" s="9">
        <f t="shared" si="170"/>
        <v>17.983242444522229</v>
      </c>
      <c r="G1597" s="9">
        <f t="shared" si="171"/>
        <v>-0.60902911271155979</v>
      </c>
      <c r="H1597" s="9">
        <f t="shared" si="172"/>
        <v>1.6660637486600213E-3</v>
      </c>
      <c r="I1597" s="9">
        <f t="shared" si="173"/>
        <v>-1.8558939492682046E-6</v>
      </c>
      <c r="J1597" s="9">
        <f t="shared" si="174"/>
        <v>17.375877539665382</v>
      </c>
    </row>
    <row r="1598" spans="2:10" x14ac:dyDescent="0.25">
      <c r="B1598" s="1">
        <v>41961</v>
      </c>
      <c r="C1598" s="13">
        <v>28.867999999999999</v>
      </c>
      <c r="D1598" s="6">
        <f t="shared" si="168"/>
        <v>1.2983367253842193E-2</v>
      </c>
      <c r="E1598" s="14">
        <f t="shared" si="169"/>
        <v>1.3187934016881242E-4</v>
      </c>
      <c r="F1598" s="9">
        <f t="shared" si="170"/>
        <v>17.986206360467392</v>
      </c>
      <c r="G1598" s="9">
        <f t="shared" si="171"/>
        <v>-0.27833045278239149</v>
      </c>
      <c r="H1598" s="9">
        <f t="shared" si="172"/>
        <v>-1.9644467566193634E-3</v>
      </c>
      <c r="I1598" s="9">
        <f t="shared" si="173"/>
        <v>-2.5642808320140232E-4</v>
      </c>
      <c r="J1598" s="9">
        <f t="shared" si="174"/>
        <v>17.705655032845179</v>
      </c>
    </row>
    <row r="1599" spans="2:10" x14ac:dyDescent="0.25">
      <c r="B1599" s="1">
        <v>41960</v>
      </c>
      <c r="C1599" s="13">
        <v>28.498000000000001</v>
      </c>
      <c r="D1599" s="6">
        <f t="shared" si="168"/>
        <v>-1.6465230338063019E-3</v>
      </c>
      <c r="E1599" s="14">
        <f t="shared" si="169"/>
        <v>1.3305898475707208E-4</v>
      </c>
      <c r="F1599" s="9">
        <f t="shared" si="170"/>
        <v>17.977301251067612</v>
      </c>
      <c r="G1599" s="9">
        <f t="shared" si="171"/>
        <v>-0.48602795050453723</v>
      </c>
      <c r="H1599" s="9">
        <f t="shared" si="172"/>
        <v>1.2499119626994794E-2</v>
      </c>
      <c r="I1599" s="9">
        <f t="shared" si="173"/>
        <v>-2.1518016499748271E-2</v>
      </c>
      <c r="J1599" s="9">
        <f t="shared" si="174"/>
        <v>17.482254403690323</v>
      </c>
    </row>
    <row r="1600" spans="2:10" x14ac:dyDescent="0.25">
      <c r="B1600" s="1">
        <v>41957</v>
      </c>
      <c r="C1600" s="13">
        <v>28.545000000000002</v>
      </c>
      <c r="D1600" s="6">
        <f t="shared" si="168"/>
        <v>1.2054600248183167E-2</v>
      </c>
      <c r="E1600" s="14">
        <f t="shared" si="169"/>
        <v>1.3312570818100922E-4</v>
      </c>
      <c r="F1600" s="9">
        <f t="shared" si="170"/>
        <v>17.976799919269766</v>
      </c>
      <c r="G1600" s="9">
        <f t="shared" si="171"/>
        <v>-4.0375200312464984E-2</v>
      </c>
      <c r="H1600" s="9">
        <f t="shared" si="172"/>
        <v>-1.577856839282797E-3</v>
      </c>
      <c r="I1600" s="9">
        <f t="shared" si="173"/>
        <v>-2.9089273852072315E-3</v>
      </c>
      <c r="J1600" s="9">
        <f t="shared" si="174"/>
        <v>17.931937934732812</v>
      </c>
    </row>
    <row r="1601" spans="2:10" x14ac:dyDescent="0.25">
      <c r="B1601" s="1">
        <v>41956</v>
      </c>
      <c r="C1601" s="13">
        <v>28.204999999999998</v>
      </c>
      <c r="D1601" s="6">
        <f t="shared" si="168"/>
        <v>1.4094128644878356E-2</v>
      </c>
      <c r="E1601" s="14">
        <f t="shared" si="169"/>
        <v>1.3460480293396617E-4</v>
      </c>
      <c r="F1601" s="9">
        <f t="shared" si="170"/>
        <v>17.965750675798766</v>
      </c>
      <c r="G1601" s="9">
        <f t="shared" si="171"/>
        <v>-0.40507217137618379</v>
      </c>
      <c r="H1601" s="9">
        <f t="shared" si="172"/>
        <v>1.3060314354625862E-2</v>
      </c>
      <c r="I1601" s="9">
        <f t="shared" si="173"/>
        <v>-2.9050229882709801E-2</v>
      </c>
      <c r="J1601" s="9">
        <f t="shared" si="174"/>
        <v>17.544688588894498</v>
      </c>
    </row>
    <row r="1602" spans="2:10" x14ac:dyDescent="0.25">
      <c r="B1602" s="1">
        <v>41955</v>
      </c>
      <c r="C1602" s="13">
        <v>27.812999999999999</v>
      </c>
      <c r="D1602" s="6">
        <f t="shared" si="168"/>
        <v>1.414767547857787E-2</v>
      </c>
      <c r="E1602" s="14">
        <f t="shared" si="169"/>
        <v>1.3411246480899929E-4</v>
      </c>
      <c r="F1602" s="9">
        <f t="shared" si="170"/>
        <v>17.969415037825144</v>
      </c>
      <c r="G1602" s="9">
        <f t="shared" si="171"/>
        <v>-0.58115597566039112</v>
      </c>
      <c r="H1602" s="9">
        <f t="shared" si="172"/>
        <v>2.1214866355362258E-3</v>
      </c>
      <c r="I1602" s="9">
        <f t="shared" si="173"/>
        <v>-5.1844062077035034E-5</v>
      </c>
      <c r="J1602" s="9">
        <f t="shared" si="174"/>
        <v>17.390328704738213</v>
      </c>
    </row>
    <row r="1603" spans="2:10" x14ac:dyDescent="0.25">
      <c r="B1603" s="1">
        <v>41954</v>
      </c>
      <c r="C1603" s="13">
        <v>27.425000000000001</v>
      </c>
      <c r="D1603" s="6">
        <f t="shared" si="168"/>
        <v>7.9755954131137674E-3</v>
      </c>
      <c r="E1603" s="14">
        <f t="shared" si="169"/>
        <v>1.3289948726323881E-4</v>
      </c>
      <c r="F1603" s="9">
        <f t="shared" si="170"/>
        <v>17.978500667741521</v>
      </c>
      <c r="G1603" s="9">
        <f t="shared" si="171"/>
        <v>-0.5915089053356849</v>
      </c>
      <c r="H1603" s="9">
        <f t="shared" si="172"/>
        <v>-2.869968114719108E-3</v>
      </c>
      <c r="I1603" s="9">
        <f t="shared" si="173"/>
        <v>-2.7754112606684883E-3</v>
      </c>
      <c r="J1603" s="9">
        <f t="shared" si="174"/>
        <v>17.381346383030447</v>
      </c>
    </row>
    <row r="1604" spans="2:10" x14ac:dyDescent="0.25">
      <c r="B1604" s="1">
        <v>41953</v>
      </c>
      <c r="C1604" s="13">
        <v>27.207999999999998</v>
      </c>
      <c r="D1604" s="6">
        <f t="shared" si="168"/>
        <v>-1.6511943639232474E-3</v>
      </c>
      <c r="E1604" s="14">
        <f t="shared" si="169"/>
        <v>1.3260519329918386E-4</v>
      </c>
      <c r="F1604" s="9">
        <f t="shared" si="170"/>
        <v>17.98071753325182</v>
      </c>
      <c r="G1604" s="9">
        <f t="shared" si="171"/>
        <v>-0.15240538682582297</v>
      </c>
      <c r="H1604" s="9">
        <f t="shared" si="172"/>
        <v>1.7936190765222527E-3</v>
      </c>
      <c r="I1604" s="9">
        <f t="shared" si="173"/>
        <v>-5.7500562761588631E-4</v>
      </c>
      <c r="J1604" s="9">
        <f t="shared" si="174"/>
        <v>17.829530759874903</v>
      </c>
    </row>
    <row r="1605" spans="2:10" x14ac:dyDescent="0.25">
      <c r="B1605" s="1">
        <v>41950</v>
      </c>
      <c r="C1605" s="13">
        <v>27.253</v>
      </c>
      <c r="D1605" s="6">
        <f t="shared" si="168"/>
        <v>2.8702851885924474E-3</v>
      </c>
      <c r="E1605" s="14">
        <f t="shared" si="169"/>
        <v>1.3252203331882487E-4</v>
      </c>
      <c r="F1605" s="9">
        <f t="shared" si="170"/>
        <v>17.981344854588421</v>
      </c>
      <c r="G1605" s="9">
        <f t="shared" si="171"/>
        <v>-4.0674946910490381E-2</v>
      </c>
      <c r="H1605" s="9">
        <f t="shared" si="172"/>
        <v>-1.3131228489051631E-3</v>
      </c>
      <c r="I1605" s="9">
        <f t="shared" si="173"/>
        <v>-1.732758187943842E-3</v>
      </c>
      <c r="J1605" s="9">
        <f t="shared" si="174"/>
        <v>17.937624026641082</v>
      </c>
    </row>
    <row r="1606" spans="2:10" x14ac:dyDescent="0.25">
      <c r="B1606" s="1">
        <v>41949</v>
      </c>
      <c r="C1606" s="13">
        <v>27.175000000000001</v>
      </c>
      <c r="D1606" s="6">
        <f t="shared" si="168"/>
        <v>-1.4697776961234421E-3</v>
      </c>
      <c r="E1606" s="14">
        <f t="shared" si="169"/>
        <v>1.333208696845993E-4</v>
      </c>
      <c r="F1606" s="9">
        <f t="shared" si="170"/>
        <v>17.975334998683778</v>
      </c>
      <c r="G1606" s="9">
        <f t="shared" si="171"/>
        <v>-5.8110275568380599E-3</v>
      </c>
      <c r="H1606" s="9">
        <f t="shared" si="172"/>
        <v>1.1028501047681378E-3</v>
      </c>
      <c r="I1606" s="9">
        <f t="shared" si="173"/>
        <v>-1.3181501238868222E-2</v>
      </c>
      <c r="J1606" s="9">
        <f t="shared" si="174"/>
        <v>17.957445319992839</v>
      </c>
    </row>
    <row r="1607" spans="2:10" x14ac:dyDescent="0.25">
      <c r="B1607" s="1">
        <v>41948</v>
      </c>
      <c r="C1607" s="13">
        <v>27.215</v>
      </c>
      <c r="D1607" s="6">
        <f t="shared" si="168"/>
        <v>2.3941068139963217E-3</v>
      </c>
      <c r="E1607" s="14">
        <f t="shared" si="169"/>
        <v>1.3454749551017729E-4</v>
      </c>
      <c r="F1607" s="9">
        <f t="shared" si="170"/>
        <v>17.966176512211725</v>
      </c>
      <c r="G1607" s="9">
        <f t="shared" si="171"/>
        <v>-3.5751604982569817E-2</v>
      </c>
      <c r="H1607" s="9">
        <f t="shared" si="172"/>
        <v>-3.4511370820887038E-3</v>
      </c>
      <c r="I1607" s="9">
        <f t="shared" si="173"/>
        <v>-2.2369810515971932E-2</v>
      </c>
      <c r="J1607" s="9">
        <f t="shared" si="174"/>
        <v>17.904603959631096</v>
      </c>
    </row>
    <row r="1608" spans="2:10" x14ac:dyDescent="0.25">
      <c r="B1608" s="1">
        <v>41947</v>
      </c>
      <c r="C1608" s="13">
        <v>27.15</v>
      </c>
      <c r="D1608" s="6">
        <f t="shared" si="168"/>
        <v>-7.3126142595979493E-3</v>
      </c>
      <c r="E1608" s="14">
        <f t="shared" si="169"/>
        <v>1.3549910546615089E-4</v>
      </c>
      <c r="F1608" s="9">
        <f t="shared" si="170"/>
        <v>17.959128736816723</v>
      </c>
      <c r="G1608" s="9">
        <f t="shared" si="171"/>
        <v>-2.1758727041792255E-3</v>
      </c>
      <c r="H1608" s="9">
        <f t="shared" si="172"/>
        <v>7.3332704715959587E-4</v>
      </c>
      <c r="I1608" s="9">
        <f t="shared" si="173"/>
        <v>-1.5926726575500625E-2</v>
      </c>
      <c r="J1608" s="9">
        <f t="shared" si="174"/>
        <v>17.941759464584205</v>
      </c>
    </row>
    <row r="1609" spans="2:10" x14ac:dyDescent="0.25">
      <c r="B1609" s="1">
        <v>41946</v>
      </c>
      <c r="C1609" s="13">
        <v>27.35</v>
      </c>
      <c r="D1609" s="6">
        <f t="shared" si="168"/>
        <v>1.2962962962963065E-2</v>
      </c>
      <c r="E1609" s="14">
        <f t="shared" si="169"/>
        <v>1.3478612275450921E-4</v>
      </c>
      <c r="F1609" s="9">
        <f t="shared" si="170"/>
        <v>17.964404529135059</v>
      </c>
      <c r="G1609" s="9">
        <f t="shared" si="171"/>
        <v>-0.29735794089315204</v>
      </c>
      <c r="H1609" s="9">
        <f t="shared" si="172"/>
        <v>-4.3159339206024503E-4</v>
      </c>
      <c r="I1609" s="9">
        <f t="shared" si="173"/>
        <v>-1.2492130763474185E-4</v>
      </c>
      <c r="J1609" s="9">
        <f t="shared" si="174"/>
        <v>17.66649007354221</v>
      </c>
    </row>
    <row r="1610" spans="2:10" x14ac:dyDescent="0.25">
      <c r="B1610" s="1">
        <v>41943</v>
      </c>
      <c r="C1610" s="13">
        <v>27</v>
      </c>
      <c r="D1610" s="6">
        <f t="shared" si="168"/>
        <v>9.534492428491248E-3</v>
      </c>
      <c r="E1610" s="14">
        <f t="shared" si="169"/>
        <v>1.3380991212506063E-4</v>
      </c>
      <c r="F1610" s="9">
        <f t="shared" si="170"/>
        <v>17.97167354878647</v>
      </c>
      <c r="G1610" s="9">
        <f t="shared" si="171"/>
        <v>-0.48156520120852769</v>
      </c>
      <c r="H1610" s="9">
        <f t="shared" si="172"/>
        <v>-1.0976173543156996E-3</v>
      </c>
      <c r="I1610" s="9">
        <f t="shared" si="173"/>
        <v>-1.086024045737703E-3</v>
      </c>
      <c r="J1610" s="9">
        <f t="shared" si="174"/>
        <v>17.487924706177889</v>
      </c>
    </row>
    <row r="1611" spans="2:10" x14ac:dyDescent="0.25">
      <c r="B1611" s="1">
        <v>41942</v>
      </c>
      <c r="C1611" s="13">
        <v>26.745000000000001</v>
      </c>
      <c r="D1611" s="6">
        <f t="shared" si="168"/>
        <v>-3.3538289547233591E-3</v>
      </c>
      <c r="E1611" s="14">
        <f t="shared" si="169"/>
        <v>1.3424783436405557E-4</v>
      </c>
      <c r="F1611" s="9">
        <f t="shared" si="170"/>
        <v>17.96840617349644</v>
      </c>
      <c r="G1611" s="9">
        <f t="shared" si="171"/>
        <v>-0.23355288589172571</v>
      </c>
      <c r="H1611" s="9">
        <f t="shared" si="172"/>
        <v>5.3956689523500211E-3</v>
      </c>
      <c r="I1611" s="9">
        <f t="shared" si="173"/>
        <v>-7.114430657684365E-3</v>
      </c>
      <c r="J1611" s="9">
        <f t="shared" si="174"/>
        <v>17.733134525899381</v>
      </c>
    </row>
    <row r="1612" spans="2:10" x14ac:dyDescent="0.25">
      <c r="B1612" s="1">
        <v>41941</v>
      </c>
      <c r="C1612" s="13">
        <v>26.835000000000001</v>
      </c>
      <c r="D1612" s="6">
        <f t="shared" si="168"/>
        <v>5.6211354693649351E-3</v>
      </c>
      <c r="E1612" s="14">
        <f t="shared" si="169"/>
        <v>1.3432969633527664E-4</v>
      </c>
      <c r="F1612" s="9">
        <f t="shared" si="170"/>
        <v>17.967796576904028</v>
      </c>
      <c r="G1612" s="9">
        <f t="shared" si="171"/>
        <v>-9.2628646942604823E-2</v>
      </c>
      <c r="H1612" s="9">
        <f t="shared" si="172"/>
        <v>-2.4206917261164261E-3</v>
      </c>
      <c r="I1612" s="9">
        <f t="shared" si="173"/>
        <v>-3.0011169231360735E-3</v>
      </c>
      <c r="J1612" s="9">
        <f t="shared" si="174"/>
        <v>17.869746121312172</v>
      </c>
    </row>
    <row r="1613" spans="2:10" x14ac:dyDescent="0.25">
      <c r="B1613" s="1">
        <v>41940</v>
      </c>
      <c r="C1613" s="13">
        <v>26.684999999999999</v>
      </c>
      <c r="D1613" s="6">
        <f t="shared" si="168"/>
        <v>1.5488241114240076E-2</v>
      </c>
      <c r="E1613" s="14">
        <f t="shared" si="169"/>
        <v>1.3495432354571849E-4</v>
      </c>
      <c r="F1613" s="9">
        <f t="shared" si="170"/>
        <v>17.963157398307501</v>
      </c>
      <c r="G1613" s="9">
        <f t="shared" si="171"/>
        <v>-5.9270172898163519E-2</v>
      </c>
      <c r="H1613" s="9">
        <f t="shared" si="172"/>
        <v>3.1195623617491057E-3</v>
      </c>
      <c r="I1613" s="9">
        <f t="shared" si="173"/>
        <v>-9.8956087498181799E-3</v>
      </c>
      <c r="J1613" s="9">
        <f t="shared" si="174"/>
        <v>17.89711117902127</v>
      </c>
    </row>
    <row r="1614" spans="2:10" x14ac:dyDescent="0.25">
      <c r="B1614" s="1">
        <v>41939</v>
      </c>
      <c r="C1614" s="13">
        <v>26.277999999999999</v>
      </c>
      <c r="D1614" s="6">
        <f t="shared" si="168"/>
        <v>-1.0264208325413415E-3</v>
      </c>
      <c r="E1614" s="14">
        <f t="shared" si="169"/>
        <v>1.3366044304686194E-4</v>
      </c>
      <c r="F1614" s="9">
        <f t="shared" si="170"/>
        <v>17.972791198581056</v>
      </c>
      <c r="G1614" s="9">
        <f t="shared" si="171"/>
        <v>-0.72082983610101337</v>
      </c>
      <c r="H1614" s="9">
        <f t="shared" si="172"/>
        <v>-3.779534872459368E-3</v>
      </c>
      <c r="I1614" s="9">
        <f t="shared" si="173"/>
        <v>-3.5239223099096787E-3</v>
      </c>
      <c r="J1614" s="9">
        <f t="shared" si="174"/>
        <v>17.244657905297672</v>
      </c>
    </row>
    <row r="1615" spans="2:10" x14ac:dyDescent="0.25">
      <c r="B1615" s="1">
        <v>41936</v>
      </c>
      <c r="C1615" s="13">
        <v>26.305</v>
      </c>
      <c r="D1615" s="6">
        <f t="shared" si="168"/>
        <v>3.701159951160049E-3</v>
      </c>
      <c r="E1615" s="14">
        <f t="shared" si="169"/>
        <v>1.3493691252175754E-4</v>
      </c>
      <c r="F1615" s="9">
        <f t="shared" si="170"/>
        <v>17.963286420829604</v>
      </c>
      <c r="G1615" s="9">
        <f t="shared" si="171"/>
        <v>-2.6172725220655342E-2</v>
      </c>
      <c r="H1615" s="9">
        <f t="shared" si="172"/>
        <v>-3.0210523752785493E-3</v>
      </c>
      <c r="I1615" s="9">
        <f t="shared" si="173"/>
        <v>-2.3537785933323715E-2</v>
      </c>
      <c r="J1615" s="9">
        <f t="shared" si="174"/>
        <v>17.910554857300347</v>
      </c>
    </row>
    <row r="1616" spans="2:10" x14ac:dyDescent="0.25">
      <c r="B1616" s="1">
        <v>41935</v>
      </c>
      <c r="C1616" s="13">
        <v>26.207999999999998</v>
      </c>
      <c r="D1616" s="6">
        <f t="shared" ref="D1616:D1679" si="175">C1616/C1617-1</f>
        <v>1.7865465278856574E-2</v>
      </c>
      <c r="E1616" s="14">
        <f t="shared" ref="E1616:E1679" si="176">_xlfn.VAR.S(D1616:D1736)</f>
        <v>1.3617449998378837E-4</v>
      </c>
      <c r="F1616" s="9">
        <f t="shared" si="170"/>
        <v>17.95415662399083</v>
      </c>
      <c r="G1616" s="9">
        <f t="shared" si="171"/>
        <v>-1.5837837799038763E-2</v>
      </c>
      <c r="H1616" s="9">
        <f t="shared" si="172"/>
        <v>2.2955875009074535E-3</v>
      </c>
      <c r="I1616" s="9">
        <f t="shared" si="173"/>
        <v>-2.2305530001685853E-2</v>
      </c>
      <c r="J1616" s="9">
        <f t="shared" si="174"/>
        <v>17.918308843691012</v>
      </c>
    </row>
    <row r="1617" spans="2:10" x14ac:dyDescent="0.25">
      <c r="B1617" s="1">
        <v>41934</v>
      </c>
      <c r="C1617" s="13">
        <v>25.748000000000001</v>
      </c>
      <c r="D1617" s="6">
        <f t="shared" si="175"/>
        <v>5.0745569521430944E-3</v>
      </c>
      <c r="E1617" s="14">
        <f t="shared" si="176"/>
        <v>1.340157174387242E-4</v>
      </c>
      <c r="F1617" s="9">
        <f t="shared" ref="F1617:F1680" si="177">LN(2*PI())-LN($C$6)-LN(E1617)-0.5*LN(1-POWER($C$7,2))</f>
        <v>17.970136687997552</v>
      </c>
      <c r="G1617" s="9">
        <f t="shared" ref="G1617:G1680" si="178">-POWER(D1616-1-$C$3,2)/(2*E1617*(1-POWER($C$7,2)))</f>
        <v>-0.98666299648413491</v>
      </c>
      <c r="H1617" s="9">
        <f t="shared" ref="H1617:H1680" si="179">$C$7*(D1616-1-$C$3)*(E1616-E1617-$C$5*$C$4)/(E1617*$C$6*(1-POWER($C$7,2)))</f>
        <v>-1.216493159457119E-2</v>
      </c>
      <c r="I1617" s="9">
        <f t="shared" ref="I1617:I1680" si="180">-POWER(E1616-E1617-$C$5*$C$4+$C$4*E1617,2)/(2*POWER($C$6,2)*E1617*(1-POWER($C$7,2)))</f>
        <v>-1.7198243109429912E-2</v>
      </c>
      <c r="J1617" s="9">
        <f t="shared" ref="J1617:J1680" si="181">SUM(F1617:I1617)</f>
        <v>16.954110516809415</v>
      </c>
    </row>
    <row r="1618" spans="2:10" x14ac:dyDescent="0.25">
      <c r="B1618" s="1">
        <v>41933</v>
      </c>
      <c r="C1618" s="13">
        <v>25.617999999999999</v>
      </c>
      <c r="D1618" s="6">
        <f t="shared" si="175"/>
        <v>2.7185244587008661E-2</v>
      </c>
      <c r="E1618" s="14">
        <f t="shared" si="176"/>
        <v>1.3392373124620086E-4</v>
      </c>
      <c r="F1618" s="9">
        <f t="shared" si="177"/>
        <v>17.970823307281044</v>
      </c>
      <c r="G1618" s="9">
        <f t="shared" si="178"/>
        <v>-4.4497001466882152E-2</v>
      </c>
      <c r="H1618" s="9">
        <f t="shared" si="179"/>
        <v>1.3494270630951325E-3</v>
      </c>
      <c r="I1618" s="9">
        <f t="shared" si="180"/>
        <v>-1.6388189218716159E-3</v>
      </c>
      <c r="J1618" s="9">
        <f t="shared" si="181"/>
        <v>17.926036913955382</v>
      </c>
    </row>
    <row r="1619" spans="2:10" x14ac:dyDescent="0.25">
      <c r="B1619" s="1">
        <v>41932</v>
      </c>
      <c r="C1619" s="13">
        <v>24.94</v>
      </c>
      <c r="D1619" s="6">
        <f t="shared" si="175"/>
        <v>2.1377672209026199E-2</v>
      </c>
      <c r="E1619" s="14">
        <f t="shared" si="176"/>
        <v>1.2868586116821529E-4</v>
      </c>
      <c r="F1619" s="9">
        <f t="shared" si="177"/>
        <v>18.01071952565453</v>
      </c>
      <c r="G1619" s="9">
        <f t="shared" si="178"/>
        <v>-2.5454972293147953</v>
      </c>
      <c r="H1619" s="9">
        <f t="shared" si="179"/>
        <v>-6.5157886500728859E-2</v>
      </c>
      <c r="I1619" s="9">
        <f t="shared" si="180"/>
        <v>-0.15521070716402274</v>
      </c>
      <c r="J1619" s="9">
        <f t="shared" si="181"/>
        <v>15.244853702674984</v>
      </c>
    </row>
    <row r="1620" spans="2:10" x14ac:dyDescent="0.25">
      <c r="B1620" s="1">
        <v>41929</v>
      </c>
      <c r="C1620" s="13">
        <v>24.417999999999999</v>
      </c>
      <c r="D1620" s="6">
        <f t="shared" si="175"/>
        <v>1.4668605859131434E-2</v>
      </c>
      <c r="E1620" s="14">
        <f t="shared" si="176"/>
        <v>1.2548844475808086E-4</v>
      </c>
      <c r="F1620" s="9">
        <f t="shared" si="177"/>
        <v>18.03588009469685</v>
      </c>
      <c r="G1620" s="9">
        <f t="shared" si="178"/>
        <v>-1.5588271384306465</v>
      </c>
      <c r="H1620" s="9">
        <f t="shared" si="179"/>
        <v>-2.7888817199806758E-2</v>
      </c>
      <c r="I1620" s="9">
        <f t="shared" si="180"/>
        <v>-4.9920712449115195E-2</v>
      </c>
      <c r="J1620" s="9">
        <f t="shared" si="181"/>
        <v>16.399243426617282</v>
      </c>
    </row>
    <row r="1621" spans="2:10" x14ac:dyDescent="0.25">
      <c r="B1621" s="1">
        <v>41928</v>
      </c>
      <c r="C1621" s="13">
        <v>24.065000000000001</v>
      </c>
      <c r="D1621" s="6">
        <f t="shared" si="175"/>
        <v>-1.3122821406602481E-2</v>
      </c>
      <c r="E1621" s="14">
        <f t="shared" si="176"/>
        <v>1.3569221369394972E-4</v>
      </c>
      <c r="F1621" s="9">
        <f t="shared" si="177"/>
        <v>17.957704589015563</v>
      </c>
      <c r="G1621" s="9">
        <f t="shared" si="178"/>
        <v>-0.62854627221887838</v>
      </c>
      <c r="H1621" s="9">
        <f t="shared" si="179"/>
        <v>7.820585971066138E-2</v>
      </c>
      <c r="I1621" s="9">
        <f t="shared" si="180"/>
        <v>-0.79120078107478886</v>
      </c>
      <c r="J1621" s="9">
        <f t="shared" si="181"/>
        <v>16.616163395432558</v>
      </c>
    </row>
    <row r="1622" spans="2:10" x14ac:dyDescent="0.25">
      <c r="B1622" s="1">
        <v>41927</v>
      </c>
      <c r="C1622" s="13">
        <v>24.385000000000002</v>
      </c>
      <c r="D1622" s="6">
        <f t="shared" si="175"/>
        <v>-1.2273169151004404E-2</v>
      </c>
      <c r="E1622" s="14">
        <f t="shared" si="176"/>
        <v>1.3418793545433823E-4</v>
      </c>
      <c r="F1622" s="9">
        <f t="shared" si="177"/>
        <v>17.968852454636632</v>
      </c>
      <c r="G1622" s="9">
        <f t="shared" si="178"/>
        <v>-0.81308109812511165</v>
      </c>
      <c r="H1622" s="9">
        <f t="shared" si="179"/>
        <v>5.7162997180728531E-3</v>
      </c>
      <c r="I1622" s="9">
        <f t="shared" si="180"/>
        <v>-5.8944818822384204E-3</v>
      </c>
      <c r="J1622" s="9">
        <f t="shared" si="181"/>
        <v>17.155593174347359</v>
      </c>
    </row>
    <row r="1623" spans="2:10" x14ac:dyDescent="0.25">
      <c r="B1623" s="1">
        <v>41926</v>
      </c>
      <c r="C1623" s="13">
        <v>24.687999999999999</v>
      </c>
      <c r="D1623" s="6">
        <f t="shared" si="175"/>
        <v>-1.0619965535206166E-2</v>
      </c>
      <c r="E1623" s="14">
        <f t="shared" si="176"/>
        <v>1.8586945572297129E-4</v>
      </c>
      <c r="F1623" s="9">
        <f t="shared" si="177"/>
        <v>17.64304919904011</v>
      </c>
      <c r="G1623" s="9">
        <f t="shared" si="178"/>
        <v>-0.52132339066094013</v>
      </c>
      <c r="H1623" s="9">
        <f t="shared" si="179"/>
        <v>-0.29022309627726972</v>
      </c>
      <c r="I1623" s="9">
        <f t="shared" si="180"/>
        <v>-13.53009044090966</v>
      </c>
      <c r="J1623" s="9">
        <f t="shared" si="181"/>
        <v>3.3014122711922411</v>
      </c>
    </row>
    <row r="1624" spans="2:10" x14ac:dyDescent="0.25">
      <c r="B1624" s="1">
        <v>41925</v>
      </c>
      <c r="C1624" s="13">
        <v>24.952999999999999</v>
      </c>
      <c r="D1624" s="6">
        <f t="shared" si="175"/>
        <v>-9.1331453758487502E-3</v>
      </c>
      <c r="E1624" s="14">
        <f t="shared" si="176"/>
        <v>1.8644702437176466E-4</v>
      </c>
      <c r="F1624" s="9">
        <f t="shared" si="177"/>
        <v>17.639946628281223</v>
      </c>
      <c r="G1624" s="9">
        <f t="shared" si="178"/>
        <v>-0.40344054789283518</v>
      </c>
      <c r="H1624" s="9">
        <f t="shared" si="179"/>
        <v>-6.6958123966985488E-3</v>
      </c>
      <c r="I1624" s="9">
        <f t="shared" si="180"/>
        <v>-5.673555758245903E-3</v>
      </c>
      <c r="J1624" s="9">
        <f t="shared" si="181"/>
        <v>17.224136712233442</v>
      </c>
    </row>
    <row r="1625" spans="2:10" x14ac:dyDescent="0.25">
      <c r="B1625" s="1">
        <v>41922</v>
      </c>
      <c r="C1625" s="13">
        <v>25.183</v>
      </c>
      <c r="D1625" s="6">
        <f t="shared" si="175"/>
        <v>-2.8509206097802053E-3</v>
      </c>
      <c r="E1625" s="14">
        <f t="shared" si="176"/>
        <v>1.8535607446483173E-4</v>
      </c>
      <c r="F1625" s="9">
        <f t="shared" si="177"/>
        <v>17.64581507338697</v>
      </c>
      <c r="G1625" s="9">
        <f t="shared" si="178"/>
        <v>-0.31326428417565433</v>
      </c>
      <c r="H1625" s="9">
        <f t="shared" si="179"/>
        <v>1.2447053869165791E-3</v>
      </c>
      <c r="I1625" s="9">
        <f t="shared" si="180"/>
        <v>-1.7742024573195556E-3</v>
      </c>
      <c r="J1625" s="9">
        <f t="shared" si="181"/>
        <v>17.332021292140912</v>
      </c>
    </row>
    <row r="1626" spans="2:10" x14ac:dyDescent="0.25">
      <c r="B1626" s="1">
        <v>41921</v>
      </c>
      <c r="C1626" s="13">
        <v>25.254999999999999</v>
      </c>
      <c r="D1626" s="6">
        <f t="shared" si="175"/>
        <v>2.1825396825396748E-3</v>
      </c>
      <c r="E1626" s="14">
        <f t="shared" si="176"/>
        <v>1.8584573531883544E-4</v>
      </c>
      <c r="F1626" s="9">
        <f t="shared" si="177"/>
        <v>17.643176825807807</v>
      </c>
      <c r="G1626" s="9">
        <f t="shared" si="178"/>
        <v>-5.4115429250506115E-2</v>
      </c>
      <c r="H1626" s="9">
        <f t="shared" si="179"/>
        <v>-2.2996348802208056E-3</v>
      </c>
      <c r="I1626" s="9">
        <f t="shared" si="180"/>
        <v>-4.8048496425207605E-3</v>
      </c>
      <c r="J1626" s="9">
        <f t="shared" si="181"/>
        <v>17.58195691203456</v>
      </c>
    </row>
    <row r="1627" spans="2:10" x14ac:dyDescent="0.25">
      <c r="B1627" s="1">
        <v>41920</v>
      </c>
      <c r="C1627" s="13">
        <v>25.2</v>
      </c>
      <c r="D1627" s="6">
        <f t="shared" si="175"/>
        <v>2.0738820479585307E-2</v>
      </c>
      <c r="E1627" s="14">
        <f t="shared" si="176"/>
        <v>1.8649594104333097E-4</v>
      </c>
      <c r="F1627" s="9">
        <f t="shared" si="177"/>
        <v>17.639684300384555</v>
      </c>
      <c r="G1627" s="9">
        <f t="shared" si="178"/>
        <v>-8.2883585156508699E-4</v>
      </c>
      <c r="H1627" s="9">
        <f t="shared" si="179"/>
        <v>3.1944172335919351E-4</v>
      </c>
      <c r="I1627" s="9">
        <f t="shared" si="180"/>
        <v>-6.4673325239641482E-3</v>
      </c>
      <c r="J1627" s="9">
        <f t="shared" si="181"/>
        <v>17.632707573732386</v>
      </c>
    </row>
    <row r="1628" spans="2:10" x14ac:dyDescent="0.25">
      <c r="B1628" s="1">
        <v>41919</v>
      </c>
      <c r="C1628" s="13">
        <v>24.687999999999999</v>
      </c>
      <c r="D1628" s="6">
        <f t="shared" si="175"/>
        <v>-8.7131098173058863E-3</v>
      </c>
      <c r="E1628" s="14">
        <f t="shared" si="176"/>
        <v>1.8374315909772948E-4</v>
      </c>
      <c r="F1628" s="9">
        <f t="shared" si="177"/>
        <v>17.654554867389059</v>
      </c>
      <c r="G1628" s="9">
        <f t="shared" si="178"/>
        <v>-0.99685124438555184</v>
      </c>
      <c r="H1628" s="9">
        <f t="shared" si="179"/>
        <v>-1.5011090355544621E-2</v>
      </c>
      <c r="I1628" s="9">
        <f t="shared" si="180"/>
        <v>-2.558443154272165E-2</v>
      </c>
      <c r="J1628" s="9">
        <f t="shared" si="181"/>
        <v>16.617108101105242</v>
      </c>
    </row>
    <row r="1629" spans="2:10" x14ac:dyDescent="0.25">
      <c r="B1629" s="1">
        <v>41918</v>
      </c>
      <c r="C1629" s="13">
        <v>24.905000000000001</v>
      </c>
      <c r="D1629" s="6">
        <f t="shared" si="175"/>
        <v>0</v>
      </c>
      <c r="E1629" s="14">
        <f t="shared" si="176"/>
        <v>1.8346139281574285E-4</v>
      </c>
      <c r="F1629" s="9">
        <f t="shared" si="177"/>
        <v>17.656089523404724</v>
      </c>
      <c r="G1629" s="9">
        <f t="shared" si="178"/>
        <v>-0.29227265737622121</v>
      </c>
      <c r="H1629" s="9">
        <f t="shared" si="179"/>
        <v>-2.1639100800905703E-3</v>
      </c>
      <c r="I1629" s="9">
        <f t="shared" si="180"/>
        <v>-2.3423387234428338E-4</v>
      </c>
      <c r="J1629" s="9">
        <f t="shared" si="181"/>
        <v>17.361418722076071</v>
      </c>
    </row>
    <row r="1630" spans="2:10" x14ac:dyDescent="0.25">
      <c r="B1630" s="1">
        <v>41915</v>
      </c>
      <c r="C1630" s="13">
        <v>24.905000000000001</v>
      </c>
      <c r="D1630" s="6">
        <f t="shared" si="175"/>
        <v>-2.8028028028027618E-3</v>
      </c>
      <c r="E1630" s="14">
        <f t="shared" si="176"/>
        <v>1.8342594264955943E-4</v>
      </c>
      <c r="F1630" s="9">
        <f t="shared" si="177"/>
        <v>17.656282771646715</v>
      </c>
      <c r="G1630" s="9">
        <f t="shared" si="178"/>
        <v>-7.2402541651448169E-3</v>
      </c>
      <c r="H1630" s="9">
        <f t="shared" si="179"/>
        <v>-5.022024534073827E-4</v>
      </c>
      <c r="I1630" s="9">
        <f t="shared" si="180"/>
        <v>-1.0752411072511418E-3</v>
      </c>
      <c r="J1630" s="9">
        <f t="shared" si="181"/>
        <v>17.647465073920912</v>
      </c>
    </row>
    <row r="1631" spans="2:10" x14ac:dyDescent="0.25">
      <c r="B1631" s="1">
        <v>41914</v>
      </c>
      <c r="C1631" s="13">
        <v>24.975000000000001</v>
      </c>
      <c r="D1631" s="6">
        <f t="shared" si="175"/>
        <v>7.2595281306715442E-3</v>
      </c>
      <c r="E1631" s="14">
        <f t="shared" si="176"/>
        <v>1.8400564370176198E-4</v>
      </c>
      <c r="F1631" s="9">
        <f t="shared" si="177"/>
        <v>17.653127345958076</v>
      </c>
      <c r="G1631" s="9">
        <f t="shared" si="178"/>
        <v>-5.3488362991343186E-2</v>
      </c>
      <c r="H1631" s="9">
        <f t="shared" si="179"/>
        <v>-2.4579700132968813E-3</v>
      </c>
      <c r="I1631" s="9">
        <f t="shared" si="180"/>
        <v>-5.8153370451124271E-3</v>
      </c>
      <c r="J1631" s="9">
        <f t="shared" si="181"/>
        <v>17.591365675908325</v>
      </c>
    </row>
    <row r="1632" spans="2:10" x14ac:dyDescent="0.25">
      <c r="B1632" s="1">
        <v>41913</v>
      </c>
      <c r="C1632" s="13">
        <v>24.795000000000002</v>
      </c>
      <c r="D1632" s="6">
        <f t="shared" si="175"/>
        <v>-1.5602667937112846E-2</v>
      </c>
      <c r="E1632" s="14">
        <f t="shared" si="176"/>
        <v>1.8575612734855461E-4</v>
      </c>
      <c r="F1632" s="9">
        <f t="shared" si="177"/>
        <v>17.643659105263428</v>
      </c>
      <c r="G1632" s="9">
        <f t="shared" si="178"/>
        <v>-8.5637320796739094E-2</v>
      </c>
      <c r="H1632" s="9">
        <f t="shared" si="179"/>
        <v>5.7202878226574206E-3</v>
      </c>
      <c r="I1632" s="9">
        <f t="shared" si="180"/>
        <v>-2.5045941528323151E-2</v>
      </c>
      <c r="J1632" s="9">
        <f t="shared" si="181"/>
        <v>17.538696130761025</v>
      </c>
    </row>
    <row r="1633" spans="2:10" x14ac:dyDescent="0.25">
      <c r="B1633" s="1">
        <v>41912</v>
      </c>
      <c r="C1633" s="13">
        <v>25.187999999999999</v>
      </c>
      <c r="D1633" s="6">
        <f t="shared" si="175"/>
        <v>6.3928400191786139E-3</v>
      </c>
      <c r="E1633" s="14">
        <f t="shared" si="176"/>
        <v>1.8400163849594724E-4</v>
      </c>
      <c r="F1633" s="9">
        <f t="shared" si="177"/>
        <v>17.653149112950246</v>
      </c>
      <c r="G1633" s="9">
        <f t="shared" si="178"/>
        <v>-0.80910145249666721</v>
      </c>
      <c r="H1633" s="9">
        <f t="shared" si="179"/>
        <v>6.6020880469443554E-3</v>
      </c>
      <c r="I1633" s="9">
        <f t="shared" si="180"/>
        <v>-7.9447724774851791E-3</v>
      </c>
      <c r="J1633" s="9">
        <f t="shared" si="181"/>
        <v>16.842704976023036</v>
      </c>
    </row>
    <row r="1634" spans="2:10" x14ac:dyDescent="0.25">
      <c r="B1634" s="1">
        <v>41911</v>
      </c>
      <c r="C1634" s="13">
        <v>25.027999999999999</v>
      </c>
      <c r="D1634" s="6">
        <f t="shared" si="175"/>
        <v>-6.35223122121642E-3</v>
      </c>
      <c r="E1634" s="14">
        <f t="shared" si="176"/>
        <v>1.8393297152188766E-4</v>
      </c>
      <c r="F1634" s="9">
        <f t="shared" si="177"/>
        <v>17.653522369354981</v>
      </c>
      <c r="G1634" s="9">
        <f t="shared" si="178"/>
        <v>-6.1916875303547475E-2</v>
      </c>
      <c r="H1634" s="9">
        <f t="shared" si="179"/>
        <v>1.4029486365786025E-3</v>
      </c>
      <c r="I1634" s="9">
        <f t="shared" si="180"/>
        <v>-9.2003726959054364E-4</v>
      </c>
      <c r="J1634" s="9">
        <f t="shared" si="181"/>
        <v>17.592088405418419</v>
      </c>
    </row>
    <row r="1635" spans="2:10" x14ac:dyDescent="0.25">
      <c r="B1635" s="1">
        <v>41908</v>
      </c>
      <c r="C1635" s="13">
        <v>25.187999999999999</v>
      </c>
      <c r="D1635" s="6">
        <f t="shared" si="175"/>
        <v>2.9426189308484396E-2</v>
      </c>
      <c r="E1635" s="14">
        <f t="shared" si="176"/>
        <v>1.8604752623990503E-4</v>
      </c>
      <c r="F1635" s="9">
        <f t="shared" si="177"/>
        <v>17.642091616895833</v>
      </c>
      <c r="G1635" s="9">
        <f t="shared" si="178"/>
        <v>-0.17162851375308996</v>
      </c>
      <c r="H1635" s="9">
        <f t="shared" si="179"/>
        <v>-9.2463309680561479E-3</v>
      </c>
      <c r="I1635" s="9">
        <f t="shared" si="180"/>
        <v>-3.3766193481054058E-2</v>
      </c>
      <c r="J1635" s="9">
        <f t="shared" si="181"/>
        <v>17.42745057869363</v>
      </c>
    </row>
    <row r="1636" spans="2:10" x14ac:dyDescent="0.25">
      <c r="B1636" s="1">
        <v>41907</v>
      </c>
      <c r="C1636" s="13">
        <v>24.468</v>
      </c>
      <c r="D1636" s="6">
        <f t="shared" si="175"/>
        <v>-3.8131928610739774E-2</v>
      </c>
      <c r="E1636" s="14">
        <f t="shared" si="176"/>
        <v>1.8181660426624366E-4</v>
      </c>
      <c r="F1636" s="9">
        <f t="shared" si="177"/>
        <v>17.665095265218451</v>
      </c>
      <c r="G1636" s="9">
        <f t="shared" si="178"/>
        <v>-2.1314399094702554</v>
      </c>
      <c r="H1636" s="9">
        <f t="shared" si="179"/>
        <v>-3.8776968227175607E-2</v>
      </c>
      <c r="I1636" s="9">
        <f t="shared" si="180"/>
        <v>-7.0720359841872943E-2</v>
      </c>
      <c r="J1636" s="9">
        <f t="shared" si="181"/>
        <v>15.424158027679146</v>
      </c>
    </row>
    <row r="1637" spans="2:10" x14ac:dyDescent="0.25">
      <c r="B1637" s="1">
        <v>41906</v>
      </c>
      <c r="C1637" s="13">
        <v>25.437999999999999</v>
      </c>
      <c r="D1637" s="6">
        <f t="shared" si="175"/>
        <v>-8.6515978176150421E-3</v>
      </c>
      <c r="E1637" s="14">
        <f t="shared" si="176"/>
        <v>1.6895079890706126E-4</v>
      </c>
      <c r="F1637" s="9">
        <f t="shared" si="177"/>
        <v>17.738486233580012</v>
      </c>
      <c r="G1637" s="9">
        <f t="shared" si="178"/>
        <v>-4.6921294834275304</v>
      </c>
      <c r="H1637" s="9">
        <f t="shared" si="179"/>
        <v>0.20993922407156942</v>
      </c>
      <c r="I1637" s="9">
        <f t="shared" si="180"/>
        <v>-0.83322172883379841</v>
      </c>
      <c r="J1637" s="9">
        <f t="shared" si="181"/>
        <v>12.423074245390252</v>
      </c>
    </row>
    <row r="1638" spans="2:10" x14ac:dyDescent="0.25">
      <c r="B1638" s="1">
        <v>41905</v>
      </c>
      <c r="C1638" s="13">
        <v>25.66</v>
      </c>
      <c r="D1638" s="6">
        <f t="shared" si="175"/>
        <v>1.5634276667326308E-2</v>
      </c>
      <c r="E1638" s="14">
        <f t="shared" si="176"/>
        <v>1.6794161226435796E-4</v>
      </c>
      <c r="F1638" s="9">
        <f t="shared" si="177"/>
        <v>17.744477402439216</v>
      </c>
      <c r="G1638" s="9">
        <f t="shared" si="178"/>
        <v>-0.31549477836982087</v>
      </c>
      <c r="H1638" s="9">
        <f t="shared" si="179"/>
        <v>9.4225983315935063E-4</v>
      </c>
      <c r="I1638" s="9">
        <f t="shared" si="180"/>
        <v>-1.2996142261113776E-3</v>
      </c>
      <c r="J1638" s="9">
        <f t="shared" si="181"/>
        <v>17.428625269676441</v>
      </c>
    </row>
    <row r="1639" spans="2:10" x14ac:dyDescent="0.25">
      <c r="B1639" s="1">
        <v>41904</v>
      </c>
      <c r="C1639" s="13">
        <v>25.265000000000001</v>
      </c>
      <c r="D1639" s="6">
        <f t="shared" si="175"/>
        <v>9.9049128367689754E-4</v>
      </c>
      <c r="E1639" s="14">
        <f t="shared" si="176"/>
        <v>1.6686451224019703E-4</v>
      </c>
      <c r="F1639" s="9">
        <f t="shared" si="177"/>
        <v>17.750911596208184</v>
      </c>
      <c r="G1639" s="9">
        <f t="shared" si="178"/>
        <v>-0.58962389140237026</v>
      </c>
      <c r="H1639" s="9">
        <f t="shared" si="179"/>
        <v>-1.7138181804681189E-3</v>
      </c>
      <c r="I1639" s="9">
        <f t="shared" si="180"/>
        <v>-1.6881346496120757E-3</v>
      </c>
      <c r="J1639" s="9">
        <f t="shared" si="181"/>
        <v>17.15788575197573</v>
      </c>
    </row>
    <row r="1640" spans="2:10" x14ac:dyDescent="0.25">
      <c r="B1640" s="1">
        <v>41901</v>
      </c>
      <c r="C1640" s="13">
        <v>25.24</v>
      </c>
      <c r="D1640" s="6">
        <f t="shared" si="175"/>
        <v>-8.1735303363722478E-3</v>
      </c>
      <c r="E1640" s="14">
        <f t="shared" si="176"/>
        <v>1.6690613707825549E-4</v>
      </c>
      <c r="F1640" s="9">
        <f t="shared" si="177"/>
        <v>17.750662174406962</v>
      </c>
      <c r="G1640" s="9">
        <f t="shared" si="178"/>
        <v>-1.2186122321468911E-3</v>
      </c>
      <c r="H1640" s="9">
        <f t="shared" si="179"/>
        <v>-2.3773357977835565E-4</v>
      </c>
      <c r="I1640" s="9">
        <f t="shared" si="180"/>
        <v>-1.776028472405751E-3</v>
      </c>
      <c r="J1640" s="9">
        <f t="shared" si="181"/>
        <v>17.747429800122632</v>
      </c>
    </row>
    <row r="1641" spans="2:10" x14ac:dyDescent="0.25">
      <c r="B1641" s="1">
        <v>41900</v>
      </c>
      <c r="C1641" s="13">
        <v>25.448</v>
      </c>
      <c r="D1641" s="6">
        <f t="shared" si="175"/>
        <v>2.0870250049223049E-3</v>
      </c>
      <c r="E1641" s="14">
        <f t="shared" si="176"/>
        <v>1.6607798884800241E-4</v>
      </c>
      <c r="F1641" s="9">
        <f t="shared" si="177"/>
        <v>17.755636285022216</v>
      </c>
      <c r="G1641" s="9">
        <f t="shared" si="178"/>
        <v>-0.29004892675662713</v>
      </c>
      <c r="H1641" s="9">
        <f t="shared" si="179"/>
        <v>1.1853385255852214E-4</v>
      </c>
      <c r="I1641" s="9">
        <f t="shared" si="180"/>
        <v>-5.0713365087285973E-4</v>
      </c>
      <c r="J1641" s="9">
        <f t="shared" si="181"/>
        <v>17.465198758467274</v>
      </c>
    </row>
    <row r="1642" spans="2:10" x14ac:dyDescent="0.25">
      <c r="B1642" s="1">
        <v>41899</v>
      </c>
      <c r="C1642" s="13">
        <v>25.395</v>
      </c>
      <c r="D1642" s="6">
        <f t="shared" si="175"/>
        <v>7.1386079714454986E-3</v>
      </c>
      <c r="E1642" s="14">
        <f t="shared" si="176"/>
        <v>1.6645055818558942E-4</v>
      </c>
      <c r="F1642" s="9">
        <f t="shared" si="177"/>
        <v>17.753395457900396</v>
      </c>
      <c r="G1642" s="9">
        <f t="shared" si="178"/>
        <v>-6.3660793827286172E-4</v>
      </c>
      <c r="H1642" s="9">
        <f t="shared" si="179"/>
        <v>2.3964265035414281E-4</v>
      </c>
      <c r="I1642" s="9">
        <f t="shared" si="180"/>
        <v>-4.4771780820306696E-3</v>
      </c>
      <c r="J1642" s="9">
        <f t="shared" si="181"/>
        <v>17.748521314530446</v>
      </c>
    </row>
    <row r="1643" spans="2:10" x14ac:dyDescent="0.25">
      <c r="B1643" s="1">
        <v>41898</v>
      </c>
      <c r="C1643" s="13">
        <v>25.215</v>
      </c>
      <c r="D1643" s="6">
        <f t="shared" si="175"/>
        <v>-7.5960327455919519E-3</v>
      </c>
      <c r="E1643" s="14">
        <f t="shared" si="176"/>
        <v>1.6742472472508705E-4</v>
      </c>
      <c r="F1643" s="9">
        <f t="shared" si="177"/>
        <v>17.747559929762609</v>
      </c>
      <c r="G1643" s="9">
        <f t="shared" si="178"/>
        <v>-9.0977782410299968E-2</v>
      </c>
      <c r="H1643" s="9">
        <f t="shared" si="179"/>
        <v>4.3207678273214202E-3</v>
      </c>
      <c r="I1643" s="9">
        <f t="shared" si="180"/>
        <v>-1.238429628197593E-2</v>
      </c>
      <c r="J1643" s="9">
        <f t="shared" si="181"/>
        <v>17.648518618897654</v>
      </c>
    </row>
    <row r="1644" spans="2:10" x14ac:dyDescent="0.25">
      <c r="B1644" s="1">
        <v>41897</v>
      </c>
      <c r="C1644" s="13">
        <v>25.408000000000001</v>
      </c>
      <c r="D1644" s="6">
        <f t="shared" si="175"/>
        <v>-2.7542789691115122E-4</v>
      </c>
      <c r="E1644" s="14">
        <f t="shared" si="176"/>
        <v>1.6720380708816089E-4</v>
      </c>
      <c r="F1644" s="9">
        <f t="shared" si="177"/>
        <v>17.748880305331451</v>
      </c>
      <c r="G1644" s="9">
        <f t="shared" si="178"/>
        <v>-0.25514523392983557</v>
      </c>
      <c r="H1644" s="9">
        <f t="shared" si="179"/>
        <v>-2.3660083508067493E-3</v>
      </c>
      <c r="I1644" s="9">
        <f t="shared" si="180"/>
        <v>-5.0867454763075701E-4</v>
      </c>
      <c r="J1644" s="9">
        <f t="shared" si="181"/>
        <v>17.490860388503176</v>
      </c>
    </row>
    <row r="1645" spans="2:10" x14ac:dyDescent="0.25">
      <c r="B1645" s="1">
        <v>41894</v>
      </c>
      <c r="C1645" s="13">
        <v>25.414999999999999</v>
      </c>
      <c r="D1645" s="6">
        <f t="shared" si="175"/>
        <v>2.2478113415884682E-3</v>
      </c>
      <c r="E1645" s="14">
        <f t="shared" si="176"/>
        <v>1.6788724202171764E-4</v>
      </c>
      <c r="F1645" s="9">
        <f t="shared" si="177"/>
        <v>17.744801199768844</v>
      </c>
      <c r="G1645" s="9">
        <f t="shared" si="178"/>
        <v>-1.0814619117487772E-2</v>
      </c>
      <c r="H1645" s="9">
        <f t="shared" si="179"/>
        <v>-1.2440021312577225E-3</v>
      </c>
      <c r="I1645" s="9">
        <f t="shared" si="180"/>
        <v>-8.0117357407925322E-3</v>
      </c>
      <c r="J1645" s="9">
        <f t="shared" si="181"/>
        <v>17.724730842779305</v>
      </c>
    </row>
    <row r="1646" spans="2:10" x14ac:dyDescent="0.25">
      <c r="B1646" s="1">
        <v>41893</v>
      </c>
      <c r="C1646" s="13">
        <v>25.358000000000001</v>
      </c>
      <c r="D1646" s="6">
        <f t="shared" si="175"/>
        <v>4.277227722772281E-3</v>
      </c>
      <c r="E1646" s="14">
        <f t="shared" si="176"/>
        <v>1.6812903253025867E-4</v>
      </c>
      <c r="F1646" s="9">
        <f t="shared" si="177"/>
        <v>17.743362040010311</v>
      </c>
      <c r="G1646" s="9">
        <f t="shared" si="178"/>
        <v>-1.1482638272301922E-3</v>
      </c>
      <c r="H1646" s="9">
        <f t="shared" si="179"/>
        <v>2.8454947072712285E-4</v>
      </c>
      <c r="I1646" s="9">
        <f t="shared" si="180"/>
        <v>-3.2122726726507541E-3</v>
      </c>
      <c r="J1646" s="9">
        <f t="shared" si="181"/>
        <v>17.739286052981157</v>
      </c>
    </row>
    <row r="1647" spans="2:10" x14ac:dyDescent="0.25">
      <c r="B1647" s="1">
        <v>41892</v>
      </c>
      <c r="C1647" s="13">
        <v>25.25</v>
      </c>
      <c r="D1647" s="6">
        <f t="shared" si="175"/>
        <v>3.0696383378234993E-2</v>
      </c>
      <c r="E1647" s="14">
        <f t="shared" si="176"/>
        <v>1.6855036220198103E-4</v>
      </c>
      <c r="F1647" s="9">
        <f t="shared" si="177"/>
        <v>17.74085918478211</v>
      </c>
      <c r="G1647" s="9">
        <f t="shared" si="178"/>
        <v>-2.0891789501667878E-2</v>
      </c>
      <c r="H1647" s="9">
        <f t="shared" si="179"/>
        <v>1.4209327595334981E-3</v>
      </c>
      <c r="I1647" s="9">
        <f t="shared" si="180"/>
        <v>-4.8785061864053602E-3</v>
      </c>
      <c r="J1647" s="9">
        <f t="shared" si="181"/>
        <v>17.71650982185357</v>
      </c>
    </row>
    <row r="1648" spans="2:10" x14ac:dyDescent="0.25">
      <c r="B1648" s="1">
        <v>41891</v>
      </c>
      <c r="C1648" s="13">
        <v>24.498000000000001</v>
      </c>
      <c r="D1648" s="6">
        <f t="shared" si="175"/>
        <v>-3.7413582757217512E-3</v>
      </c>
      <c r="E1648" s="14">
        <f t="shared" si="176"/>
        <v>1.6189514668385095E-4</v>
      </c>
      <c r="F1648" s="9">
        <f t="shared" si="177"/>
        <v>17.781144892400732</v>
      </c>
      <c r="G1648" s="9">
        <f t="shared" si="178"/>
        <v>-2.6174636514445853</v>
      </c>
      <c r="H1648" s="9">
        <f t="shared" si="179"/>
        <v>-7.7725070611410901E-2</v>
      </c>
      <c r="I1648" s="9">
        <f t="shared" si="180"/>
        <v>-0.21386992284441775</v>
      </c>
      <c r="J1648" s="9">
        <f t="shared" si="181"/>
        <v>14.872086247500318</v>
      </c>
    </row>
    <row r="1649" spans="2:10" x14ac:dyDescent="0.25">
      <c r="B1649" s="1">
        <v>41890</v>
      </c>
      <c r="C1649" s="13">
        <v>24.59</v>
      </c>
      <c r="D1649" s="6">
        <f t="shared" si="175"/>
        <v>-6.1835670694740941E-3</v>
      </c>
      <c r="E1649" s="14">
        <f t="shared" si="176"/>
        <v>1.6196351340131747E-4</v>
      </c>
      <c r="F1649" s="9">
        <f t="shared" si="177"/>
        <v>17.780722691441436</v>
      </c>
      <c r="G1649" s="9">
        <f t="shared" si="178"/>
        <v>-8.9243275509132775E-2</v>
      </c>
      <c r="H1649" s="9">
        <f t="shared" si="179"/>
        <v>-2.1307970019967064E-3</v>
      </c>
      <c r="I1649" s="9">
        <f t="shared" si="180"/>
        <v>-2.0628320315240699E-3</v>
      </c>
      <c r="J1649" s="9">
        <f t="shared" si="181"/>
        <v>17.687285786898784</v>
      </c>
    </row>
    <row r="1650" spans="2:10" x14ac:dyDescent="0.25">
      <c r="B1650" s="1">
        <v>41887</v>
      </c>
      <c r="C1650" s="13">
        <v>24.742999999999999</v>
      </c>
      <c r="D1650" s="6">
        <f t="shared" si="175"/>
        <v>8.683245006114948E-3</v>
      </c>
      <c r="E1650" s="14">
        <f t="shared" si="176"/>
        <v>1.6137880809167466E-4</v>
      </c>
      <c r="F1650" s="9">
        <f t="shared" si="177"/>
        <v>17.784339328720929</v>
      </c>
      <c r="G1650" s="9">
        <f t="shared" si="178"/>
        <v>-0.18958793208427227</v>
      </c>
      <c r="H1650" s="9">
        <f t="shared" si="179"/>
        <v>-7.7404098453142159E-4</v>
      </c>
      <c r="I1650" s="9">
        <f t="shared" si="180"/>
        <v>-1.4729490329575039E-5</v>
      </c>
      <c r="J1650" s="9">
        <f t="shared" si="181"/>
        <v>17.593962626161797</v>
      </c>
    </row>
    <row r="1651" spans="2:10" x14ac:dyDescent="0.25">
      <c r="B1651" s="1">
        <v>41886</v>
      </c>
      <c r="C1651" s="13">
        <v>24.53</v>
      </c>
      <c r="D1651" s="6">
        <f t="shared" si="175"/>
        <v>-8.2878512229633827E-3</v>
      </c>
      <c r="E1651" s="14">
        <f t="shared" si="176"/>
        <v>1.6256545834895123E-4</v>
      </c>
      <c r="F1651" s="9">
        <f t="shared" si="177"/>
        <v>17.777013034120579</v>
      </c>
      <c r="G1651" s="9">
        <f t="shared" si="178"/>
        <v>-0.15357812662384654</v>
      </c>
      <c r="H1651" s="9">
        <f t="shared" si="179"/>
        <v>6.3790334709691717E-3</v>
      </c>
      <c r="I1651" s="9">
        <f t="shared" si="180"/>
        <v>-1.6785693509237459E-2</v>
      </c>
      <c r="J1651" s="9">
        <f t="shared" si="181"/>
        <v>17.613028247458466</v>
      </c>
    </row>
    <row r="1652" spans="2:10" x14ac:dyDescent="0.25">
      <c r="B1652" s="1">
        <v>41885</v>
      </c>
      <c r="C1652" s="13">
        <v>24.734999999999999</v>
      </c>
      <c r="D1652" s="6">
        <f t="shared" si="175"/>
        <v>-4.2207163601161612E-2</v>
      </c>
      <c r="E1652" s="14">
        <f t="shared" si="176"/>
        <v>1.6312611884605158E-4</v>
      </c>
      <c r="F1652" s="9">
        <f t="shared" si="177"/>
        <v>17.773570138509054</v>
      </c>
      <c r="G1652" s="9">
        <f t="shared" si="178"/>
        <v>-0.30222663029007268</v>
      </c>
      <c r="H1652" s="9">
        <f t="shared" si="179"/>
        <v>-6.1197858407712876E-3</v>
      </c>
      <c r="I1652" s="9">
        <f t="shared" si="180"/>
        <v>-6.7500446357780719E-3</v>
      </c>
      <c r="J1652" s="9">
        <f t="shared" si="181"/>
        <v>17.458473677742433</v>
      </c>
    </row>
    <row r="1653" spans="2:10" x14ac:dyDescent="0.25">
      <c r="B1653" s="1">
        <v>41884</v>
      </c>
      <c r="C1653" s="13">
        <v>25.824999999999999</v>
      </c>
      <c r="D1653" s="6">
        <f t="shared" si="175"/>
        <v>7.8048780487804947E-3</v>
      </c>
      <c r="E1653" s="14">
        <f t="shared" si="176"/>
        <v>1.4658339743577739E-4</v>
      </c>
      <c r="F1653" s="9">
        <f t="shared" si="177"/>
        <v>17.88049924312881</v>
      </c>
      <c r="G1653" s="9">
        <f t="shared" si="178"/>
        <v>-6.5735632943077063</v>
      </c>
      <c r="H1653" s="9">
        <f t="shared" si="179"/>
        <v>0.3480795592051194</v>
      </c>
      <c r="I1653" s="9">
        <f t="shared" si="180"/>
        <v>-1.610217525752774</v>
      </c>
      <c r="J1653" s="9">
        <f t="shared" si="181"/>
        <v>10.044797982273449</v>
      </c>
    </row>
    <row r="1654" spans="2:10" x14ac:dyDescent="0.25">
      <c r="B1654" s="1">
        <v>41880</v>
      </c>
      <c r="C1654" s="13">
        <v>25.625</v>
      </c>
      <c r="D1654" s="6">
        <f t="shared" si="175"/>
        <v>2.4253804326566097E-3</v>
      </c>
      <c r="E1654" s="14">
        <f t="shared" si="176"/>
        <v>1.4678593098144409E-4</v>
      </c>
      <c r="F1654" s="9">
        <f t="shared" si="177"/>
        <v>17.87911850180226</v>
      </c>
      <c r="G1654" s="9">
        <f t="shared" si="178"/>
        <v>-0.1303762424674845</v>
      </c>
      <c r="H1654" s="9">
        <f t="shared" si="179"/>
        <v>3.1228410397488378E-3</v>
      </c>
      <c r="I1654" s="9">
        <f t="shared" si="180"/>
        <v>-3.6414825383835293E-3</v>
      </c>
      <c r="J1654" s="9">
        <f t="shared" si="181"/>
        <v>17.748223617836139</v>
      </c>
    </row>
    <row r="1655" spans="2:10" x14ac:dyDescent="0.25">
      <c r="B1655" s="1">
        <v>41879</v>
      </c>
      <c r="C1655" s="13">
        <v>25.562999999999999</v>
      </c>
      <c r="D1655" s="6">
        <f t="shared" si="175"/>
        <v>1.1749500646220934E-3</v>
      </c>
      <c r="E1655" s="14">
        <f t="shared" si="176"/>
        <v>1.468087440165608E-4</v>
      </c>
      <c r="F1655" s="9">
        <f t="shared" si="177"/>
        <v>17.878963096836809</v>
      </c>
      <c r="G1655" s="9">
        <f t="shared" si="178"/>
        <v>-2.1754121733142213E-3</v>
      </c>
      <c r="H1655" s="9">
        <f t="shared" si="179"/>
        <v>3.3111812048322142E-4</v>
      </c>
      <c r="I1655" s="9">
        <f t="shared" si="180"/>
        <v>-2.123411315849599E-3</v>
      </c>
      <c r="J1655" s="9">
        <f t="shared" si="181"/>
        <v>17.874995391468126</v>
      </c>
    </row>
    <row r="1656" spans="2:10" x14ac:dyDescent="0.25">
      <c r="B1656" s="1">
        <v>41878</v>
      </c>
      <c r="C1656" s="13">
        <v>25.533000000000001</v>
      </c>
      <c r="D1656" s="6">
        <f t="shared" si="175"/>
        <v>1.2330505114582557E-2</v>
      </c>
      <c r="E1656" s="14">
        <f t="shared" si="176"/>
        <v>1.468744584796537E-4</v>
      </c>
      <c r="F1656" s="9">
        <f t="shared" si="177"/>
        <v>17.878515577444276</v>
      </c>
      <c r="G1656" s="9">
        <f t="shared" si="178"/>
        <v>-6.9879497157389564E-4</v>
      </c>
      <c r="H1656" s="9">
        <f t="shared" si="179"/>
        <v>-1.9739569499247812E-4</v>
      </c>
      <c r="I1656" s="9">
        <f t="shared" si="180"/>
        <v>-2.4466869309525308E-3</v>
      </c>
      <c r="J1656" s="9">
        <f t="shared" si="181"/>
        <v>17.875172699846757</v>
      </c>
    </row>
    <row r="1657" spans="2:10" x14ac:dyDescent="0.25">
      <c r="B1657" s="1">
        <v>41877</v>
      </c>
      <c r="C1657" s="13">
        <v>25.222000000000001</v>
      </c>
      <c r="D1657" s="6">
        <f t="shared" si="175"/>
        <v>-6.4211148315934663E-3</v>
      </c>
      <c r="E1657" s="14">
        <f t="shared" si="176"/>
        <v>1.463189008237158E-4</v>
      </c>
      <c r="F1657" s="9">
        <f t="shared" si="177"/>
        <v>17.882305283474189</v>
      </c>
      <c r="G1657" s="9">
        <f t="shared" si="178"/>
        <v>-0.39262376011177591</v>
      </c>
      <c r="H1657" s="9">
        <f t="shared" si="179"/>
        <v>1.3274780491176357E-3</v>
      </c>
      <c r="I1657" s="9">
        <f t="shared" si="180"/>
        <v>-7.0399224767112159E-8</v>
      </c>
      <c r="J1657" s="9">
        <f t="shared" si="181"/>
        <v>17.491008931012306</v>
      </c>
    </row>
    <row r="1658" spans="2:10" x14ac:dyDescent="0.25">
      <c r="B1658" s="1">
        <v>41876</v>
      </c>
      <c r="C1658" s="13">
        <v>25.385000000000002</v>
      </c>
      <c r="D1658" s="6">
        <f t="shared" si="175"/>
        <v>2.1713383339914127E-3</v>
      </c>
      <c r="E1658" s="14">
        <f t="shared" si="176"/>
        <v>1.4566485160540224E-4</v>
      </c>
      <c r="F1658" s="9">
        <f t="shared" si="177"/>
        <v>17.886785329413826</v>
      </c>
      <c r="G1658" s="9">
        <f t="shared" si="178"/>
        <v>-0.22301007002378101</v>
      </c>
      <c r="H1658" s="9">
        <f t="shared" si="179"/>
        <v>-6.0031298846289279E-4</v>
      </c>
      <c r="I1658" s="9">
        <f t="shared" si="180"/>
        <v>-5.6122081866812594E-5</v>
      </c>
      <c r="J1658" s="9">
        <f t="shared" si="181"/>
        <v>17.663118824319714</v>
      </c>
    </row>
    <row r="1659" spans="2:10" x14ac:dyDescent="0.25">
      <c r="B1659" s="1">
        <v>41873</v>
      </c>
      <c r="C1659" s="13">
        <v>25.33</v>
      </c>
      <c r="D1659" s="6">
        <f t="shared" si="175"/>
        <v>7.3573275004970018E-3</v>
      </c>
      <c r="E1659" s="14">
        <f t="shared" si="176"/>
        <v>1.4580272690793619E-4</v>
      </c>
      <c r="F1659" s="9">
        <f t="shared" si="177"/>
        <v>17.885839252916938</v>
      </c>
      <c r="G1659" s="9">
        <f t="shared" si="178"/>
        <v>-1.0178146633214194E-3</v>
      </c>
      <c r="H1659" s="9">
        <f t="shared" si="179"/>
        <v>2.5901203280423191E-4</v>
      </c>
      <c r="I1659" s="9">
        <f t="shared" si="180"/>
        <v>-3.0836425636362468E-3</v>
      </c>
      <c r="J1659" s="9">
        <f t="shared" si="181"/>
        <v>17.881996807722786</v>
      </c>
    </row>
    <row r="1660" spans="2:10" x14ac:dyDescent="0.25">
      <c r="B1660" s="1">
        <v>41872</v>
      </c>
      <c r="C1660" s="13">
        <v>25.145</v>
      </c>
      <c r="D1660" s="6">
        <f t="shared" si="175"/>
        <v>7.9545002585224012E-5</v>
      </c>
      <c r="E1660" s="14">
        <f t="shared" si="176"/>
        <v>1.4560747016752234E-4</v>
      </c>
      <c r="F1660" s="9">
        <f t="shared" si="177"/>
        <v>17.88717933484677</v>
      </c>
      <c r="G1660" s="9">
        <f t="shared" si="178"/>
        <v>-0.11307735205245127</v>
      </c>
      <c r="H1660" s="9">
        <f t="shared" si="179"/>
        <v>1.7625483620283685E-3</v>
      </c>
      <c r="I1660" s="9">
        <f t="shared" si="180"/>
        <v>-8.4440553327983295E-4</v>
      </c>
      <c r="J1660" s="9">
        <f t="shared" si="181"/>
        <v>17.775020125623069</v>
      </c>
    </row>
    <row r="1661" spans="2:10" x14ac:dyDescent="0.25">
      <c r="B1661" s="1">
        <v>41871</v>
      </c>
      <c r="C1661" s="13">
        <v>25.143000000000001</v>
      </c>
      <c r="D1661" s="6">
        <f t="shared" si="175"/>
        <v>3.9788326105116845E-4</v>
      </c>
      <c r="E1661" s="14">
        <f t="shared" si="176"/>
        <v>1.4578304268824012E-4</v>
      </c>
      <c r="F1661" s="9">
        <f t="shared" si="177"/>
        <v>17.885974267871568</v>
      </c>
      <c r="G1661" s="9">
        <f t="shared" si="178"/>
        <v>-8.2409652211815777E-3</v>
      </c>
      <c r="H1661" s="9">
        <f t="shared" si="179"/>
        <v>-7.6665648789867198E-4</v>
      </c>
      <c r="I1661" s="9">
        <f t="shared" si="180"/>
        <v>-3.4266706796325769E-3</v>
      </c>
      <c r="J1661" s="9">
        <f t="shared" si="181"/>
        <v>17.873539975482856</v>
      </c>
    </row>
    <row r="1662" spans="2:10" x14ac:dyDescent="0.25">
      <c r="B1662" s="1">
        <v>41870</v>
      </c>
      <c r="C1662" s="13">
        <v>25.132999999999999</v>
      </c>
      <c r="D1662" s="6">
        <f t="shared" si="175"/>
        <v>1.3836224283985565E-2</v>
      </c>
      <c r="E1662" s="14">
        <f t="shared" si="176"/>
        <v>1.4826195728761439E-4</v>
      </c>
      <c r="F1662" s="9">
        <f t="shared" si="177"/>
        <v>17.869113084523335</v>
      </c>
      <c r="G1662" s="9">
        <f t="shared" si="178"/>
        <v>-5.1127701418274447E-3</v>
      </c>
      <c r="H1662" s="9">
        <f t="shared" si="179"/>
        <v>-2.0111364398990262E-3</v>
      </c>
      <c r="I1662" s="9">
        <f t="shared" si="180"/>
        <v>-5.7379446878633944E-2</v>
      </c>
      <c r="J1662" s="9">
        <f t="shared" si="181"/>
        <v>17.804609731062971</v>
      </c>
    </row>
    <row r="1663" spans="2:10" x14ac:dyDescent="0.25">
      <c r="B1663" s="1">
        <v>41869</v>
      </c>
      <c r="C1663" s="13">
        <v>24.79</v>
      </c>
      <c r="D1663" s="6">
        <f t="shared" si="175"/>
        <v>1.2043274137579107E-2</v>
      </c>
      <c r="E1663" s="14">
        <f t="shared" si="176"/>
        <v>1.4830404806597276E-4</v>
      </c>
      <c r="F1663" s="9">
        <f t="shared" si="177"/>
        <v>17.868829230151078</v>
      </c>
      <c r="G1663" s="9">
        <f t="shared" si="178"/>
        <v>-0.50402443917162609</v>
      </c>
      <c r="H1663" s="9">
        <f t="shared" si="179"/>
        <v>5.1319604166872963E-3</v>
      </c>
      <c r="I1663" s="9">
        <f t="shared" si="180"/>
        <v>-2.2253701369537699E-3</v>
      </c>
      <c r="J1663" s="9">
        <f t="shared" si="181"/>
        <v>17.367711381259184</v>
      </c>
    </row>
    <row r="1664" spans="2:10" x14ac:dyDescent="0.25">
      <c r="B1664" s="1">
        <v>41866</v>
      </c>
      <c r="C1664" s="13">
        <v>24.495000000000001</v>
      </c>
      <c r="D1664" s="6">
        <f t="shared" si="175"/>
        <v>4.9230769230770299E-3</v>
      </c>
      <c r="E1664" s="14">
        <f t="shared" si="176"/>
        <v>1.488712041654085E-4</v>
      </c>
      <c r="F1664" s="9">
        <f t="shared" si="177"/>
        <v>17.865012244828314</v>
      </c>
      <c r="G1664" s="9">
        <f t="shared" si="178"/>
        <v>-0.3654586845838142</v>
      </c>
      <c r="H1664" s="9">
        <f t="shared" si="179"/>
        <v>7.0780274235833305E-3</v>
      </c>
      <c r="I1664" s="9">
        <f t="shared" si="180"/>
        <v>-7.8095792330417574E-3</v>
      </c>
      <c r="J1664" s="9">
        <f t="shared" si="181"/>
        <v>17.498822008435045</v>
      </c>
    </row>
    <row r="1665" spans="2:10" x14ac:dyDescent="0.25">
      <c r="B1665" s="1">
        <v>41865</v>
      </c>
      <c r="C1665" s="13">
        <v>24.375</v>
      </c>
      <c r="D1665" s="6">
        <f t="shared" si="175"/>
        <v>2.673796791443861E-3</v>
      </c>
      <c r="E1665" s="14">
        <f t="shared" si="176"/>
        <v>1.48849075976466E-4</v>
      </c>
      <c r="F1665" s="9">
        <f t="shared" si="177"/>
        <v>17.865160895695986</v>
      </c>
      <c r="G1665" s="9">
        <f t="shared" si="178"/>
        <v>-3.6593999959924489E-2</v>
      </c>
      <c r="H1665" s="9">
        <f t="shared" si="179"/>
        <v>1.2751369990221806E-3</v>
      </c>
      <c r="I1665" s="9">
        <f t="shared" si="180"/>
        <v>-1.760401348418153E-3</v>
      </c>
      <c r="J1665" s="9">
        <f t="shared" si="181"/>
        <v>17.82808163138667</v>
      </c>
    </row>
    <row r="1666" spans="2:10" x14ac:dyDescent="0.25">
      <c r="B1666" s="1">
        <v>41864</v>
      </c>
      <c r="C1666" s="13">
        <v>24.31</v>
      </c>
      <c r="D1666" s="6">
        <f t="shared" si="175"/>
        <v>1.3212186887842314E-2</v>
      </c>
      <c r="E1666" s="14">
        <f t="shared" si="176"/>
        <v>1.5032219921452629E-4</v>
      </c>
      <c r="F1666" s="9">
        <f t="shared" si="177"/>
        <v>17.855312790171631</v>
      </c>
      <c r="G1666" s="9">
        <f t="shared" si="178"/>
        <v>-3.6531326574160195E-3</v>
      </c>
      <c r="H1666" s="9">
        <f t="shared" si="179"/>
        <v>1.1705769245563048E-3</v>
      </c>
      <c r="I1666" s="9">
        <f t="shared" si="180"/>
        <v>-2.521048262243095E-2</v>
      </c>
      <c r="J1666" s="9">
        <f t="shared" si="181"/>
        <v>17.827619751816343</v>
      </c>
    </row>
    <row r="1667" spans="2:10" x14ac:dyDescent="0.25">
      <c r="B1667" s="1">
        <v>41863</v>
      </c>
      <c r="C1667" s="13">
        <v>23.992999999999999</v>
      </c>
      <c r="D1667" s="6">
        <f t="shared" si="175"/>
        <v>-2.0835069589142385E-4</v>
      </c>
      <c r="E1667" s="14">
        <f t="shared" si="176"/>
        <v>1.5081782992373412E-4</v>
      </c>
      <c r="F1667" s="9">
        <f t="shared" si="177"/>
        <v>17.852021091235748</v>
      </c>
      <c r="G1667" s="9">
        <f t="shared" si="178"/>
        <v>-0.44625235483661707</v>
      </c>
      <c r="H1667" s="9">
        <f t="shared" si="179"/>
        <v>7.3644910648889119E-3</v>
      </c>
      <c r="I1667" s="9">
        <f t="shared" si="180"/>
        <v>-6.7157497572936523E-3</v>
      </c>
      <c r="J1667" s="9">
        <f t="shared" si="181"/>
        <v>17.406417477706725</v>
      </c>
    </row>
    <row r="1668" spans="2:10" x14ac:dyDescent="0.25">
      <c r="B1668" s="1">
        <v>41862</v>
      </c>
      <c r="C1668" s="13">
        <v>23.998000000000001</v>
      </c>
      <c r="D1668" s="6">
        <f t="shared" si="175"/>
        <v>1.3215115051720572E-2</v>
      </c>
      <c r="E1668" s="14">
        <f t="shared" si="176"/>
        <v>1.5337852423024721E-4</v>
      </c>
      <c r="F1668" s="9">
        <f t="shared" si="177"/>
        <v>17.83518489475545</v>
      </c>
      <c r="G1668" s="9">
        <f t="shared" si="178"/>
        <v>-1.1017724228920349E-2</v>
      </c>
      <c r="H1668" s="9">
        <f t="shared" si="179"/>
        <v>-2.9750048001938312E-3</v>
      </c>
      <c r="I1668" s="9">
        <f t="shared" si="180"/>
        <v>-5.8177720934008595E-2</v>
      </c>
      <c r="J1668" s="9">
        <f t="shared" si="181"/>
        <v>17.763014444792326</v>
      </c>
    </row>
    <row r="1669" spans="2:10" x14ac:dyDescent="0.25">
      <c r="B1669" s="1">
        <v>41859</v>
      </c>
      <c r="C1669" s="13">
        <v>23.684999999999999</v>
      </c>
      <c r="D1669" s="6">
        <f t="shared" si="175"/>
        <v>2.7519051651141435E-3</v>
      </c>
      <c r="E1669" s="14">
        <f t="shared" si="176"/>
        <v>1.5231532113155069E-4</v>
      </c>
      <c r="F1669" s="9">
        <f t="shared" si="177"/>
        <v>17.842140922178736</v>
      </c>
      <c r="G1669" s="9">
        <f t="shared" si="178"/>
        <v>-0.44208841396731391</v>
      </c>
      <c r="H1669" s="9">
        <f t="shared" si="179"/>
        <v>-1.4750769229224445E-3</v>
      </c>
      <c r="I1669" s="9">
        <f t="shared" si="180"/>
        <v>-1.603803054760725E-3</v>
      </c>
      <c r="J1669" s="9">
        <f t="shared" si="181"/>
        <v>17.396973628233738</v>
      </c>
    </row>
    <row r="1670" spans="2:10" x14ac:dyDescent="0.25">
      <c r="B1670" s="1">
        <v>41858</v>
      </c>
      <c r="C1670" s="13">
        <v>23.62</v>
      </c>
      <c r="D1670" s="6">
        <f t="shared" si="175"/>
        <v>-5.0547598989046927E-3</v>
      </c>
      <c r="E1670" s="14">
        <f t="shared" si="176"/>
        <v>1.5235901977599938E-4</v>
      </c>
      <c r="F1670" s="9">
        <f t="shared" si="177"/>
        <v>17.84185406740378</v>
      </c>
      <c r="G1670" s="9">
        <f t="shared" si="178"/>
        <v>-4.1624358482312369E-3</v>
      </c>
      <c r="H1670" s="9">
        <f t="shared" si="179"/>
        <v>4.6100025814500156E-4</v>
      </c>
      <c r="I1670" s="9">
        <f t="shared" si="180"/>
        <v>-2.1293262853920277E-3</v>
      </c>
      <c r="J1670" s="9">
        <f t="shared" si="181"/>
        <v>17.836023305528304</v>
      </c>
    </row>
    <row r="1671" spans="2:10" x14ac:dyDescent="0.25">
      <c r="B1671" s="1">
        <v>41857</v>
      </c>
      <c r="C1671" s="13">
        <v>23.74</v>
      </c>
      <c r="D1671" s="6">
        <f t="shared" si="175"/>
        <v>-1.682085786375187E-3</v>
      </c>
      <c r="E1671" s="14">
        <f t="shared" si="176"/>
        <v>1.5363077483420028E-4</v>
      </c>
      <c r="F1671" s="9">
        <f t="shared" si="177"/>
        <v>17.83354161775058</v>
      </c>
      <c r="G1671" s="9">
        <f t="shared" si="178"/>
        <v>-0.14574783903868802</v>
      </c>
      <c r="H1671" s="9">
        <f t="shared" si="179"/>
        <v>-6.6661401911018306E-3</v>
      </c>
      <c r="I1671" s="9">
        <f t="shared" si="180"/>
        <v>-1.9886504875670147E-2</v>
      </c>
      <c r="J1671" s="9">
        <f t="shared" si="181"/>
        <v>17.66124113364512</v>
      </c>
    </row>
    <row r="1672" spans="2:10" x14ac:dyDescent="0.25">
      <c r="B1672" s="1">
        <v>41856</v>
      </c>
      <c r="C1672" s="13">
        <v>23.78</v>
      </c>
      <c r="D1672" s="6">
        <f t="shared" si="175"/>
        <v>-4.9376516863335329E-3</v>
      </c>
      <c r="E1672" s="14">
        <f t="shared" si="176"/>
        <v>1.5355661348779193E-4</v>
      </c>
      <c r="F1672" s="9">
        <f t="shared" si="177"/>
        <v>17.834024458848024</v>
      </c>
      <c r="G1672" s="9">
        <f t="shared" si="178"/>
        <v>-3.576781008484288E-2</v>
      </c>
      <c r="H1672" s="9">
        <f t="shared" si="179"/>
        <v>-1.1582659414876688E-3</v>
      </c>
      <c r="I1672" s="9">
        <f t="shared" si="180"/>
        <v>-1.3446155515741314E-3</v>
      </c>
      <c r="J1672" s="9">
        <f t="shared" si="181"/>
        <v>17.795753767270121</v>
      </c>
    </row>
    <row r="1673" spans="2:10" x14ac:dyDescent="0.25">
      <c r="B1673" s="1">
        <v>41855</v>
      </c>
      <c r="C1673" s="13">
        <v>23.898</v>
      </c>
      <c r="D1673" s="6">
        <f t="shared" si="175"/>
        <v>-5.6172762451629499E-3</v>
      </c>
      <c r="E1673" s="14">
        <f t="shared" si="176"/>
        <v>1.5420394605219928E-4</v>
      </c>
      <c r="F1673" s="9">
        <f t="shared" si="177"/>
        <v>17.829817724105872</v>
      </c>
      <c r="G1673" s="9">
        <f t="shared" si="178"/>
        <v>-0.14016103985852962</v>
      </c>
      <c r="H1673" s="9">
        <f t="shared" si="179"/>
        <v>-4.5592906933921932E-3</v>
      </c>
      <c r="I1673" s="9">
        <f t="shared" si="180"/>
        <v>-8.5290981129163956E-3</v>
      </c>
      <c r="J1673" s="9">
        <f t="shared" si="181"/>
        <v>17.676568295441033</v>
      </c>
    </row>
    <row r="1674" spans="2:10" x14ac:dyDescent="0.25">
      <c r="B1674" s="1">
        <v>41852</v>
      </c>
      <c r="C1674" s="13">
        <v>24.033000000000001</v>
      </c>
      <c r="D1674" s="6">
        <f t="shared" si="175"/>
        <v>5.564853556485394E-3</v>
      </c>
      <c r="E1674" s="14">
        <f t="shared" si="176"/>
        <v>1.5579258400402014E-4</v>
      </c>
      <c r="F1674" s="9">
        <f t="shared" si="177"/>
        <v>17.81956824254582</v>
      </c>
      <c r="G1674" s="9">
        <f t="shared" si="178"/>
        <v>-0.16894226722157343</v>
      </c>
      <c r="H1674" s="9">
        <f t="shared" si="179"/>
        <v>-8.2166128344974606E-3</v>
      </c>
      <c r="I1674" s="9">
        <f t="shared" si="180"/>
        <v>-2.694975974887728E-2</v>
      </c>
      <c r="J1674" s="9">
        <f t="shared" si="181"/>
        <v>17.61545960274087</v>
      </c>
    </row>
    <row r="1675" spans="2:10" x14ac:dyDescent="0.25">
      <c r="B1675" s="1">
        <v>41851</v>
      </c>
      <c r="C1675" s="13">
        <v>23.9</v>
      </c>
      <c r="D1675" s="6">
        <f t="shared" si="175"/>
        <v>-2.6000489037411478E-2</v>
      </c>
      <c r="E1675" s="14">
        <f t="shared" si="176"/>
        <v>1.5684901031012586E-4</v>
      </c>
      <c r="F1675" s="9">
        <f t="shared" si="177"/>
        <v>17.812810150557699</v>
      </c>
      <c r="G1675" s="9">
        <f t="shared" si="178"/>
        <v>-4.9569400990271233E-2</v>
      </c>
      <c r="H1675" s="9">
        <f t="shared" si="179"/>
        <v>3.4477967705924921E-3</v>
      </c>
      <c r="I1675" s="9">
        <f t="shared" si="180"/>
        <v>-1.5038414275474015E-2</v>
      </c>
      <c r="J1675" s="9">
        <f t="shared" si="181"/>
        <v>17.751650132062547</v>
      </c>
    </row>
    <row r="1676" spans="2:10" x14ac:dyDescent="0.25">
      <c r="B1676" s="1">
        <v>41850</v>
      </c>
      <c r="C1676" s="13">
        <v>24.538</v>
      </c>
      <c r="D1676" s="6">
        <f t="shared" si="175"/>
        <v>-2.317544216304035E-3</v>
      </c>
      <c r="E1676" s="14">
        <f t="shared" si="176"/>
        <v>1.5018650710400309E-4</v>
      </c>
      <c r="F1676" s="9">
        <f t="shared" si="177"/>
        <v>17.856215872956867</v>
      </c>
      <c r="G1676" s="9">
        <f t="shared" si="178"/>
        <v>-2.5486849347753244</v>
      </c>
      <c r="H1676" s="9">
        <f t="shared" si="179"/>
        <v>7.9729791178625317E-2</v>
      </c>
      <c r="I1676" s="9">
        <f t="shared" si="180"/>
        <v>-0.22963411706395831</v>
      </c>
      <c r="J1676" s="9">
        <f t="shared" si="181"/>
        <v>15.157626612296211</v>
      </c>
    </row>
    <row r="1677" spans="2:10" x14ac:dyDescent="0.25">
      <c r="B1677" s="1">
        <v>41849</v>
      </c>
      <c r="C1677" s="13">
        <v>24.594999999999999</v>
      </c>
      <c r="D1677" s="6">
        <f t="shared" si="175"/>
        <v>-6.4633407392445941E-3</v>
      </c>
      <c r="E1677" s="14">
        <f t="shared" si="176"/>
        <v>1.5019404381997774E-4</v>
      </c>
      <c r="F1677" s="9">
        <f t="shared" si="177"/>
        <v>17.856165691838598</v>
      </c>
      <c r="G1677" s="9">
        <f t="shared" si="178"/>
        <v>-5.196022499316573E-2</v>
      </c>
      <c r="H1677" s="9">
        <f t="shared" si="179"/>
        <v>-1.5702478871657923E-3</v>
      </c>
      <c r="I1677" s="9">
        <f t="shared" si="180"/>
        <v>-1.9290421867309841E-3</v>
      </c>
      <c r="J1677" s="9">
        <f t="shared" si="181"/>
        <v>17.800706176771534</v>
      </c>
    </row>
    <row r="1678" spans="2:10" x14ac:dyDescent="0.25">
      <c r="B1678" s="1">
        <v>41848</v>
      </c>
      <c r="C1678" s="13">
        <v>24.754999999999999</v>
      </c>
      <c r="D1678" s="6">
        <f t="shared" si="175"/>
        <v>1.3801294127283148E-2</v>
      </c>
      <c r="E1678" s="14">
        <f t="shared" si="176"/>
        <v>1.5065917307355753E-4</v>
      </c>
      <c r="F1678" s="9">
        <f t="shared" si="177"/>
        <v>17.853073621699078</v>
      </c>
      <c r="G1678" s="9">
        <f t="shared" si="178"/>
        <v>-0.21788571925013325</v>
      </c>
      <c r="H1678" s="9">
        <f t="shared" si="179"/>
        <v>-5.0275572951839799E-3</v>
      </c>
      <c r="I1678" s="9">
        <f t="shared" si="180"/>
        <v>-6.3401293725687743E-3</v>
      </c>
      <c r="J1678" s="9">
        <f t="shared" si="181"/>
        <v>17.623820215781194</v>
      </c>
    </row>
    <row r="1679" spans="2:10" x14ac:dyDescent="0.25">
      <c r="B1679" s="1">
        <v>41845</v>
      </c>
      <c r="C1679" s="13">
        <v>24.417999999999999</v>
      </c>
      <c r="D1679" s="6">
        <f t="shared" si="175"/>
        <v>6.595762222771917E-3</v>
      </c>
      <c r="E1679" s="14">
        <f t="shared" si="176"/>
        <v>1.4963853167180896E-4</v>
      </c>
      <c r="F1679" s="9">
        <f t="shared" si="177"/>
        <v>17.859871178361438</v>
      </c>
      <c r="G1679" s="9">
        <f t="shared" si="178"/>
        <v>-0.496675259887497</v>
      </c>
      <c r="H1679" s="9">
        <f t="shared" si="179"/>
        <v>-1.3213805663627172E-3</v>
      </c>
      <c r="I1679" s="9">
        <f t="shared" si="180"/>
        <v>-1.3477677041178787E-3</v>
      </c>
      <c r="J1679" s="9">
        <f t="shared" si="181"/>
        <v>17.36052677020346</v>
      </c>
    </row>
    <row r="1680" spans="2:10" x14ac:dyDescent="0.25">
      <c r="B1680" s="1">
        <v>41844</v>
      </c>
      <c r="C1680" s="13">
        <v>24.257999999999999</v>
      </c>
      <c r="D1680" s="6">
        <f t="shared" ref="D1680:D1743" si="182">C1680/C1681-1</f>
        <v>-1.6462260268333972E-3</v>
      </c>
      <c r="E1680" s="14">
        <f t="shared" ref="E1680:E1743" si="183">_xlfn.VAR.S(D1680:D1800)</f>
        <v>1.4951511294354077E-4</v>
      </c>
      <c r="F1680" s="9">
        <f t="shared" si="177"/>
        <v>17.860696297744013</v>
      </c>
      <c r="G1680" s="9">
        <f t="shared" si="178"/>
        <v>-8.2794908509517845E-2</v>
      </c>
      <c r="H1680" s="9">
        <f t="shared" si="179"/>
        <v>1.6648623507991012E-3</v>
      </c>
      <c r="I1680" s="9">
        <f t="shared" si="180"/>
        <v>-1.1434562123041492E-3</v>
      </c>
      <c r="J1680" s="9">
        <f t="shared" si="181"/>
        <v>17.778422795372993</v>
      </c>
    </row>
    <row r="1681" spans="2:10" x14ac:dyDescent="0.25">
      <c r="B1681" s="1">
        <v>41843</v>
      </c>
      <c r="C1681" s="13">
        <v>24.297999999999998</v>
      </c>
      <c r="D1681" s="6">
        <f t="shared" si="182"/>
        <v>2.6097972972972894E-2</v>
      </c>
      <c r="E1681" s="14">
        <f t="shared" si="183"/>
        <v>1.4953796765380476E-4</v>
      </c>
      <c r="F1681" s="9">
        <f t="shared" ref="F1681:F1744" si="184">LN(2*PI())-LN($C$6)-LN(E1681)-0.5*LN(1-POWER($C$7,2))</f>
        <v>17.860543450562083</v>
      </c>
      <c r="G1681" s="9">
        <f t="shared" ref="G1681:G1744" si="185">-POWER(D1680-1-$C$3,2)/(2*E1681*(1-POWER($C$7,2)))</f>
        <v>-3.5937374453563736E-2</v>
      </c>
      <c r="H1681" s="9">
        <f t="shared" ref="H1681:H1744" si="186">$C$7*(D1680-1-$C$3)*(E1680-E1681-$C$5*$C$4)/(E1681*$C$6*(1-POWER($C$7,2)))</f>
        <v>-1.3335445783095282E-3</v>
      </c>
      <c r="I1681" s="9">
        <f t="shared" ref="I1681:I1744" si="187">-POWER(E1680-E1681-$C$5*$C$4+$C$4*E1681,2)/(2*POWER($C$6,2)*E1681*(1-POWER($C$7,2)))</f>
        <v>-2.0526699683877016E-3</v>
      </c>
      <c r="J1681" s="9">
        <f t="shared" ref="J1681:J1744" si="188">SUM(F1681:I1681)</f>
        <v>17.821219861561822</v>
      </c>
    </row>
    <row r="1682" spans="2:10" x14ac:dyDescent="0.25">
      <c r="B1682" s="1">
        <v>41842</v>
      </c>
      <c r="C1682" s="13">
        <v>23.68</v>
      </c>
      <c r="D1682" s="6">
        <f t="shared" si="182"/>
        <v>8.3031722375985773E-3</v>
      </c>
      <c r="E1682" s="14">
        <f t="shared" si="183"/>
        <v>1.4646334616622047E-4</v>
      </c>
      <c r="F1682" s="9">
        <f t="shared" si="184"/>
        <v>17.88131857505379</v>
      </c>
      <c r="G1682" s="9">
        <f t="shared" si="185"/>
        <v>-2.0502858481596711</v>
      </c>
      <c r="H1682" s="9">
        <f t="shared" si="186"/>
        <v>-2.8088707226802609E-2</v>
      </c>
      <c r="I1682" s="9">
        <f t="shared" si="187"/>
        <v>-3.9926745081388403E-2</v>
      </c>
      <c r="J1682" s="9">
        <f t="shared" si="188"/>
        <v>15.763017274585929</v>
      </c>
    </row>
    <row r="1683" spans="2:10" x14ac:dyDescent="0.25">
      <c r="B1683" s="1">
        <v>41841</v>
      </c>
      <c r="C1683" s="13">
        <v>23.484999999999999</v>
      </c>
      <c r="D1683" s="6">
        <f t="shared" si="182"/>
        <v>-5.2100982717723232E-3</v>
      </c>
      <c r="E1683" s="14">
        <f t="shared" si="183"/>
        <v>2.0200838364077355E-4</v>
      </c>
      <c r="F1683" s="9">
        <f t="shared" si="184"/>
        <v>17.559784575676744</v>
      </c>
      <c r="G1683" s="9">
        <f t="shared" si="185"/>
        <v>-0.11063526016730534</v>
      </c>
      <c r="H1683" s="9">
        <f t="shared" si="186"/>
        <v>0.13768707361856661</v>
      </c>
      <c r="I1683" s="9">
        <f t="shared" si="187"/>
        <v>-14.347417387849747</v>
      </c>
      <c r="J1683" s="9">
        <f t="shared" si="188"/>
        <v>3.2394190012782555</v>
      </c>
    </row>
    <row r="1684" spans="2:10" x14ac:dyDescent="0.25">
      <c r="B1684" s="1">
        <v>41838</v>
      </c>
      <c r="C1684" s="13">
        <v>23.608000000000001</v>
      </c>
      <c r="D1684" s="6">
        <f t="shared" si="182"/>
        <v>1.4437951185974685E-2</v>
      </c>
      <c r="E1684" s="14">
        <f t="shared" si="183"/>
        <v>2.019685849985056E-4</v>
      </c>
      <c r="F1684" s="9">
        <f t="shared" si="184"/>
        <v>17.559981609891494</v>
      </c>
      <c r="G1684" s="9">
        <f t="shared" si="185"/>
        <v>-0.11608000155421688</v>
      </c>
      <c r="H1684" s="9">
        <f t="shared" si="186"/>
        <v>-1.9054393569868623E-3</v>
      </c>
      <c r="I1684" s="9">
        <f t="shared" si="187"/>
        <v>-8.3407767645946387E-4</v>
      </c>
      <c r="J1684" s="9">
        <f t="shared" si="188"/>
        <v>17.441162091303834</v>
      </c>
    </row>
    <row r="1685" spans="2:10" x14ac:dyDescent="0.25">
      <c r="B1685" s="1">
        <v>41837</v>
      </c>
      <c r="C1685" s="13">
        <v>23.271999999999998</v>
      </c>
      <c r="D1685" s="6">
        <f t="shared" si="182"/>
        <v>-1.7851867482591377E-2</v>
      </c>
      <c r="E1685" s="14">
        <f t="shared" si="183"/>
        <v>2.0382367052387628E-4</v>
      </c>
      <c r="F1685" s="9">
        <f t="shared" si="184"/>
        <v>17.55083851549638</v>
      </c>
      <c r="G1685" s="9">
        <f t="shared" si="185"/>
        <v>-0.40377344856677738</v>
      </c>
      <c r="H1685" s="9">
        <f t="shared" si="186"/>
        <v>1.2343799567608532E-2</v>
      </c>
      <c r="I1685" s="9">
        <f t="shared" si="187"/>
        <v>-2.4370866724873565E-2</v>
      </c>
      <c r="J1685" s="9">
        <f t="shared" si="188"/>
        <v>17.13503799977234</v>
      </c>
    </row>
    <row r="1686" spans="2:10" x14ac:dyDescent="0.25">
      <c r="B1686" s="1">
        <v>41836</v>
      </c>
      <c r="C1686" s="13">
        <v>23.695</v>
      </c>
      <c r="D1686" s="6">
        <f t="shared" si="182"/>
        <v>-5.6651279899285756E-3</v>
      </c>
      <c r="E1686" s="14">
        <f t="shared" si="183"/>
        <v>2.0110023816556142E-4</v>
      </c>
      <c r="F1686" s="9">
        <f t="shared" si="184"/>
        <v>17.564290294296875</v>
      </c>
      <c r="G1686" s="9">
        <f t="shared" si="185"/>
        <v>-0.94620153210365066</v>
      </c>
      <c r="H1686" s="9">
        <f t="shared" si="186"/>
        <v>1.3769177776861213E-2</v>
      </c>
      <c r="I1686" s="9">
        <f t="shared" si="187"/>
        <v>-2.336312805147954E-2</v>
      </c>
      <c r="J1686" s="9">
        <f t="shared" si="188"/>
        <v>16.608494811918607</v>
      </c>
    </row>
    <row r="1687" spans="2:10" x14ac:dyDescent="0.25">
      <c r="B1687" s="1">
        <v>41835</v>
      </c>
      <c r="C1687" s="13">
        <v>23.83</v>
      </c>
      <c r="D1687" s="6">
        <f t="shared" si="182"/>
        <v>-1.1736407746858579E-2</v>
      </c>
      <c r="E1687" s="14">
        <f t="shared" si="183"/>
        <v>2.0071567819323911E-4</v>
      </c>
      <c r="F1687" s="9">
        <f t="shared" si="184"/>
        <v>17.566204405082832</v>
      </c>
      <c r="G1687" s="9">
        <f t="shared" si="185"/>
        <v>-0.13286851675232117</v>
      </c>
      <c r="H1687" s="9">
        <f t="shared" si="186"/>
        <v>-1.118727107423617E-3</v>
      </c>
      <c r="I1687" s="9">
        <f t="shared" si="187"/>
        <v>-3.2736567835145034E-5</v>
      </c>
      <c r="J1687" s="9">
        <f t="shared" si="188"/>
        <v>17.432184424655251</v>
      </c>
    </row>
    <row r="1688" spans="2:10" x14ac:dyDescent="0.25">
      <c r="B1688" s="1">
        <v>41834</v>
      </c>
      <c r="C1688" s="13">
        <v>24.113</v>
      </c>
      <c r="D1688" s="6">
        <f t="shared" si="182"/>
        <v>1.2938458307078404E-2</v>
      </c>
      <c r="E1688" s="14">
        <f t="shared" si="183"/>
        <v>2.0075000414652007E-4</v>
      </c>
      <c r="F1688" s="9">
        <f t="shared" si="184"/>
        <v>17.566033401906846</v>
      </c>
      <c r="G1688" s="9">
        <f t="shared" si="185"/>
        <v>-0.44612321193626092</v>
      </c>
      <c r="H1688" s="9">
        <f t="shared" si="186"/>
        <v>-4.1116410369125894E-3</v>
      </c>
      <c r="I1688" s="9">
        <f t="shared" si="187"/>
        <v>-1.1650655999285524E-3</v>
      </c>
      <c r="J1688" s="9">
        <f t="shared" si="188"/>
        <v>17.114633483333744</v>
      </c>
    </row>
    <row r="1689" spans="2:10" x14ac:dyDescent="0.25">
      <c r="B1689" s="1">
        <v>41831</v>
      </c>
      <c r="C1689" s="13">
        <v>23.805</v>
      </c>
      <c r="D1689" s="6">
        <f t="shared" si="182"/>
        <v>1.9361084220717029E-3</v>
      </c>
      <c r="E1689" s="14">
        <f t="shared" si="183"/>
        <v>2.0546963945318345E-4</v>
      </c>
      <c r="F1689" s="9">
        <f t="shared" si="184"/>
        <v>17.542795492254371</v>
      </c>
      <c r="G1689" s="9">
        <f t="shared" si="185"/>
        <v>-0.31225976371365116</v>
      </c>
      <c r="H1689" s="9">
        <f t="shared" si="186"/>
        <v>2.2471901566193421E-2</v>
      </c>
      <c r="I1689" s="9">
        <f t="shared" si="187"/>
        <v>-0.12067233147337282</v>
      </c>
      <c r="J1689" s="9">
        <f t="shared" si="188"/>
        <v>17.132335298633539</v>
      </c>
    </row>
    <row r="1690" spans="2:10" x14ac:dyDescent="0.25">
      <c r="B1690" s="1">
        <v>41830</v>
      </c>
      <c r="C1690" s="13">
        <v>23.759</v>
      </c>
      <c r="D1690" s="6">
        <f t="shared" si="182"/>
        <v>-3.7319691378731035E-3</v>
      </c>
      <c r="E1690" s="14">
        <f t="shared" si="183"/>
        <v>2.0589741066200936E-4</v>
      </c>
      <c r="F1690" s="9">
        <f t="shared" si="184"/>
        <v>17.5407157371408</v>
      </c>
      <c r="G1690" s="9">
        <f t="shared" si="185"/>
        <v>-2.3218992407587167E-4</v>
      </c>
      <c r="H1690" s="9">
        <f t="shared" si="186"/>
        <v>1.362477991704884E-4</v>
      </c>
      <c r="I1690" s="9">
        <f t="shared" si="187"/>
        <v>-3.5387627852546456E-3</v>
      </c>
      <c r="J1690" s="9">
        <f t="shared" si="188"/>
        <v>17.537081032230638</v>
      </c>
    </row>
    <row r="1691" spans="2:10" x14ac:dyDescent="0.25">
      <c r="B1691" s="1">
        <v>41829</v>
      </c>
      <c r="C1691" s="13">
        <v>23.847999999999999</v>
      </c>
      <c r="D1691" s="6">
        <f t="shared" si="182"/>
        <v>4.1949828005694023E-4</v>
      </c>
      <c r="E1691" s="14">
        <f t="shared" si="183"/>
        <v>2.0848355602285263E-4</v>
      </c>
      <c r="F1691" s="9">
        <f t="shared" si="184"/>
        <v>17.528233605256162</v>
      </c>
      <c r="G1691" s="9">
        <f t="shared" si="185"/>
        <v>-6.9087664442561439E-2</v>
      </c>
      <c r="H1691" s="9">
        <f t="shared" si="186"/>
        <v>-6.4381928829067214E-3</v>
      </c>
      <c r="I1691" s="9">
        <f t="shared" si="187"/>
        <v>-4.10095410004346E-2</v>
      </c>
      <c r="J1691" s="9">
        <f t="shared" si="188"/>
        <v>17.411698206930257</v>
      </c>
    </row>
    <row r="1692" spans="2:10" x14ac:dyDescent="0.25">
      <c r="B1692" s="1">
        <v>41828</v>
      </c>
      <c r="C1692" s="13">
        <v>23.838000000000001</v>
      </c>
      <c r="D1692" s="6">
        <f t="shared" si="182"/>
        <v>-6.4188062687562386E-3</v>
      </c>
      <c r="E1692" s="14">
        <f t="shared" si="183"/>
        <v>2.111878216439953E-4</v>
      </c>
      <c r="F1692" s="9">
        <f t="shared" si="184"/>
        <v>17.515345887889787</v>
      </c>
      <c r="G1692" s="9">
        <f t="shared" si="185"/>
        <v>-3.4642624596983433E-3</v>
      </c>
      <c r="H1692" s="9">
        <f t="shared" si="186"/>
        <v>-1.4823738885574691E-3</v>
      </c>
      <c r="I1692" s="9">
        <f t="shared" si="187"/>
        <v>-4.3565633302992908E-2</v>
      </c>
      <c r="J1692" s="9">
        <f t="shared" si="188"/>
        <v>17.466833618238539</v>
      </c>
    </row>
    <row r="1693" spans="2:10" x14ac:dyDescent="0.25">
      <c r="B1693" s="1">
        <v>41827</v>
      </c>
      <c r="C1693" s="13">
        <v>23.992000000000001</v>
      </c>
      <c r="D1693" s="6">
        <f t="shared" si="182"/>
        <v>2.0588735749532239E-2</v>
      </c>
      <c r="E1693" s="14">
        <f t="shared" si="183"/>
        <v>2.1068811360059722E-4</v>
      </c>
      <c r="F1693" s="9">
        <f t="shared" si="184"/>
        <v>17.51771487002577</v>
      </c>
      <c r="G1693" s="9">
        <f t="shared" si="185"/>
        <v>-0.15409552777857283</v>
      </c>
      <c r="H1693" s="9">
        <f t="shared" si="186"/>
        <v>-8.507608974327132E-4</v>
      </c>
      <c r="I1693" s="9">
        <f t="shared" si="187"/>
        <v>-9.8145997670405683E-6</v>
      </c>
      <c r="J1693" s="9">
        <f t="shared" si="188"/>
        <v>17.362758766749998</v>
      </c>
    </row>
    <row r="1694" spans="2:10" x14ac:dyDescent="0.25">
      <c r="B1694" s="1">
        <v>41823</v>
      </c>
      <c r="C1694" s="13">
        <v>23.507999999999999</v>
      </c>
      <c r="D1694" s="6">
        <f t="shared" si="182"/>
        <v>5.9050064184851259E-3</v>
      </c>
      <c r="E1694" s="14">
        <f t="shared" si="183"/>
        <v>2.083867780622093E-4</v>
      </c>
      <c r="F1694" s="9">
        <f t="shared" si="184"/>
        <v>17.528697912521366</v>
      </c>
      <c r="G1694" s="9">
        <f t="shared" si="185"/>
        <v>-0.86521355358632024</v>
      </c>
      <c r="H1694" s="9">
        <f t="shared" si="186"/>
        <v>-1.0094559893845063E-2</v>
      </c>
      <c r="I1694" s="9">
        <f t="shared" si="187"/>
        <v>-1.509275260924715E-2</v>
      </c>
      <c r="J1694" s="9">
        <f t="shared" si="188"/>
        <v>16.638297046431955</v>
      </c>
    </row>
    <row r="1695" spans="2:10" x14ac:dyDescent="0.25">
      <c r="B1695" s="1">
        <v>41822</v>
      </c>
      <c r="C1695" s="13">
        <v>23.37</v>
      </c>
      <c r="D1695" s="6">
        <f t="shared" si="182"/>
        <v>-4.2771599657820403E-4</v>
      </c>
      <c r="E1695" s="14">
        <f t="shared" si="183"/>
        <v>2.0999149309136689E-4</v>
      </c>
      <c r="F1695" s="9">
        <f t="shared" si="184"/>
        <v>17.521026754580639</v>
      </c>
      <c r="G1695" s="9">
        <f t="shared" si="185"/>
        <v>-4.3698206348285855E-2</v>
      </c>
      <c r="H1695" s="9">
        <f t="shared" si="186"/>
        <v>3.623598766943765E-3</v>
      </c>
      <c r="I1695" s="9">
        <f t="shared" si="187"/>
        <v>-1.8637376277165673E-2</v>
      </c>
      <c r="J1695" s="9">
        <f t="shared" si="188"/>
        <v>17.462314770722131</v>
      </c>
    </row>
    <row r="1696" spans="2:10" x14ac:dyDescent="0.25">
      <c r="B1696" s="1">
        <v>41821</v>
      </c>
      <c r="C1696" s="13">
        <v>23.38</v>
      </c>
      <c r="D1696" s="6">
        <f t="shared" si="182"/>
        <v>6.327206990057288E-3</v>
      </c>
      <c r="E1696" s="14">
        <f t="shared" si="183"/>
        <v>2.1013565818331839E-4</v>
      </c>
      <c r="F1696" s="9">
        <f t="shared" si="184"/>
        <v>17.520340461884857</v>
      </c>
      <c r="G1696" s="9">
        <f t="shared" si="185"/>
        <v>-1.007870096809225E-2</v>
      </c>
      <c r="H1696" s="9">
        <f t="shared" si="186"/>
        <v>-6.8347183391710307E-4</v>
      </c>
      <c r="I1696" s="9">
        <f t="shared" si="187"/>
        <v>-1.5693696526142753E-3</v>
      </c>
      <c r="J1696" s="9">
        <f t="shared" si="188"/>
        <v>17.508008919430235</v>
      </c>
    </row>
    <row r="1697" spans="2:10" x14ac:dyDescent="0.25">
      <c r="B1697" s="1">
        <v>41820</v>
      </c>
      <c r="C1697" s="13">
        <v>23.233000000000001</v>
      </c>
      <c r="D1697" s="6">
        <f t="shared" si="182"/>
        <v>1.0350076103500694E-2</v>
      </c>
      <c r="E1697" s="14">
        <f t="shared" si="183"/>
        <v>2.1059728019842477E-4</v>
      </c>
      <c r="F1697" s="9">
        <f t="shared" si="184"/>
        <v>17.518146090309774</v>
      </c>
      <c r="G1697" s="9">
        <f t="shared" si="185"/>
        <v>-5.2598095702805145E-2</v>
      </c>
      <c r="H1697" s="9">
        <f t="shared" si="186"/>
        <v>2.0835041299099664E-3</v>
      </c>
      <c r="I1697" s="9">
        <f t="shared" si="187"/>
        <v>-3.6659325847555563E-3</v>
      </c>
      <c r="J1697" s="9">
        <f t="shared" si="188"/>
        <v>17.463965566152122</v>
      </c>
    </row>
    <row r="1698" spans="2:10" x14ac:dyDescent="0.25">
      <c r="B1698" s="1">
        <v>41817</v>
      </c>
      <c r="C1698" s="13">
        <v>22.995000000000001</v>
      </c>
      <c r="D1698" s="6">
        <f t="shared" si="182"/>
        <v>1.1881188118811892E-2</v>
      </c>
      <c r="E1698" s="14">
        <f t="shared" si="183"/>
        <v>2.1007884406135555E-4</v>
      </c>
      <c r="F1698" s="9">
        <f t="shared" si="184"/>
        <v>17.520610867223105</v>
      </c>
      <c r="G1698" s="9">
        <f t="shared" si="185"/>
        <v>-0.1816249648677514</v>
      </c>
      <c r="H1698" s="9">
        <f t="shared" si="186"/>
        <v>8.6747446563998048E-4</v>
      </c>
      <c r="I1698" s="9">
        <f t="shared" si="187"/>
        <v>-1.8597149480859868E-5</v>
      </c>
      <c r="J1698" s="9">
        <f t="shared" si="188"/>
        <v>17.339834779671513</v>
      </c>
    </row>
    <row r="1699" spans="2:10" x14ac:dyDescent="0.25">
      <c r="B1699" s="1">
        <v>41816</v>
      </c>
      <c r="C1699" s="13">
        <v>22.725000000000001</v>
      </c>
      <c r="D1699" s="6">
        <f t="shared" si="182"/>
        <v>5.9760956175298752E-3</v>
      </c>
      <c r="E1699" s="14">
        <f t="shared" si="183"/>
        <v>2.1371661404553791E-4</v>
      </c>
      <c r="F1699" s="9">
        <f t="shared" si="184"/>
        <v>17.503442871370993</v>
      </c>
      <c r="G1699" s="9">
        <f t="shared" si="185"/>
        <v>-0.24671070928582542</v>
      </c>
      <c r="H1699" s="9">
        <f t="shared" si="186"/>
        <v>1.5747215705784429E-2</v>
      </c>
      <c r="I1699" s="9">
        <f t="shared" si="187"/>
        <v>-7.2137845798322872E-2</v>
      </c>
      <c r="J1699" s="9">
        <f t="shared" si="188"/>
        <v>17.200341531992628</v>
      </c>
    </row>
    <row r="1700" spans="2:10" x14ac:dyDescent="0.25">
      <c r="B1700" s="1">
        <v>41815</v>
      </c>
      <c r="C1700" s="13">
        <v>22.59</v>
      </c>
      <c r="D1700" s="6">
        <f t="shared" si="182"/>
        <v>8.8613203367304827E-4</v>
      </c>
      <c r="E1700" s="14">
        <f t="shared" si="183"/>
        <v>2.1545196120253884E-4</v>
      </c>
      <c r="F1700" s="9">
        <f t="shared" si="184"/>
        <v>17.495355808548585</v>
      </c>
      <c r="G1700" s="9">
        <f t="shared" si="185"/>
        <v>-4.4018077120984045E-2</v>
      </c>
      <c r="H1700" s="9">
        <f t="shared" si="186"/>
        <v>3.7854204013556725E-3</v>
      </c>
      <c r="I1700" s="9">
        <f t="shared" si="187"/>
        <v>-2.0374723913193466E-2</v>
      </c>
      <c r="J1700" s="9">
        <f t="shared" si="188"/>
        <v>17.434748427915764</v>
      </c>
    </row>
    <row r="1701" spans="2:10" x14ac:dyDescent="0.25">
      <c r="B1701" s="1">
        <v>41814</v>
      </c>
      <c r="C1701" s="13">
        <v>22.57</v>
      </c>
      <c r="D1701" s="6">
        <f t="shared" si="182"/>
        <v>-6.077153426105264E-3</v>
      </c>
      <c r="E1701" s="14">
        <f t="shared" si="183"/>
        <v>2.163826640100339E-4</v>
      </c>
      <c r="F1701" s="9">
        <f t="shared" si="184"/>
        <v>17.491045342484945</v>
      </c>
      <c r="G1701" s="9">
        <f t="shared" si="185"/>
        <v>-1.2732722842190096E-3</v>
      </c>
      <c r="H1701" s="9">
        <f t="shared" si="186"/>
        <v>-4.3861817715090928E-4</v>
      </c>
      <c r="I1701" s="9">
        <f t="shared" si="187"/>
        <v>-8.0562232473156137E-3</v>
      </c>
      <c r="J1701" s="9">
        <f t="shared" si="188"/>
        <v>17.481277228776261</v>
      </c>
    </row>
    <row r="1702" spans="2:10" x14ac:dyDescent="0.25">
      <c r="B1702" s="1">
        <v>41813</v>
      </c>
      <c r="C1702" s="13">
        <v>22.707999999999998</v>
      </c>
      <c r="D1702" s="6">
        <f t="shared" si="182"/>
        <v>-8.7997184090127245E-4</v>
      </c>
      <c r="E1702" s="14">
        <f t="shared" si="183"/>
        <v>2.1697531468966216E-4</v>
      </c>
      <c r="F1702" s="9">
        <f t="shared" si="184"/>
        <v>17.488310185509739</v>
      </c>
      <c r="G1702" s="9">
        <f t="shared" si="185"/>
        <v>-0.13719305150808953</v>
      </c>
      <c r="H1702" s="9">
        <f t="shared" si="186"/>
        <v>-3.6591289517532858E-3</v>
      </c>
      <c r="I1702" s="9">
        <f t="shared" si="187"/>
        <v>-4.5578152245714012E-3</v>
      </c>
      <c r="J1702" s="9">
        <f t="shared" si="188"/>
        <v>17.342900189825325</v>
      </c>
    </row>
    <row r="1703" spans="2:10" x14ac:dyDescent="0.25">
      <c r="B1703" s="1">
        <v>41810</v>
      </c>
      <c r="C1703" s="13">
        <v>22.728000000000002</v>
      </c>
      <c r="D1703" s="6">
        <f t="shared" si="182"/>
        <v>-1.0320052253429024E-2</v>
      </c>
      <c r="E1703" s="14">
        <f t="shared" si="183"/>
        <v>2.174597069973247E-4</v>
      </c>
      <c r="F1703" s="9">
        <f t="shared" si="184"/>
        <v>17.486080197206697</v>
      </c>
      <c r="G1703" s="9">
        <f t="shared" si="185"/>
        <v>-1.449753706604553E-2</v>
      </c>
      <c r="H1703" s="9">
        <f t="shared" si="186"/>
        <v>-1.0958620427317419E-3</v>
      </c>
      <c r="I1703" s="9">
        <f t="shared" si="187"/>
        <v>-3.6394715812150371E-3</v>
      </c>
      <c r="J1703" s="9">
        <f t="shared" si="188"/>
        <v>17.466847326516703</v>
      </c>
    </row>
    <row r="1704" spans="2:10" x14ac:dyDescent="0.25">
      <c r="B1704" s="1">
        <v>41809</v>
      </c>
      <c r="C1704" s="13">
        <v>22.965</v>
      </c>
      <c r="D1704" s="6">
        <f t="shared" si="182"/>
        <v>-3.4714688652637271E-3</v>
      </c>
      <c r="E1704" s="14">
        <f t="shared" si="183"/>
        <v>2.1687314928303718E-4</v>
      </c>
      <c r="F1704" s="9">
        <f t="shared" si="184"/>
        <v>17.488781158289395</v>
      </c>
      <c r="G1704" s="9">
        <f t="shared" si="185"/>
        <v>-0.33006112188486753</v>
      </c>
      <c r="H1704" s="9">
        <f t="shared" si="186"/>
        <v>-8.7345483000216982E-4</v>
      </c>
      <c r="I1704" s="9">
        <f t="shared" si="187"/>
        <v>-8.8813214867927722E-5</v>
      </c>
      <c r="J1704" s="9">
        <f t="shared" si="188"/>
        <v>17.157757768359655</v>
      </c>
    </row>
    <row r="1705" spans="2:10" x14ac:dyDescent="0.25">
      <c r="B1705" s="1">
        <v>41808</v>
      </c>
      <c r="C1705" s="13">
        <v>23.045000000000002</v>
      </c>
      <c r="D1705" s="6">
        <f t="shared" si="182"/>
        <v>1.0860121633362585E-3</v>
      </c>
      <c r="E1705" s="14">
        <f t="shared" si="183"/>
        <v>2.1693564024603194E-4</v>
      </c>
      <c r="F1705" s="9">
        <f t="shared" si="184"/>
        <v>17.488493054567499</v>
      </c>
      <c r="G1705" s="9">
        <f t="shared" si="185"/>
        <v>-6.0098181227871951E-2</v>
      </c>
      <c r="H1705" s="9">
        <f t="shared" si="186"/>
        <v>-1.5006619271917892E-3</v>
      </c>
      <c r="I1705" s="9">
        <f t="shared" si="187"/>
        <v>-1.0840856625699059E-3</v>
      </c>
      <c r="J1705" s="9">
        <f t="shared" si="188"/>
        <v>17.425810125749866</v>
      </c>
    </row>
    <row r="1706" spans="2:10" x14ac:dyDescent="0.25">
      <c r="B1706" s="1">
        <v>41807</v>
      </c>
      <c r="C1706" s="13">
        <v>23.02</v>
      </c>
      <c r="D1706" s="6">
        <f t="shared" si="182"/>
        <v>-1.3015184381779399E-3</v>
      </c>
      <c r="E1706" s="14">
        <f t="shared" si="183"/>
        <v>2.2838429118863255E-4</v>
      </c>
      <c r="F1706" s="9">
        <f t="shared" si="184"/>
        <v>17.437064077605253</v>
      </c>
      <c r="G1706" s="9">
        <f t="shared" si="185"/>
        <v>-6.4346050408441082E-4</v>
      </c>
      <c r="H1706" s="9">
        <f t="shared" si="186"/>
        <v>-2.1469345881941632E-3</v>
      </c>
      <c r="I1706" s="9">
        <f t="shared" si="187"/>
        <v>-0.57009705596157534</v>
      </c>
      <c r="J1706" s="9">
        <f t="shared" si="188"/>
        <v>16.864176626551401</v>
      </c>
    </row>
    <row r="1707" spans="2:10" x14ac:dyDescent="0.25">
      <c r="B1707" s="1">
        <v>41806</v>
      </c>
      <c r="C1707" s="13">
        <v>23.05</v>
      </c>
      <c r="D1707" s="6">
        <f t="shared" si="182"/>
        <v>1.0078878177037787E-2</v>
      </c>
      <c r="E1707" s="14">
        <f t="shared" si="183"/>
        <v>2.287168944182177E-4</v>
      </c>
      <c r="F1707" s="9">
        <f t="shared" si="184"/>
        <v>17.435608805561522</v>
      </c>
      <c r="G1707" s="9">
        <f t="shared" si="185"/>
        <v>-1.8808510373931345E-2</v>
      </c>
      <c r="H1707" s="9">
        <f t="shared" si="186"/>
        <v>-1.0733735980663903E-3</v>
      </c>
      <c r="I1707" s="9">
        <f t="shared" si="187"/>
        <v>-2.3034384698112356E-3</v>
      </c>
      <c r="J1707" s="9">
        <f t="shared" si="188"/>
        <v>17.413423483119711</v>
      </c>
    </row>
    <row r="1708" spans="2:10" x14ac:dyDescent="0.25">
      <c r="B1708" s="1">
        <v>41803</v>
      </c>
      <c r="C1708" s="13">
        <v>22.82</v>
      </c>
      <c r="D1708" s="6">
        <f t="shared" si="182"/>
        <v>-1.0965197416894168E-2</v>
      </c>
      <c r="E1708" s="14">
        <f t="shared" si="183"/>
        <v>2.2947390989773415E-4</v>
      </c>
      <c r="F1708" s="9">
        <f t="shared" si="184"/>
        <v>17.432304434713405</v>
      </c>
      <c r="G1708" s="9">
        <f t="shared" si="185"/>
        <v>-0.15609556599959909</v>
      </c>
      <c r="H1708" s="9">
        <f t="shared" si="186"/>
        <v>4.2429098496296457E-3</v>
      </c>
      <c r="I1708" s="9">
        <f t="shared" si="187"/>
        <v>-5.5896591273280269E-3</v>
      </c>
      <c r="J1708" s="9">
        <f t="shared" si="188"/>
        <v>17.274862119436108</v>
      </c>
    </row>
    <row r="1709" spans="2:10" x14ac:dyDescent="0.25">
      <c r="B1709" s="1">
        <v>41802</v>
      </c>
      <c r="C1709" s="13">
        <v>23.073</v>
      </c>
      <c r="D1709" s="6">
        <f t="shared" si="182"/>
        <v>-1.6705731941188962E-2</v>
      </c>
      <c r="E1709" s="14">
        <f t="shared" si="183"/>
        <v>2.2887995167942331E-4</v>
      </c>
      <c r="F1709" s="9">
        <f t="shared" si="184"/>
        <v>17.434896137764543</v>
      </c>
      <c r="G1709" s="9">
        <f t="shared" si="185"/>
        <v>-0.34743424806325773</v>
      </c>
      <c r="H1709" s="9">
        <f t="shared" si="186"/>
        <v>-8.4221896375835301E-4</v>
      </c>
      <c r="I1709" s="9">
        <f t="shared" si="187"/>
        <v>-1.1893653624302564E-4</v>
      </c>
      <c r="J1709" s="9">
        <f t="shared" si="188"/>
        <v>17.086500734201284</v>
      </c>
    </row>
    <row r="1710" spans="2:10" x14ac:dyDescent="0.25">
      <c r="B1710" s="1">
        <v>41801</v>
      </c>
      <c r="C1710" s="13">
        <v>23.465</v>
      </c>
      <c r="D1710" s="6">
        <f t="shared" si="182"/>
        <v>-4.1590629376564436E-3</v>
      </c>
      <c r="E1710" s="14">
        <f t="shared" si="183"/>
        <v>2.264361334811485E-4</v>
      </c>
      <c r="F1710" s="9">
        <f t="shared" si="184"/>
        <v>17.445630841612836</v>
      </c>
      <c r="G1710" s="9">
        <f t="shared" si="185"/>
        <v>-0.74435214512393499</v>
      </c>
      <c r="H1710" s="9">
        <f t="shared" si="186"/>
        <v>9.8350796116449968E-3</v>
      </c>
      <c r="I1710" s="9">
        <f t="shared" si="187"/>
        <v>-1.6605635482109114E-2</v>
      </c>
      <c r="J1710" s="9">
        <f t="shared" si="188"/>
        <v>16.694508140618439</v>
      </c>
    </row>
    <row r="1711" spans="2:10" x14ac:dyDescent="0.25">
      <c r="B1711" s="1">
        <v>41800</v>
      </c>
      <c r="C1711" s="13">
        <v>23.562999999999999</v>
      </c>
      <c r="D1711" s="6">
        <f t="shared" si="182"/>
        <v>5.8911419423692823E-3</v>
      </c>
      <c r="E1711" s="14">
        <f t="shared" si="183"/>
        <v>2.2630459647110369E-4</v>
      </c>
      <c r="F1711" s="9">
        <f t="shared" si="184"/>
        <v>17.446211911549973</v>
      </c>
      <c r="G1711" s="9">
        <f t="shared" si="185"/>
        <v>-7.4195670571379838E-2</v>
      </c>
      <c r="H1711" s="9">
        <f t="shared" si="186"/>
        <v>-1.2656881506494762E-3</v>
      </c>
      <c r="I1711" s="9">
        <f t="shared" si="187"/>
        <v>-3.5530368473397244E-4</v>
      </c>
      <c r="J1711" s="9">
        <f t="shared" si="188"/>
        <v>17.370395249143208</v>
      </c>
    </row>
    <row r="1712" spans="2:10" x14ac:dyDescent="0.25">
      <c r="B1712" s="1">
        <v>41799</v>
      </c>
      <c r="C1712" s="13">
        <v>23.425000000000001</v>
      </c>
      <c r="D1712" s="6">
        <f t="shared" si="182"/>
        <v>1.6004510756419066E-2</v>
      </c>
      <c r="E1712" s="14">
        <f t="shared" si="183"/>
        <v>2.2741788832003189E-4</v>
      </c>
      <c r="F1712" s="9">
        <f t="shared" si="184"/>
        <v>17.441304532610332</v>
      </c>
      <c r="G1712" s="9">
        <f t="shared" si="185"/>
        <v>-4.0088601100917651E-2</v>
      </c>
      <c r="H1712" s="9">
        <f t="shared" si="186"/>
        <v>2.6538142529267043E-3</v>
      </c>
      <c r="I1712" s="9">
        <f t="shared" si="187"/>
        <v>-9.6089789826729523E-3</v>
      </c>
      <c r="J1712" s="9">
        <f t="shared" si="188"/>
        <v>17.394260766779666</v>
      </c>
    </row>
    <row r="1713" spans="2:10" x14ac:dyDescent="0.25">
      <c r="B1713" s="1">
        <v>41796</v>
      </c>
      <c r="C1713" s="13">
        <v>23.056000000000001</v>
      </c>
      <c r="D1713" s="6">
        <f t="shared" si="182"/>
        <v>-2.7681660899654403E-3</v>
      </c>
      <c r="E1713" s="14">
        <f t="shared" si="183"/>
        <v>2.256927681669643E-4</v>
      </c>
      <c r="F1713" s="9">
        <f t="shared" si="184"/>
        <v>17.448919133873297</v>
      </c>
      <c r="G1713" s="9">
        <f t="shared" si="185"/>
        <v>-0.45928467924937622</v>
      </c>
      <c r="H1713" s="9">
        <f t="shared" si="186"/>
        <v>-4.3529720142270823E-3</v>
      </c>
      <c r="I1713" s="9">
        <f t="shared" si="187"/>
        <v>-6.8915024053028519E-3</v>
      </c>
      <c r="J1713" s="9">
        <f t="shared" si="188"/>
        <v>16.97838998020439</v>
      </c>
    </row>
    <row r="1714" spans="2:10" x14ac:dyDescent="0.25">
      <c r="B1714" s="1">
        <v>41795</v>
      </c>
      <c r="C1714" s="13">
        <v>23.12</v>
      </c>
      <c r="D1714" s="6">
        <f t="shared" si="182"/>
        <v>3.951539363411305E-3</v>
      </c>
      <c r="E1714" s="14">
        <f t="shared" si="183"/>
        <v>2.2617829631604638E-4</v>
      </c>
      <c r="F1714" s="9">
        <f t="shared" si="184"/>
        <v>17.446770165399347</v>
      </c>
      <c r="G1714" s="9">
        <f t="shared" si="185"/>
        <v>-4.2837276962079444E-2</v>
      </c>
      <c r="H1714" s="9">
        <f t="shared" si="186"/>
        <v>-1.8487033787832859E-3</v>
      </c>
      <c r="I1714" s="9">
        <f t="shared" si="187"/>
        <v>-3.3994207449655972E-3</v>
      </c>
      <c r="J1714" s="9">
        <f t="shared" si="188"/>
        <v>17.398684764313519</v>
      </c>
    </row>
    <row r="1715" spans="2:10" x14ac:dyDescent="0.25">
      <c r="B1715" s="1">
        <v>41794</v>
      </c>
      <c r="C1715" s="13">
        <v>23.029</v>
      </c>
      <c r="D1715" s="6">
        <f t="shared" si="182"/>
        <v>1.1419034652378368E-2</v>
      </c>
      <c r="E1715" s="14">
        <f t="shared" si="183"/>
        <v>2.2618028271801415E-4</v>
      </c>
      <c r="F1715" s="9">
        <f t="shared" si="184"/>
        <v>17.44676138297735</v>
      </c>
      <c r="G1715" s="9">
        <f t="shared" si="185"/>
        <v>-1.1976833005027686E-2</v>
      </c>
      <c r="H1715" s="9">
        <f t="shared" si="186"/>
        <v>6.1011411575760959E-4</v>
      </c>
      <c r="I1715" s="9">
        <f t="shared" si="187"/>
        <v>-7.5082715746899154E-4</v>
      </c>
      <c r="J1715" s="9">
        <f t="shared" si="188"/>
        <v>17.434643836930611</v>
      </c>
    </row>
    <row r="1716" spans="2:10" x14ac:dyDescent="0.25">
      <c r="B1716" s="1">
        <v>41793</v>
      </c>
      <c r="C1716" s="13">
        <v>22.768999999999998</v>
      </c>
      <c r="D1716" s="6">
        <f t="shared" si="182"/>
        <v>1.4119009442365771E-2</v>
      </c>
      <c r="E1716" s="14">
        <f t="shared" si="183"/>
        <v>2.2618547512120698E-4</v>
      </c>
      <c r="F1716" s="9">
        <f t="shared" si="184"/>
        <v>17.446738426318483</v>
      </c>
      <c r="G1716" s="9">
        <f t="shared" si="185"/>
        <v>-0.21257074863933612</v>
      </c>
      <c r="H1716" s="9">
        <f t="shared" si="186"/>
        <v>2.5805803543103942E-3</v>
      </c>
      <c r="I1716" s="9">
        <f t="shared" si="187"/>
        <v>-7.6205000230564895E-4</v>
      </c>
      <c r="J1716" s="9">
        <f t="shared" si="188"/>
        <v>17.23598620803115</v>
      </c>
    </row>
    <row r="1717" spans="2:10" x14ac:dyDescent="0.25">
      <c r="B1717" s="1">
        <v>41792</v>
      </c>
      <c r="C1717" s="13">
        <v>22.452000000000002</v>
      </c>
      <c r="D1717" s="6">
        <f t="shared" si="182"/>
        <v>-6.8562834520280447E-3</v>
      </c>
      <c r="E1717" s="14">
        <f t="shared" si="183"/>
        <v>2.2662187203074106E-4</v>
      </c>
      <c r="F1717" s="9">
        <f t="shared" si="184"/>
        <v>17.444810908810684</v>
      </c>
      <c r="G1717" s="9">
        <f t="shared" si="185"/>
        <v>-0.34529620374387571</v>
      </c>
      <c r="H1717" s="9">
        <f t="shared" si="186"/>
        <v>5.0433171897348869E-3</v>
      </c>
      <c r="I1717" s="9">
        <f t="shared" si="187"/>
        <v>-3.0320130555376249E-3</v>
      </c>
      <c r="J1717" s="9">
        <f t="shared" si="188"/>
        <v>17.101526009201006</v>
      </c>
    </row>
    <row r="1718" spans="2:10" x14ac:dyDescent="0.25">
      <c r="B1718" s="1">
        <v>41789</v>
      </c>
      <c r="C1718" s="13">
        <v>22.606999999999999</v>
      </c>
      <c r="D1718" s="6">
        <f t="shared" si="182"/>
        <v>-3.7458135025559836E-3</v>
      </c>
      <c r="E1718" s="14">
        <f t="shared" si="183"/>
        <v>2.2624750312890356E-4</v>
      </c>
      <c r="F1718" s="9">
        <f t="shared" si="184"/>
        <v>17.446464228764071</v>
      </c>
      <c r="G1718" s="9">
        <f t="shared" si="185"/>
        <v>-0.15952661382990294</v>
      </c>
      <c r="H1718" s="9">
        <f t="shared" si="186"/>
        <v>-1.1828478359114933E-3</v>
      </c>
      <c r="I1718" s="9">
        <f t="shared" si="187"/>
        <v>-1.1162158986931362E-5</v>
      </c>
      <c r="J1718" s="9">
        <f t="shared" si="188"/>
        <v>17.28574360493927</v>
      </c>
    </row>
    <row r="1719" spans="2:10" x14ac:dyDescent="0.25">
      <c r="B1719" s="1">
        <v>41788</v>
      </c>
      <c r="C1719" s="13">
        <v>22.692</v>
      </c>
      <c r="D1719" s="6">
        <f t="shared" si="182"/>
        <v>1.8217715157497816E-2</v>
      </c>
      <c r="E1719" s="14">
        <f t="shared" si="183"/>
        <v>2.2615051534373369E-4</v>
      </c>
      <c r="F1719" s="9">
        <f t="shared" si="184"/>
        <v>17.446893000698054</v>
      </c>
      <c r="G1719" s="9">
        <f t="shared" si="185"/>
        <v>-6.4019991151724701E-2</v>
      </c>
      <c r="H1719" s="9">
        <f t="shared" si="186"/>
        <v>-1.236793686778417E-3</v>
      </c>
      <c r="I1719" s="9">
        <f t="shared" si="187"/>
        <v>-4.4438241856698777E-4</v>
      </c>
      <c r="J1719" s="9">
        <f t="shared" si="188"/>
        <v>17.381191833440983</v>
      </c>
    </row>
    <row r="1720" spans="2:10" x14ac:dyDescent="0.25">
      <c r="B1720" s="1">
        <v>41787</v>
      </c>
      <c r="C1720" s="13">
        <v>22.286000000000001</v>
      </c>
      <c r="D1720" s="6">
        <f t="shared" si="182"/>
        <v>-2.5957751521661354E-3</v>
      </c>
      <c r="E1720" s="14">
        <f t="shared" si="183"/>
        <v>2.2946320359342674E-4</v>
      </c>
      <c r="F1720" s="9">
        <f t="shared" si="184"/>
        <v>17.432351091669204</v>
      </c>
      <c r="G1720" s="9">
        <f t="shared" si="185"/>
        <v>-0.60152290906665973</v>
      </c>
      <c r="H1720" s="9">
        <f t="shared" si="186"/>
        <v>2.1992119712032087E-2</v>
      </c>
      <c r="I1720" s="9">
        <f t="shared" si="187"/>
        <v>-5.6133830795014716E-2</v>
      </c>
      <c r="J1720" s="9">
        <f t="shared" si="188"/>
        <v>16.796686471519561</v>
      </c>
    </row>
    <row r="1721" spans="2:10" x14ac:dyDescent="0.25">
      <c r="B1721" s="1">
        <v>41786</v>
      </c>
      <c r="C1721" s="13">
        <v>22.344000000000001</v>
      </c>
      <c r="D1721" s="6">
        <f t="shared" si="182"/>
        <v>1.8738886609219074E-2</v>
      </c>
      <c r="E1721" s="14">
        <f t="shared" si="183"/>
        <v>2.3015289836675752E-4</v>
      </c>
      <c r="F1721" s="9">
        <f t="shared" si="184"/>
        <v>17.429349911823383</v>
      </c>
      <c r="G1721" s="9">
        <f t="shared" si="185"/>
        <v>-3.8860150850655702E-2</v>
      </c>
      <c r="H1721" s="9">
        <f t="shared" si="186"/>
        <v>-2.0225345837591663E-3</v>
      </c>
      <c r="I1721" s="9">
        <f t="shared" si="187"/>
        <v>-4.9445300938980655E-3</v>
      </c>
      <c r="J1721" s="9">
        <f t="shared" si="188"/>
        <v>17.383522696295071</v>
      </c>
    </row>
    <row r="1722" spans="2:10" x14ac:dyDescent="0.25">
      <c r="B1722" s="1">
        <v>41782</v>
      </c>
      <c r="C1722" s="13">
        <v>21.933</v>
      </c>
      <c r="D1722" s="6">
        <f t="shared" si="182"/>
        <v>1.1296569531538125E-2</v>
      </c>
      <c r="E1722" s="14">
        <f t="shared" si="183"/>
        <v>2.3008709344348122E-4</v>
      </c>
      <c r="F1722" s="9">
        <f t="shared" si="184"/>
        <v>17.429635870996407</v>
      </c>
      <c r="G1722" s="9">
        <f t="shared" si="185"/>
        <v>-0.63817398501931644</v>
      </c>
      <c r="H1722" s="9">
        <f t="shared" si="186"/>
        <v>4.0428206499637164E-3</v>
      </c>
      <c r="I1722" s="9">
        <f t="shared" si="187"/>
        <v>-5.0456180910056286E-4</v>
      </c>
      <c r="J1722" s="9">
        <f t="shared" si="188"/>
        <v>16.795000144817951</v>
      </c>
    </row>
    <row r="1723" spans="2:10" x14ac:dyDescent="0.25">
      <c r="B1723" s="1">
        <v>41781</v>
      </c>
      <c r="C1723" s="13">
        <v>21.687999999999999</v>
      </c>
      <c r="D1723" s="6">
        <f t="shared" si="182"/>
        <v>1.5701487023183081E-3</v>
      </c>
      <c r="E1723" s="14">
        <f t="shared" si="183"/>
        <v>2.3342040195234543E-4</v>
      </c>
      <c r="F1723" s="9">
        <f t="shared" si="184"/>
        <v>17.415252647392833</v>
      </c>
      <c r="G1723" s="9">
        <f t="shared" si="185"/>
        <v>-0.20086182672993308</v>
      </c>
      <c r="H1723" s="9">
        <f t="shared" si="186"/>
        <v>1.2663342180751862E-2</v>
      </c>
      <c r="I1723" s="9">
        <f t="shared" si="187"/>
        <v>-5.5598920267739244E-2</v>
      </c>
      <c r="J1723" s="9">
        <f t="shared" si="188"/>
        <v>17.171455242575909</v>
      </c>
    </row>
    <row r="1724" spans="2:10" x14ac:dyDescent="0.25">
      <c r="B1724" s="1">
        <v>41780</v>
      </c>
      <c r="C1724" s="13">
        <v>21.654</v>
      </c>
      <c r="D1724" s="6">
        <f t="shared" si="182"/>
        <v>2.6392554521461609E-3</v>
      </c>
      <c r="E1724" s="14">
        <f t="shared" si="183"/>
        <v>2.3588108052418689E-4</v>
      </c>
      <c r="F1724" s="9">
        <f t="shared" si="184"/>
        <v>17.404765993445501</v>
      </c>
      <c r="G1724" s="9">
        <f t="shared" si="185"/>
        <v>-6.9559076411713012E-6</v>
      </c>
      <c r="H1724" s="9">
        <f t="shared" si="186"/>
        <v>-5.8484021421001675E-5</v>
      </c>
      <c r="I1724" s="9">
        <f t="shared" si="187"/>
        <v>-3.2290618136644654E-2</v>
      </c>
      <c r="J1724" s="9">
        <f t="shared" si="188"/>
        <v>17.372409935379796</v>
      </c>
    </row>
    <row r="1725" spans="2:10" x14ac:dyDescent="0.25">
      <c r="B1725" s="1">
        <v>41779</v>
      </c>
      <c r="C1725" s="13">
        <v>21.597000000000001</v>
      </c>
      <c r="D1725" s="6">
        <f t="shared" si="182"/>
        <v>1.8524521835794339E-4</v>
      </c>
      <c r="E1725" s="14">
        <f t="shared" si="183"/>
        <v>2.3619244051017584E-4</v>
      </c>
      <c r="F1725" s="9">
        <f t="shared" si="184"/>
        <v>17.403446876751747</v>
      </c>
      <c r="G1725" s="9">
        <f t="shared" si="185"/>
        <v>-2.174043224849835E-3</v>
      </c>
      <c r="H1725" s="9">
        <f t="shared" si="186"/>
        <v>3.5237743410328659E-4</v>
      </c>
      <c r="I1725" s="9">
        <f t="shared" si="187"/>
        <v>-2.0363965681129163E-3</v>
      </c>
      <c r="J1725" s="9">
        <f t="shared" si="188"/>
        <v>17.399588814392889</v>
      </c>
    </row>
    <row r="1726" spans="2:10" x14ac:dyDescent="0.25">
      <c r="B1726" s="1">
        <v>41778</v>
      </c>
      <c r="C1726" s="13">
        <v>21.593</v>
      </c>
      <c r="D1726" s="6">
        <f t="shared" si="182"/>
        <v>1.1855670103092741E-2</v>
      </c>
      <c r="E1726" s="14">
        <f t="shared" si="183"/>
        <v>2.363100953596057E-4</v>
      </c>
      <c r="F1726" s="9">
        <f t="shared" si="184"/>
        <v>17.40294886946954</v>
      </c>
      <c r="G1726" s="9">
        <f t="shared" si="185"/>
        <v>-4.4133046900870533E-3</v>
      </c>
      <c r="H1726" s="9">
        <f t="shared" si="186"/>
        <v>-4.1452767045913898E-4</v>
      </c>
      <c r="I1726" s="9">
        <f t="shared" si="187"/>
        <v>-1.0884527915900144E-3</v>
      </c>
      <c r="J1726" s="9">
        <f t="shared" si="188"/>
        <v>17.397032584317408</v>
      </c>
    </row>
    <row r="1727" spans="2:10" x14ac:dyDescent="0.25">
      <c r="B1727" s="1">
        <v>41775</v>
      </c>
      <c r="C1727" s="13">
        <v>21.34</v>
      </c>
      <c r="D1727" s="6">
        <f t="shared" si="182"/>
        <v>1.4789100765609353E-2</v>
      </c>
      <c r="E1727" s="14">
        <f t="shared" si="183"/>
        <v>2.3631905639153689E-4</v>
      </c>
      <c r="F1727" s="9">
        <f t="shared" si="184"/>
        <v>17.402910949540569</v>
      </c>
      <c r="G1727" s="9">
        <f t="shared" si="185"/>
        <v>-0.22200525364149362</v>
      </c>
      <c r="H1727" s="9">
        <f t="shared" si="186"/>
        <v>2.5921236189050656E-3</v>
      </c>
      <c r="I1727" s="9">
        <f t="shared" si="187"/>
        <v>-6.8613855589537203E-4</v>
      </c>
      <c r="J1727" s="9">
        <f t="shared" si="188"/>
        <v>17.182811680962082</v>
      </c>
    </row>
    <row r="1728" spans="2:10" x14ac:dyDescent="0.25">
      <c r="B1728" s="1">
        <v>41774</v>
      </c>
      <c r="C1728" s="13">
        <v>21.029</v>
      </c>
      <c r="D1728" s="6">
        <f t="shared" si="182"/>
        <v>-8.53371051390861E-3</v>
      </c>
      <c r="E1728" s="14">
        <f t="shared" si="183"/>
        <v>2.3562114047255691E-4</v>
      </c>
      <c r="F1728" s="9">
        <f t="shared" si="184"/>
        <v>17.405868597278058</v>
      </c>
      <c r="G1728" s="9">
        <f t="shared" si="185"/>
        <v>-0.36869429908360424</v>
      </c>
      <c r="H1728" s="9">
        <f t="shared" si="186"/>
        <v>4.2571479288303722E-4</v>
      </c>
      <c r="I1728" s="9">
        <f t="shared" si="187"/>
        <v>-3.2243421789596632E-4</v>
      </c>
      <c r="J1728" s="9">
        <f t="shared" si="188"/>
        <v>17.037277578769441</v>
      </c>
    </row>
    <row r="1729" spans="2:10" x14ac:dyDescent="0.25">
      <c r="B1729" s="1">
        <v>41773</v>
      </c>
      <c r="C1729" s="13">
        <v>21.21</v>
      </c>
      <c r="D1729" s="6">
        <f t="shared" si="182"/>
        <v>1.8862586060564013E-4</v>
      </c>
      <c r="E1729" s="14">
        <f t="shared" si="183"/>
        <v>2.3483541770409071E-4</v>
      </c>
      <c r="F1729" s="9">
        <f t="shared" si="184"/>
        <v>17.409208856799822</v>
      </c>
      <c r="G1729" s="9">
        <f t="shared" si="185"/>
        <v>-0.22047921211741492</v>
      </c>
      <c r="H1729" s="9">
        <f t="shared" si="186"/>
        <v>-4.8827416879309365E-5</v>
      </c>
      <c r="I1729" s="9">
        <f t="shared" si="187"/>
        <v>-5.4813255417888627E-4</v>
      </c>
      <c r="J1729" s="9">
        <f t="shared" si="188"/>
        <v>17.188132684711348</v>
      </c>
    </row>
    <row r="1730" spans="2:10" x14ac:dyDescent="0.25">
      <c r="B1730" s="1">
        <v>41772</v>
      </c>
      <c r="C1730" s="13">
        <v>21.206</v>
      </c>
      <c r="D1730" s="6">
        <f t="shared" si="182"/>
        <v>1.5585887687148414E-3</v>
      </c>
      <c r="E1730" s="14">
        <f t="shared" si="183"/>
        <v>2.3631138021976651E-4</v>
      </c>
      <c r="F1730" s="9">
        <f t="shared" si="184"/>
        <v>17.402943432305861</v>
      </c>
      <c r="G1730" s="9">
        <f t="shared" si="185"/>
        <v>-4.3926133364789038E-3</v>
      </c>
      <c r="H1730" s="9">
        <f t="shared" si="186"/>
        <v>-1.0250377406792409E-3</v>
      </c>
      <c r="I1730" s="9">
        <f t="shared" si="187"/>
        <v>-1.3904867062081737E-2</v>
      </c>
      <c r="J1730" s="9">
        <f t="shared" si="188"/>
        <v>17.383620914166624</v>
      </c>
    </row>
    <row r="1731" spans="2:10" x14ac:dyDescent="0.25">
      <c r="B1731" s="1">
        <v>41771</v>
      </c>
      <c r="C1731" s="13">
        <v>21.172999999999998</v>
      </c>
      <c r="D1731" s="6">
        <f t="shared" si="182"/>
        <v>1.2480872226472872E-2</v>
      </c>
      <c r="E1731" s="14">
        <f t="shared" si="183"/>
        <v>2.367290426229634E-4</v>
      </c>
      <c r="F1731" s="9">
        <f t="shared" si="184"/>
        <v>17.401177568368826</v>
      </c>
      <c r="G1731" s="9">
        <f t="shared" si="185"/>
        <v>-1.0015530246173116E-5</v>
      </c>
      <c r="H1731" s="9">
        <f t="shared" si="186"/>
        <v>-2.6173198305333856E-5</v>
      </c>
      <c r="I1731" s="9">
        <f t="shared" si="187"/>
        <v>-2.6688018962177894E-3</v>
      </c>
      <c r="J1731" s="9">
        <f t="shared" si="188"/>
        <v>17.398472577744059</v>
      </c>
    </row>
    <row r="1732" spans="2:10" x14ac:dyDescent="0.25">
      <c r="B1732" s="1">
        <v>41768</v>
      </c>
      <c r="C1732" s="13">
        <v>20.911999999999999</v>
      </c>
      <c r="D1732" s="6">
        <f t="shared" si="182"/>
        <v>-4.1904761904761889E-3</v>
      </c>
      <c r="E1732" s="14">
        <f t="shared" si="183"/>
        <v>2.3713929668449729E-4</v>
      </c>
      <c r="F1732" s="9">
        <f t="shared" si="184"/>
        <v>17.399446057187333</v>
      </c>
      <c r="G1732" s="9">
        <f t="shared" si="185"/>
        <v>-0.24911004495191283</v>
      </c>
      <c r="H1732" s="9">
        <f t="shared" si="186"/>
        <v>4.0991258137451619E-3</v>
      </c>
      <c r="I1732" s="9">
        <f t="shared" si="187"/>
        <v>-2.612332615406986E-3</v>
      </c>
      <c r="J1732" s="9">
        <f t="shared" si="188"/>
        <v>17.15182280543376</v>
      </c>
    </row>
    <row r="1733" spans="2:10" x14ac:dyDescent="0.25">
      <c r="B1733" s="1">
        <v>41767</v>
      </c>
      <c r="C1733" s="13">
        <v>21</v>
      </c>
      <c r="D1733" s="6">
        <f t="shared" si="182"/>
        <v>-7.3268730796502979E-3</v>
      </c>
      <c r="E1733" s="14">
        <f t="shared" si="183"/>
        <v>2.3690512917903196E-4</v>
      </c>
      <c r="F1733" s="9">
        <f t="shared" si="184"/>
        <v>17.400434013217343</v>
      </c>
      <c r="G1733" s="9">
        <f t="shared" si="185"/>
        <v>-7.1647347244539195E-2</v>
      </c>
      <c r="H1733" s="9">
        <f t="shared" si="186"/>
        <v>-1.0292556267875613E-3</v>
      </c>
      <c r="I1733" s="9">
        <f t="shared" si="187"/>
        <v>-1.1922154406014541E-4</v>
      </c>
      <c r="J1733" s="9">
        <f t="shared" si="188"/>
        <v>17.327638188801956</v>
      </c>
    </row>
    <row r="1734" spans="2:10" x14ac:dyDescent="0.25">
      <c r="B1734" s="1">
        <v>41766</v>
      </c>
      <c r="C1734" s="13">
        <v>21.155000000000001</v>
      </c>
      <c r="D1734" s="6">
        <f t="shared" si="182"/>
        <v>-3.4857977295208453E-3</v>
      </c>
      <c r="E1734" s="14">
        <f t="shared" si="183"/>
        <v>2.3630759005899038E-4</v>
      </c>
      <c r="F1734" s="9">
        <f t="shared" si="184"/>
        <v>17.402959471276006</v>
      </c>
      <c r="G1734" s="9">
        <f t="shared" si="185"/>
        <v>-0.17014974599470462</v>
      </c>
      <c r="H1734" s="9">
        <f t="shared" si="186"/>
        <v>-5.7002215184853125E-4</v>
      </c>
      <c r="I1734" s="9">
        <f t="shared" si="187"/>
        <v>-1.3748296966577351E-4</v>
      </c>
      <c r="J1734" s="9">
        <f t="shared" si="188"/>
        <v>17.232102220159785</v>
      </c>
    </row>
    <row r="1735" spans="2:10" x14ac:dyDescent="0.25">
      <c r="B1735" s="1">
        <v>41765</v>
      </c>
      <c r="C1735" s="13">
        <v>21.228999999999999</v>
      </c>
      <c r="D1735" s="6">
        <f t="shared" si="182"/>
        <v>-1.090248334342836E-2</v>
      </c>
      <c r="E1735" s="14">
        <f t="shared" si="183"/>
        <v>2.3626490366042871E-4</v>
      </c>
      <c r="F1735" s="9">
        <f t="shared" si="184"/>
        <v>17.403140126727791</v>
      </c>
      <c r="G1735" s="9">
        <f t="shared" si="185"/>
        <v>-5.5492020387267672E-2</v>
      </c>
      <c r="H1735" s="9">
        <f t="shared" si="186"/>
        <v>-1.2134538363617236E-3</v>
      </c>
      <c r="I1735" s="9">
        <f t="shared" si="187"/>
        <v>-5.2777283627081792E-4</v>
      </c>
      <c r="J1735" s="9">
        <f t="shared" si="188"/>
        <v>17.345906879667893</v>
      </c>
    </row>
    <row r="1736" spans="2:10" x14ac:dyDescent="0.25">
      <c r="B1736" s="1">
        <v>41764</v>
      </c>
      <c r="C1736" s="13">
        <v>21.463000000000001</v>
      </c>
      <c r="D1736" s="6">
        <f t="shared" si="182"/>
        <v>1.4127764127764175E-2</v>
      </c>
      <c r="E1736" s="14">
        <f t="shared" si="183"/>
        <v>2.3674974805669072E-4</v>
      </c>
      <c r="F1736" s="9">
        <f t="shared" si="184"/>
        <v>17.401090107497723</v>
      </c>
      <c r="G1736" s="9">
        <f t="shared" si="185"/>
        <v>-0.33254793325632231</v>
      </c>
      <c r="H1736" s="9">
        <f t="shared" si="186"/>
        <v>-5.031914528024246E-3</v>
      </c>
      <c r="I1736" s="9">
        <f t="shared" si="187"/>
        <v>-3.119521230683367E-3</v>
      </c>
      <c r="J1736" s="9">
        <f t="shared" si="188"/>
        <v>17.060390738482692</v>
      </c>
    </row>
    <row r="1737" spans="2:10" x14ac:dyDescent="0.25">
      <c r="B1737" s="1">
        <v>41761</v>
      </c>
      <c r="C1737" s="13">
        <v>21.164000000000001</v>
      </c>
      <c r="D1737" s="6">
        <f t="shared" si="182"/>
        <v>1.8935807612197042E-3</v>
      </c>
      <c r="E1737" s="14">
        <f t="shared" si="183"/>
        <v>2.3792911984392212E-4</v>
      </c>
      <c r="F1737" s="9">
        <f t="shared" si="184"/>
        <v>17.396120961855154</v>
      </c>
      <c r="G1737" s="9">
        <f t="shared" si="185"/>
        <v>-0.32934764254033166</v>
      </c>
      <c r="H1737" s="9">
        <f t="shared" si="186"/>
        <v>7.6933335806671811E-3</v>
      </c>
      <c r="I1737" s="9">
        <f t="shared" si="187"/>
        <v>-9.7751857020247444E-3</v>
      </c>
      <c r="J1737" s="9">
        <f t="shared" si="188"/>
        <v>17.064691467193466</v>
      </c>
    </row>
    <row r="1738" spans="2:10" x14ac:dyDescent="0.25">
      <c r="B1738" s="1">
        <v>41760</v>
      </c>
      <c r="C1738" s="13">
        <v>21.123999999999999</v>
      </c>
      <c r="D1738" s="6">
        <f t="shared" si="182"/>
        <v>2.3250296559904626E-3</v>
      </c>
      <c r="E1738" s="14">
        <f t="shared" si="183"/>
        <v>2.3872031602644711E-4</v>
      </c>
      <c r="F1738" s="9">
        <f t="shared" si="184"/>
        <v>17.392801134537013</v>
      </c>
      <c r="G1738" s="9">
        <f t="shared" si="185"/>
        <v>-1.4889641877653486E-4</v>
      </c>
      <c r="H1738" s="9">
        <f t="shared" si="186"/>
        <v>1.312978211929762E-4</v>
      </c>
      <c r="I1738" s="9">
        <f t="shared" si="187"/>
        <v>-5.5467393649451949E-3</v>
      </c>
      <c r="J1738" s="9">
        <f t="shared" si="188"/>
        <v>17.387236796574484</v>
      </c>
    </row>
    <row r="1739" spans="2:10" x14ac:dyDescent="0.25">
      <c r="B1739" s="1">
        <v>41759</v>
      </c>
      <c r="C1739" s="13">
        <v>21.074999999999999</v>
      </c>
      <c r="D1739" s="6">
        <f t="shared" si="182"/>
        <v>-3.7816119120775982E-3</v>
      </c>
      <c r="E1739" s="14">
        <f t="shared" si="183"/>
        <v>2.3881385022771312E-4</v>
      </c>
      <c r="F1739" s="9">
        <f t="shared" si="184"/>
        <v>17.392409396273777</v>
      </c>
      <c r="G1739" s="9">
        <f t="shared" si="185"/>
        <v>-1.0221328965100407E-3</v>
      </c>
      <c r="H1739" s="9">
        <f t="shared" si="186"/>
        <v>1.9323287308626029E-4</v>
      </c>
      <c r="I1739" s="9">
        <f t="shared" si="187"/>
        <v>-9.6475173326731343E-4</v>
      </c>
      <c r="J1739" s="9">
        <f t="shared" si="188"/>
        <v>17.390615744517088</v>
      </c>
    </row>
    <row r="1740" spans="2:10" x14ac:dyDescent="0.25">
      <c r="B1740" s="1">
        <v>41758</v>
      </c>
      <c r="C1740" s="13">
        <v>21.155000000000001</v>
      </c>
      <c r="D1740" s="6">
        <f t="shared" si="182"/>
        <v>-2.9691771137713152E-3</v>
      </c>
      <c r="E1740" s="14">
        <f t="shared" si="183"/>
        <v>2.3977268840260014E-4</v>
      </c>
      <c r="F1740" s="9">
        <f t="shared" si="184"/>
        <v>17.388402432515299</v>
      </c>
      <c r="G1740" s="9">
        <f t="shared" si="185"/>
        <v>-6.1190107254069995E-2</v>
      </c>
      <c r="H1740" s="9">
        <f t="shared" si="186"/>
        <v>-2.9354683494736238E-3</v>
      </c>
      <c r="I1740" s="9">
        <f t="shared" si="187"/>
        <v>-7.1589413610773514E-3</v>
      </c>
      <c r="J1740" s="9">
        <f t="shared" si="188"/>
        <v>17.317117915550678</v>
      </c>
    </row>
    <row r="1741" spans="2:10" x14ac:dyDescent="0.25">
      <c r="B1741" s="1">
        <v>41757</v>
      </c>
      <c r="C1741" s="13">
        <v>21.218</v>
      </c>
      <c r="D1741" s="6">
        <f t="shared" si="182"/>
        <v>3.8774111426613134E-2</v>
      </c>
      <c r="E1741" s="14">
        <f t="shared" si="183"/>
        <v>2.3995694064862758E-4</v>
      </c>
      <c r="F1741" s="9">
        <f t="shared" si="184"/>
        <v>17.387634282107534</v>
      </c>
      <c r="G1741" s="9">
        <f t="shared" si="185"/>
        <v>-4.4154948540992472E-2</v>
      </c>
      <c r="H1741" s="9">
        <f t="shared" si="186"/>
        <v>-1.3955047179017516E-3</v>
      </c>
      <c r="I1741" s="9">
        <f t="shared" si="187"/>
        <v>-1.332095004217104E-3</v>
      </c>
      <c r="J1741" s="9">
        <f t="shared" si="188"/>
        <v>17.340751733844424</v>
      </c>
    </row>
    <row r="1742" spans="2:10" x14ac:dyDescent="0.25">
      <c r="B1742" s="1">
        <v>41754</v>
      </c>
      <c r="C1742" s="13">
        <v>20.425999999999998</v>
      </c>
      <c r="D1742" s="6">
        <f t="shared" si="182"/>
        <v>7.2985501528750607E-3</v>
      </c>
      <c r="E1742" s="14">
        <f t="shared" si="183"/>
        <v>2.2828826344062914E-4</v>
      </c>
      <c r="F1742" s="9">
        <f t="shared" si="184"/>
        <v>17.437484631669406</v>
      </c>
      <c r="G1742" s="9">
        <f t="shared" si="185"/>
        <v>-3.031179315646984</v>
      </c>
      <c r="H1742" s="9">
        <f t="shared" si="186"/>
        <v>-0.13075828446235588</v>
      </c>
      <c r="I1742" s="9">
        <f t="shared" si="187"/>
        <v>-0.51174120607995977</v>
      </c>
      <c r="J1742" s="9">
        <f t="shared" si="188"/>
        <v>13.763805825480107</v>
      </c>
    </row>
    <row r="1743" spans="2:10" x14ac:dyDescent="0.25">
      <c r="B1743" s="1">
        <v>41753</v>
      </c>
      <c r="C1743" s="13">
        <v>20.277999999999999</v>
      </c>
      <c r="D1743" s="6">
        <f t="shared" si="182"/>
        <v>8.201269942905931E-2</v>
      </c>
      <c r="E1743" s="14">
        <f t="shared" si="183"/>
        <v>2.2982262116167317E-4</v>
      </c>
      <c r="F1743" s="9">
        <f t="shared" si="184"/>
        <v>17.43078597634344</v>
      </c>
      <c r="G1743" s="9">
        <f t="shared" si="185"/>
        <v>-7.0179558460082628E-2</v>
      </c>
      <c r="H1743" s="9">
        <f t="shared" si="186"/>
        <v>4.2611539339943178E-3</v>
      </c>
      <c r="I1743" s="9">
        <f t="shared" si="187"/>
        <v>-1.5364824633203102E-2</v>
      </c>
      <c r="J1743" s="9">
        <f t="shared" si="188"/>
        <v>17.34950274718415</v>
      </c>
    </row>
    <row r="1744" spans="2:10" x14ac:dyDescent="0.25">
      <c r="B1744" s="1">
        <v>41752</v>
      </c>
      <c r="C1744" s="13">
        <v>18.741</v>
      </c>
      <c r="D1744" s="6">
        <f t="shared" ref="D1744:D1807" si="189">C1744/C1745-1</f>
        <v>-1.3060192743167165E-2</v>
      </c>
      <c r="E1744" s="14">
        <f t="shared" ref="E1744:E1807" si="190">_xlfn.VAR.S(D1744:D1864)</f>
        <v>1.7973915767569319E-4</v>
      </c>
      <c r="F1744" s="9">
        <f t="shared" si="184"/>
        <v>17.676587099518265</v>
      </c>
      <c r="G1744" s="9">
        <f t="shared" si="185"/>
        <v>-18.028699119708488</v>
      </c>
      <c r="H1744" s="9">
        <f t="shared" si="186"/>
        <v>-1.6297508677050641</v>
      </c>
      <c r="I1744" s="9">
        <f t="shared" si="187"/>
        <v>-12.634325249475973</v>
      </c>
      <c r="J1744" s="9">
        <f t="shared" si="188"/>
        <v>-14.61618813737126</v>
      </c>
    </row>
    <row r="1745" spans="2:10" x14ac:dyDescent="0.25">
      <c r="B1745" s="1">
        <v>41751</v>
      </c>
      <c r="C1745" s="13">
        <v>18.989000000000001</v>
      </c>
      <c r="D1745" s="6">
        <f t="shared" si="189"/>
        <v>1.0015814443860016E-3</v>
      </c>
      <c r="E1745" s="14">
        <f t="shared" si="190"/>
        <v>1.7874823435229433E-4</v>
      </c>
      <c r="F1745" s="9">
        <f t="shared" ref="F1745:F1808" si="191">LN(2*PI())-LN($C$6)-LN(E1745)-0.5*LN(1-POWER($C$7,2))</f>
        <v>17.682115471612931</v>
      </c>
      <c r="G1745" s="9">
        <f t="shared" ref="G1745:G1808" si="192">-POWER(D1744-1-$C$3,2)/(2*E1745*(1-POWER($C$7,2)))</f>
        <v>-0.60521506226774746</v>
      </c>
      <c r="H1745" s="9">
        <f t="shared" ref="H1745:H1808" si="193">$C$7*(D1744-1-$C$3)*(E1744-E1745-$C$5*$C$4)/(E1745*$C$6*(1-POWER($C$7,2)))</f>
        <v>1.1540280147653186E-3</v>
      </c>
      <c r="I1745" s="9">
        <f t="shared" ref="I1745:I1808" si="194">-POWER(E1744-E1745-$C$5*$C$4+$C$4*E1745,2)/(2*POWER($C$6,2)*E1745*(1-POWER($C$7,2)))</f>
        <v>-1.2191168097452226E-3</v>
      </c>
      <c r="J1745" s="9">
        <f t="shared" ref="J1745:J1808" si="195">SUM(F1745:I1745)</f>
        <v>17.076835320550206</v>
      </c>
    </row>
    <row r="1746" spans="2:10" x14ac:dyDescent="0.25">
      <c r="B1746" s="1">
        <v>41750</v>
      </c>
      <c r="C1746" s="13">
        <v>18.97</v>
      </c>
      <c r="D1746" s="6">
        <f t="shared" si="189"/>
        <v>1.1841263068060437E-2</v>
      </c>
      <c r="E1746" s="14">
        <f t="shared" si="190"/>
        <v>1.7981379528312367E-4</v>
      </c>
      <c r="F1746" s="9">
        <f t="shared" si="191"/>
        <v>17.676171930582019</v>
      </c>
      <c r="G1746" s="9">
        <f t="shared" si="192"/>
        <v>-1.0920840921632695E-3</v>
      </c>
      <c r="H1746" s="9">
        <f t="shared" si="193"/>
        <v>-4.8031134916314943E-4</v>
      </c>
      <c r="I1746" s="9">
        <f t="shared" si="194"/>
        <v>-1.264821077756588E-2</v>
      </c>
      <c r="J1746" s="9">
        <f t="shared" si="195"/>
        <v>17.661951324363123</v>
      </c>
    </row>
    <row r="1747" spans="2:10" x14ac:dyDescent="0.25">
      <c r="B1747" s="1">
        <v>41746</v>
      </c>
      <c r="C1747" s="13">
        <v>18.748000000000001</v>
      </c>
      <c r="D1747" s="6">
        <f t="shared" si="189"/>
        <v>1.1437203280103558E-2</v>
      </c>
      <c r="E1747" s="14">
        <f t="shared" si="190"/>
        <v>1.8010141081022685E-4</v>
      </c>
      <c r="F1747" s="9">
        <f t="shared" si="191"/>
        <v>17.674573689754972</v>
      </c>
      <c r="G1747" s="9">
        <f t="shared" si="192"/>
        <v>-0.29048290103238489</v>
      </c>
      <c r="H1747" s="9">
        <f t="shared" si="193"/>
        <v>4.5649682265074508E-3</v>
      </c>
      <c r="I1747" s="9">
        <f t="shared" si="194"/>
        <v>-3.206277322991872E-3</v>
      </c>
      <c r="J1747" s="9">
        <f t="shared" si="195"/>
        <v>17.385449479626104</v>
      </c>
    </row>
    <row r="1748" spans="2:10" x14ac:dyDescent="0.25">
      <c r="B1748" s="1">
        <v>41745</v>
      </c>
      <c r="C1748" s="13">
        <v>18.536000000000001</v>
      </c>
      <c r="D1748" s="6">
        <f t="shared" si="189"/>
        <v>2.000108113952237E-3</v>
      </c>
      <c r="E1748" s="14">
        <f t="shared" si="190"/>
        <v>1.7981431775757284E-4</v>
      </c>
      <c r="F1748" s="9">
        <f t="shared" si="191"/>
        <v>17.67616902494461</v>
      </c>
      <c r="G1748" s="9">
        <f t="shared" si="192"/>
        <v>-0.26838246174845187</v>
      </c>
      <c r="H1748" s="9">
        <f t="shared" si="193"/>
        <v>2.0730217312219966E-3</v>
      </c>
      <c r="I1748" s="9">
        <f t="shared" si="194"/>
        <v>-2.405549291609055E-4</v>
      </c>
      <c r="J1748" s="9">
        <f t="shared" si="195"/>
        <v>17.409619029998218</v>
      </c>
    </row>
    <row r="1749" spans="2:10" x14ac:dyDescent="0.25">
      <c r="B1749" s="1">
        <v>41744</v>
      </c>
      <c r="C1749" s="13">
        <v>18.498999999999999</v>
      </c>
      <c r="D1749" s="6">
        <f t="shared" si="189"/>
        <v>-7.0849659170201251E-3</v>
      </c>
      <c r="E1749" s="14">
        <f t="shared" si="190"/>
        <v>1.7985306923424659E-4</v>
      </c>
      <c r="F1749" s="9">
        <f t="shared" si="191"/>
        <v>17.675953539870203</v>
      </c>
      <c r="G1749" s="9">
        <f t="shared" si="192"/>
        <v>-3.8742925409600677E-4</v>
      </c>
      <c r="H1749" s="9">
        <f t="shared" si="193"/>
        <v>1.2869085502116421E-4</v>
      </c>
      <c r="I1749" s="9">
        <f t="shared" si="194"/>
        <v>-1.5098365789510647E-3</v>
      </c>
      <c r="J1749" s="9">
        <f t="shared" si="195"/>
        <v>17.674184964892177</v>
      </c>
    </row>
    <row r="1750" spans="2:10" x14ac:dyDescent="0.25">
      <c r="B1750" s="1">
        <v>41743</v>
      </c>
      <c r="C1750" s="13">
        <v>18.631</v>
      </c>
      <c r="D1750" s="6">
        <f t="shared" si="189"/>
        <v>3.9336135359413493E-3</v>
      </c>
      <c r="E1750" s="14">
        <f t="shared" si="190"/>
        <v>1.8434251009982896E-4</v>
      </c>
      <c r="F1750" s="9">
        <f t="shared" si="191"/>
        <v>17.651298280230421</v>
      </c>
      <c r="G1750" s="9">
        <f t="shared" si="192"/>
        <v>-0.20648803260489518</v>
      </c>
      <c r="H1750" s="9">
        <f t="shared" si="193"/>
        <v>-1.8488134258383374E-2</v>
      </c>
      <c r="I1750" s="9">
        <f t="shared" si="194"/>
        <v>-0.1245556302428638</v>
      </c>
      <c r="J1750" s="9">
        <f t="shared" si="195"/>
        <v>17.301766483124279</v>
      </c>
    </row>
    <row r="1751" spans="2:10" x14ac:dyDescent="0.25">
      <c r="B1751" s="1">
        <v>41740</v>
      </c>
      <c r="C1751" s="13">
        <v>18.558</v>
      </c>
      <c r="D1751" s="6">
        <f t="shared" si="189"/>
        <v>-7.3812580231066294E-3</v>
      </c>
      <c r="E1751" s="14">
        <f t="shared" si="190"/>
        <v>1.8482100439063716E-4</v>
      </c>
      <c r="F1751" s="9">
        <f t="shared" si="191"/>
        <v>17.648705962517603</v>
      </c>
      <c r="G1751" s="9">
        <f t="shared" si="192"/>
        <v>-1.4431791985477215E-2</v>
      </c>
      <c r="H1751" s="9">
        <f t="shared" si="193"/>
        <v>1.180552399576062E-3</v>
      </c>
      <c r="I1751" s="9">
        <f t="shared" si="194"/>
        <v>-4.7388513548137935E-3</v>
      </c>
      <c r="J1751" s="9">
        <f t="shared" si="195"/>
        <v>17.630715871576889</v>
      </c>
    </row>
    <row r="1752" spans="2:10" x14ac:dyDescent="0.25">
      <c r="B1752" s="1">
        <v>41739</v>
      </c>
      <c r="C1752" s="13">
        <v>18.696000000000002</v>
      </c>
      <c r="D1752" s="6">
        <f t="shared" si="189"/>
        <v>-1.2882787750791991E-2</v>
      </c>
      <c r="E1752" s="14">
        <f t="shared" si="190"/>
        <v>1.8465469498512866E-4</v>
      </c>
      <c r="F1752" s="9">
        <f t="shared" si="191"/>
        <v>17.649606208011537</v>
      </c>
      <c r="G1752" s="9">
        <f t="shared" si="192"/>
        <v>-0.22039827134776219</v>
      </c>
      <c r="H1752" s="9">
        <f t="shared" si="193"/>
        <v>-2.2895121932235397E-3</v>
      </c>
      <c r="I1752" s="9">
        <f t="shared" si="194"/>
        <v>-5.4204876432202152E-4</v>
      </c>
      <c r="J1752" s="9">
        <f t="shared" si="195"/>
        <v>17.42637637570623</v>
      </c>
    </row>
    <row r="1753" spans="2:10" x14ac:dyDescent="0.25">
      <c r="B1753" s="1">
        <v>41738</v>
      </c>
      <c r="C1753" s="13">
        <v>18.940000000000001</v>
      </c>
      <c r="D1753" s="6">
        <f t="shared" si="189"/>
        <v>1.3159302449984089E-2</v>
      </c>
      <c r="E1753" s="14">
        <f t="shared" si="190"/>
        <v>1.8331435422602765E-4</v>
      </c>
      <c r="F1753" s="9">
        <f t="shared" si="191"/>
        <v>17.656891313592752</v>
      </c>
      <c r="G1753" s="9">
        <f t="shared" si="192"/>
        <v>-0.57596991374549611</v>
      </c>
      <c r="H1753" s="9">
        <f t="shared" si="193"/>
        <v>3.1567885604044808E-3</v>
      </c>
      <c r="I1753" s="9">
        <f t="shared" si="194"/>
        <v>-3.5783745068643001E-3</v>
      </c>
      <c r="J1753" s="9">
        <f t="shared" si="195"/>
        <v>17.080499813900794</v>
      </c>
    </row>
    <row r="1754" spans="2:10" x14ac:dyDescent="0.25">
      <c r="B1754" s="1">
        <v>41737</v>
      </c>
      <c r="C1754" s="13">
        <v>18.693999999999999</v>
      </c>
      <c r="D1754" s="6">
        <f t="shared" si="189"/>
        <v>-5.3490238031583814E-5</v>
      </c>
      <c r="E1754" s="14">
        <f t="shared" si="190"/>
        <v>1.8218027895918788E-4</v>
      </c>
      <c r="F1754" s="9">
        <f t="shared" si="191"/>
        <v>17.663097034844981</v>
      </c>
      <c r="G1754" s="9">
        <f t="shared" si="192"/>
        <v>-0.36606455993877196</v>
      </c>
      <c r="H1754" s="9">
        <f t="shared" si="193"/>
        <v>-1.5590463898810755E-3</v>
      </c>
      <c r="I1754" s="9">
        <f t="shared" si="194"/>
        <v>-2.0415596699920784E-3</v>
      </c>
      <c r="J1754" s="9">
        <f t="shared" si="195"/>
        <v>17.293431868846337</v>
      </c>
    </row>
    <row r="1755" spans="2:10" x14ac:dyDescent="0.25">
      <c r="B1755" s="1">
        <v>41736</v>
      </c>
      <c r="C1755" s="13">
        <v>18.695</v>
      </c>
      <c r="D1755" s="6">
        <f t="shared" si="189"/>
        <v>-1.5741813204169675E-2</v>
      </c>
      <c r="E1755" s="14">
        <f t="shared" si="190"/>
        <v>1.8247988187180937E-4</v>
      </c>
      <c r="F1755" s="9">
        <f t="shared" si="191"/>
        <v>17.661453844761638</v>
      </c>
      <c r="G1755" s="9">
        <f t="shared" si="192"/>
        <v>-7.7640895673870879E-3</v>
      </c>
      <c r="H1755" s="9">
        <f t="shared" si="193"/>
        <v>-7.4960073712589657E-4</v>
      </c>
      <c r="I1755" s="9">
        <f t="shared" si="194"/>
        <v>-3.2292727215662486E-3</v>
      </c>
      <c r="J1755" s="9">
        <f t="shared" si="195"/>
        <v>17.649710881735558</v>
      </c>
    </row>
    <row r="1756" spans="2:10" x14ac:dyDescent="0.25">
      <c r="B1756" s="1">
        <v>41733</v>
      </c>
      <c r="C1756" s="13">
        <v>18.994</v>
      </c>
      <c r="D1756" s="6">
        <f t="shared" si="189"/>
        <v>-1.2939770306085285E-2</v>
      </c>
      <c r="E1756" s="14">
        <f t="shared" si="190"/>
        <v>1.8051026473810136E-4</v>
      </c>
      <c r="F1756" s="9">
        <f t="shared" si="191"/>
        <v>17.672306130877736</v>
      </c>
      <c r="G1756" s="9">
        <f t="shared" si="192"/>
        <v>-0.83812559045286394</v>
      </c>
      <c r="H1756" s="9">
        <f t="shared" si="193"/>
        <v>8.3147570921648685E-3</v>
      </c>
      <c r="I1756" s="9">
        <f t="shared" si="194"/>
        <v>-1.1018296701010443E-2</v>
      </c>
      <c r="J1756" s="9">
        <f t="shared" si="195"/>
        <v>16.831477000816026</v>
      </c>
    </row>
    <row r="1757" spans="2:10" x14ac:dyDescent="0.25">
      <c r="B1757" s="1">
        <v>41732</v>
      </c>
      <c r="C1757" s="13">
        <v>19.242999999999999</v>
      </c>
      <c r="D1757" s="6">
        <f t="shared" si="189"/>
        <v>-6.9154151829489141E-3</v>
      </c>
      <c r="E1757" s="14">
        <f t="shared" si="190"/>
        <v>1.7916947697277136E-4</v>
      </c>
      <c r="F1757" s="9">
        <f t="shared" si="191"/>
        <v>17.679761618748746</v>
      </c>
      <c r="G1757" s="9">
        <f t="shared" si="192"/>
        <v>-0.5939318141728972</v>
      </c>
      <c r="H1757" s="9">
        <f t="shared" si="193"/>
        <v>3.2451882680904539E-3</v>
      </c>
      <c r="I1757" s="9">
        <f t="shared" si="194"/>
        <v>-3.6056609995430218E-3</v>
      </c>
      <c r="J1757" s="9">
        <f t="shared" si="195"/>
        <v>17.085469331844394</v>
      </c>
    </row>
    <row r="1758" spans="2:10" x14ac:dyDescent="0.25">
      <c r="B1758" s="1">
        <v>41731</v>
      </c>
      <c r="C1758" s="13">
        <v>19.376999999999999</v>
      </c>
      <c r="D1758" s="6">
        <f t="shared" si="189"/>
        <v>1.6541742052209596E-3</v>
      </c>
      <c r="E1758" s="14">
        <f t="shared" si="190"/>
        <v>1.796091210072694E-4</v>
      </c>
      <c r="F1758" s="9">
        <f t="shared" si="191"/>
        <v>17.677310835691856</v>
      </c>
      <c r="G1758" s="9">
        <f t="shared" si="192"/>
        <v>-0.20376129931736794</v>
      </c>
      <c r="H1758" s="9">
        <f t="shared" si="193"/>
        <v>-4.3632101288920092E-3</v>
      </c>
      <c r="I1758" s="9">
        <f t="shared" si="194"/>
        <v>-4.5782997411593198E-3</v>
      </c>
      <c r="J1758" s="9">
        <f t="shared" si="195"/>
        <v>17.464608026504436</v>
      </c>
    </row>
    <row r="1759" spans="2:10" x14ac:dyDescent="0.25">
      <c r="B1759" s="1">
        <v>41730</v>
      </c>
      <c r="C1759" s="13">
        <v>19.344999999999999</v>
      </c>
      <c r="D1759" s="6">
        <f t="shared" si="189"/>
        <v>9.1814909489278396E-3</v>
      </c>
      <c r="E1759" s="14">
        <f t="shared" si="190"/>
        <v>1.8148818014754141E-4</v>
      </c>
      <c r="F1759" s="9">
        <f t="shared" si="191"/>
        <v>17.666903246958604</v>
      </c>
      <c r="G1759" s="9">
        <f t="shared" si="192"/>
        <v>-1.9883704038398825E-6</v>
      </c>
      <c r="H1759" s="9">
        <f t="shared" si="193"/>
        <v>2.9290993989040025E-5</v>
      </c>
      <c r="I1759" s="9">
        <f t="shared" si="194"/>
        <v>-2.8827365728464872E-2</v>
      </c>
      <c r="J1759" s="9">
        <f t="shared" si="195"/>
        <v>17.638103183853726</v>
      </c>
    </row>
    <row r="1760" spans="2:10" x14ac:dyDescent="0.25">
      <c r="B1760" s="1">
        <v>41729</v>
      </c>
      <c r="C1760" s="13">
        <v>19.169</v>
      </c>
      <c r="D1760" s="6">
        <f t="shared" si="189"/>
        <v>-2.6076979242717346E-4</v>
      </c>
      <c r="E1760" s="14">
        <f t="shared" si="190"/>
        <v>1.8157560405736593E-4</v>
      </c>
      <c r="F1760" s="9">
        <f t="shared" si="191"/>
        <v>17.6664216571371</v>
      </c>
      <c r="G1760" s="9">
        <f t="shared" si="192"/>
        <v>-0.15760358039341726</v>
      </c>
      <c r="H1760" s="9">
        <f t="shared" si="193"/>
        <v>2.7329683968849885E-3</v>
      </c>
      <c r="I1760" s="9">
        <f t="shared" si="194"/>
        <v>-1.758990234131289E-3</v>
      </c>
      <c r="J1760" s="9">
        <f t="shared" si="195"/>
        <v>17.509792054906438</v>
      </c>
    </row>
    <row r="1761" spans="2:10" x14ac:dyDescent="0.25">
      <c r="B1761" s="1">
        <v>41726</v>
      </c>
      <c r="C1761" s="13">
        <v>19.173999999999999</v>
      </c>
      <c r="D1761" s="6">
        <f t="shared" si="189"/>
        <v>-1.0940349049232134E-3</v>
      </c>
      <c r="E1761" s="14">
        <f t="shared" si="190"/>
        <v>1.8158932530303295E-4</v>
      </c>
      <c r="F1761" s="9">
        <f t="shared" si="191"/>
        <v>17.666346092320325</v>
      </c>
      <c r="G1761" s="9">
        <f t="shared" si="192"/>
        <v>-9.8451309674962174E-3</v>
      </c>
      <c r="H1761" s="9">
        <f t="shared" si="193"/>
        <v>-6.2637441903661819E-4</v>
      </c>
      <c r="I1761" s="9">
        <f t="shared" si="194"/>
        <v>-1.3454377350567994E-3</v>
      </c>
      <c r="J1761" s="9">
        <f t="shared" si="195"/>
        <v>17.654529149198737</v>
      </c>
    </row>
    <row r="1762" spans="2:10" x14ac:dyDescent="0.25">
      <c r="B1762" s="1">
        <v>41725</v>
      </c>
      <c r="C1762" s="13">
        <v>19.195</v>
      </c>
      <c r="D1762" s="6">
        <f t="shared" si="189"/>
        <v>-4.3054258740532481E-3</v>
      </c>
      <c r="E1762" s="14">
        <f t="shared" si="190"/>
        <v>1.8306041091364534E-4</v>
      </c>
      <c r="F1762" s="9">
        <f t="shared" si="191"/>
        <v>17.658277562740956</v>
      </c>
      <c r="G1762" s="9">
        <f t="shared" si="192"/>
        <v>-2.0287961003616736E-2</v>
      </c>
      <c r="H1762" s="9">
        <f t="shared" si="193"/>
        <v>-2.4975343744669423E-3</v>
      </c>
      <c r="I1762" s="9">
        <f t="shared" si="194"/>
        <v>-1.9568893139836566E-2</v>
      </c>
      <c r="J1762" s="9">
        <f t="shared" si="195"/>
        <v>17.615923174223035</v>
      </c>
    </row>
    <row r="1763" spans="2:10" x14ac:dyDescent="0.25">
      <c r="B1763" s="1">
        <v>41724</v>
      </c>
      <c r="C1763" s="13">
        <v>19.277999999999999</v>
      </c>
      <c r="D1763" s="6">
        <f t="shared" si="189"/>
        <v>-9.5561035758322532E-3</v>
      </c>
      <c r="E1763" s="14">
        <f t="shared" si="190"/>
        <v>1.8288204347358204E-4</v>
      </c>
      <c r="F1763" s="9">
        <f t="shared" si="191"/>
        <v>17.659252401555367</v>
      </c>
      <c r="G1763" s="9">
        <f t="shared" si="192"/>
        <v>-9.6515689104036323E-2</v>
      </c>
      <c r="H1763" s="9">
        <f t="shared" si="193"/>
        <v>-1.4934889937869031E-3</v>
      </c>
      <c r="I1763" s="9">
        <f t="shared" si="194"/>
        <v>-5.1737816829245092E-4</v>
      </c>
      <c r="J1763" s="9">
        <f t="shared" si="195"/>
        <v>17.560725845289248</v>
      </c>
    </row>
    <row r="1764" spans="2:10" x14ac:dyDescent="0.25">
      <c r="B1764" s="1">
        <v>41723</v>
      </c>
      <c r="C1764" s="13">
        <v>19.463999999999999</v>
      </c>
      <c r="D1764" s="6">
        <f t="shared" si="189"/>
        <v>1.0749337903100065E-2</v>
      </c>
      <c r="E1764" s="14">
        <f t="shared" si="190"/>
        <v>1.861344623510357E-4</v>
      </c>
      <c r="F1764" s="9">
        <f t="shared" si="191"/>
        <v>17.641624446987684</v>
      </c>
      <c r="G1764" s="9">
        <f t="shared" si="192"/>
        <v>-0.33695993743223346</v>
      </c>
      <c r="H1764" s="9">
        <f t="shared" si="193"/>
        <v>-1.8007911831061676E-2</v>
      </c>
      <c r="I1764" s="9">
        <f t="shared" si="194"/>
        <v>-6.9624658775265538E-2</v>
      </c>
      <c r="J1764" s="9">
        <f t="shared" si="195"/>
        <v>17.217031938949123</v>
      </c>
    </row>
    <row r="1765" spans="2:10" x14ac:dyDescent="0.25">
      <c r="B1765" s="1">
        <v>41722</v>
      </c>
      <c r="C1765" s="13">
        <v>19.257000000000001</v>
      </c>
      <c r="D1765" s="6">
        <f t="shared" si="189"/>
        <v>1.1875361252693173E-2</v>
      </c>
      <c r="E1765" s="14">
        <f t="shared" si="190"/>
        <v>1.868816005140379E-4</v>
      </c>
      <c r="F1765" s="9">
        <f t="shared" si="191"/>
        <v>17.637618511391207</v>
      </c>
      <c r="G1765" s="9">
        <f t="shared" si="192"/>
        <v>-0.22328822679801882</v>
      </c>
      <c r="H1765" s="9">
        <f t="shared" si="193"/>
        <v>5.587566934561564E-3</v>
      </c>
      <c r="I1765" s="9">
        <f t="shared" si="194"/>
        <v>-7.5876350121077667E-3</v>
      </c>
      <c r="J1765" s="9">
        <f t="shared" si="195"/>
        <v>17.412330216515642</v>
      </c>
    </row>
    <row r="1766" spans="2:10" x14ac:dyDescent="0.25">
      <c r="B1766" s="1">
        <v>41719</v>
      </c>
      <c r="C1766" s="13">
        <v>19.030999999999999</v>
      </c>
      <c r="D1766" s="6">
        <f t="shared" si="189"/>
        <v>7.8911132295307329E-3</v>
      </c>
      <c r="E1766" s="14">
        <f t="shared" si="190"/>
        <v>1.864259796726884E-4</v>
      </c>
      <c r="F1766" s="9">
        <f t="shared" si="191"/>
        <v>17.640059506922853</v>
      </c>
      <c r="G1766" s="9">
        <f t="shared" si="192"/>
        <v>-0.28250499207043478</v>
      </c>
      <c r="H1766" s="9">
        <f t="shared" si="193"/>
        <v>1.4037955865454541E-3</v>
      </c>
      <c r="I1766" s="9">
        <f t="shared" si="194"/>
        <v>-6.7539334063437227E-6</v>
      </c>
      <c r="J1766" s="9">
        <f t="shared" si="195"/>
        <v>17.358951556505556</v>
      </c>
    </row>
    <row r="1767" spans="2:10" x14ac:dyDescent="0.25">
      <c r="B1767" s="1">
        <v>41718</v>
      </c>
      <c r="C1767" s="13">
        <v>18.882000000000001</v>
      </c>
      <c r="D1767" s="6">
        <f t="shared" si="189"/>
        <v>-4.8487403815746788E-3</v>
      </c>
      <c r="E1767" s="14">
        <f t="shared" si="190"/>
        <v>1.8666680079658276E-4</v>
      </c>
      <c r="F1767" s="9">
        <f t="shared" si="191"/>
        <v>17.63876856177491</v>
      </c>
      <c r="G1767" s="9">
        <f t="shared" si="192"/>
        <v>-0.10540398227912597</v>
      </c>
      <c r="H1767" s="9">
        <f t="shared" si="193"/>
        <v>2.5849333389472368E-3</v>
      </c>
      <c r="I1767" s="9">
        <f t="shared" si="194"/>
        <v>-2.6587625345196875E-3</v>
      </c>
      <c r="J1767" s="9">
        <f t="shared" si="195"/>
        <v>17.533290750300214</v>
      </c>
    </row>
    <row r="1768" spans="2:10" x14ac:dyDescent="0.25">
      <c r="B1768" s="1">
        <v>41717</v>
      </c>
      <c r="C1768" s="13">
        <v>18.974</v>
      </c>
      <c r="D1768" s="6">
        <f t="shared" si="189"/>
        <v>-2.634490752937424E-4</v>
      </c>
      <c r="E1768" s="14">
        <f t="shared" si="190"/>
        <v>1.8860721758905583E-4</v>
      </c>
      <c r="F1768" s="9">
        <f t="shared" si="191"/>
        <v>17.628427136626655</v>
      </c>
      <c r="G1768" s="9">
        <f t="shared" si="192"/>
        <v>-0.11151174355779608</v>
      </c>
      <c r="H1768" s="9">
        <f t="shared" si="193"/>
        <v>-6.9601970509049552E-3</v>
      </c>
      <c r="I1768" s="9">
        <f t="shared" si="194"/>
        <v>-2.8907124168436948E-2</v>
      </c>
      <c r="J1768" s="9">
        <f t="shared" si="195"/>
        <v>17.481048071849518</v>
      </c>
    </row>
    <row r="1769" spans="2:10" x14ac:dyDescent="0.25">
      <c r="B1769" s="1">
        <v>41716</v>
      </c>
      <c r="C1769" s="13">
        <v>18.978999999999999</v>
      </c>
      <c r="D1769" s="6">
        <f t="shared" si="189"/>
        <v>8.8773123538166132E-3</v>
      </c>
      <c r="E1769" s="14">
        <f t="shared" si="190"/>
        <v>1.8872547299228769E-4</v>
      </c>
      <c r="F1769" s="9">
        <f t="shared" si="191"/>
        <v>17.627800340114952</v>
      </c>
      <c r="G1769" s="9">
        <f t="shared" si="192"/>
        <v>-9.4997672292076122E-3</v>
      </c>
      <c r="H1769" s="9">
        <f t="shared" si="193"/>
        <v>-6.8098532418042984E-4</v>
      </c>
      <c r="I1769" s="9">
        <f t="shared" si="194"/>
        <v>-1.8035011268384775E-3</v>
      </c>
      <c r="J1769" s="9">
        <f t="shared" si="195"/>
        <v>17.615816086434723</v>
      </c>
    </row>
    <row r="1770" spans="2:10" x14ac:dyDescent="0.25">
      <c r="B1770" s="1">
        <v>41715</v>
      </c>
      <c r="C1770" s="13">
        <v>18.812000000000001</v>
      </c>
      <c r="D1770" s="6">
        <f t="shared" si="189"/>
        <v>3.8956187630077022E-3</v>
      </c>
      <c r="E1770" s="14">
        <f t="shared" si="190"/>
        <v>2.0804193715665397E-4</v>
      </c>
      <c r="F1770" s="9">
        <f t="shared" si="191"/>
        <v>17.530354095064862</v>
      </c>
      <c r="G1770" s="9">
        <f t="shared" si="192"/>
        <v>-0.12669924561523158</v>
      </c>
      <c r="H1770" s="9">
        <f t="shared" si="193"/>
        <v>5.1838484012893912E-2</v>
      </c>
      <c r="I1770" s="9">
        <f t="shared" si="194"/>
        <v>-1.7361565860547123</v>
      </c>
      <c r="J1770" s="9">
        <f t="shared" si="195"/>
        <v>15.719336747407812</v>
      </c>
    </row>
    <row r="1771" spans="2:10" x14ac:dyDescent="0.25">
      <c r="B1771" s="1">
        <v>41712</v>
      </c>
      <c r="C1771" s="13">
        <v>18.739000000000001</v>
      </c>
      <c r="D1771" s="6">
        <f t="shared" si="189"/>
        <v>-1.1238919375263667E-2</v>
      </c>
      <c r="E1771" s="14">
        <f t="shared" si="190"/>
        <v>2.0905818140336919E-4</v>
      </c>
      <c r="F1771" s="9">
        <f t="shared" si="191"/>
        <v>17.525481182244125</v>
      </c>
      <c r="G1771" s="9">
        <f t="shared" si="192"/>
        <v>-1.2341717038147546E-2</v>
      </c>
      <c r="H1771" s="9">
        <f t="shared" si="193"/>
        <v>1.4579128087551603E-3</v>
      </c>
      <c r="I1771" s="9">
        <f t="shared" si="194"/>
        <v>-9.5662509276386032E-3</v>
      </c>
      <c r="J1771" s="9">
        <f t="shared" si="195"/>
        <v>17.505031127087097</v>
      </c>
    </row>
    <row r="1772" spans="2:10" x14ac:dyDescent="0.25">
      <c r="B1772" s="1">
        <v>41711</v>
      </c>
      <c r="C1772" s="13">
        <v>18.951999999999998</v>
      </c>
      <c r="D1772" s="6">
        <f t="shared" si="189"/>
        <v>-1.1114009913905654E-2</v>
      </c>
      <c r="E1772" s="14">
        <f t="shared" si="190"/>
        <v>2.0974280254487595E-4</v>
      </c>
      <c r="F1772" s="9">
        <f t="shared" si="191"/>
        <v>17.52221174507666</v>
      </c>
      <c r="G1772" s="9">
        <f t="shared" si="192"/>
        <v>-0.39579600336919507</v>
      </c>
      <c r="H1772" s="9">
        <f t="shared" si="193"/>
        <v>-6.7385031404675454E-3</v>
      </c>
      <c r="I1772" s="9">
        <f t="shared" si="194"/>
        <v>-5.7098631112772642E-3</v>
      </c>
      <c r="J1772" s="9">
        <f t="shared" si="195"/>
        <v>17.113967375455719</v>
      </c>
    </row>
    <row r="1773" spans="2:10" x14ac:dyDescent="0.25">
      <c r="B1773" s="1">
        <v>41710</v>
      </c>
      <c r="C1773" s="13">
        <v>19.164999999999999</v>
      </c>
      <c r="D1773" s="6">
        <f t="shared" si="189"/>
        <v>9.9237438629473651E-4</v>
      </c>
      <c r="E1773" s="14">
        <f t="shared" si="190"/>
        <v>2.1154528788925526E-4</v>
      </c>
      <c r="F1773" s="9">
        <f t="shared" si="191"/>
        <v>17.513654672688514</v>
      </c>
      <c r="G1773" s="9">
        <f t="shared" si="192"/>
        <v>-0.38484106003111723</v>
      </c>
      <c r="H1773" s="9">
        <f t="shared" si="193"/>
        <v>-1.1594695421995723E-2</v>
      </c>
      <c r="I1773" s="9">
        <f t="shared" si="194"/>
        <v>-2.2175938913575353E-2</v>
      </c>
      <c r="J1773" s="9">
        <f t="shared" si="195"/>
        <v>17.095042978321825</v>
      </c>
    </row>
    <row r="1774" spans="2:10" x14ac:dyDescent="0.25">
      <c r="B1774" s="1">
        <v>41709</v>
      </c>
      <c r="C1774" s="13">
        <v>19.146000000000001</v>
      </c>
      <c r="D1774" s="6">
        <f t="shared" si="189"/>
        <v>9.7568693634302317E-3</v>
      </c>
      <c r="E1774" s="14">
        <f t="shared" si="190"/>
        <v>2.1237633651986288E-4</v>
      </c>
      <c r="F1774" s="9">
        <f t="shared" si="191"/>
        <v>17.509733902209444</v>
      </c>
      <c r="G1774" s="9">
        <f t="shared" si="192"/>
        <v>-9.5204967236434688E-4</v>
      </c>
      <c r="H1774" s="9">
        <f t="shared" si="193"/>
        <v>-3.6080574795502378E-4</v>
      </c>
      <c r="I1774" s="9">
        <f t="shared" si="194"/>
        <v>-7.1341206803083486E-3</v>
      </c>
      <c r="J1774" s="9">
        <f t="shared" si="195"/>
        <v>17.501286926108815</v>
      </c>
    </row>
    <row r="1775" spans="2:10" x14ac:dyDescent="0.25">
      <c r="B1775" s="1">
        <v>41708</v>
      </c>
      <c r="C1775" s="13">
        <v>18.960999999999999</v>
      </c>
      <c r="D1775" s="6">
        <f t="shared" si="189"/>
        <v>8.9738175675679877E-4</v>
      </c>
      <c r="E1775" s="14">
        <f t="shared" si="190"/>
        <v>2.2096558091297573E-4</v>
      </c>
      <c r="F1775" s="9">
        <f t="shared" si="191"/>
        <v>17.470086828475452</v>
      </c>
      <c r="G1775" s="9">
        <f t="shared" si="192"/>
        <v>-0.1499886889565368</v>
      </c>
      <c r="H1775" s="9">
        <f t="shared" si="193"/>
        <v>2.5545295446588498E-2</v>
      </c>
      <c r="I1775" s="9">
        <f t="shared" si="194"/>
        <v>-0.34050147170191758</v>
      </c>
      <c r="J1775" s="9">
        <f t="shared" si="195"/>
        <v>17.005141963263586</v>
      </c>
    </row>
    <row r="1776" spans="2:10" x14ac:dyDescent="0.25">
      <c r="B1776" s="1">
        <v>41705</v>
      </c>
      <c r="C1776" s="13">
        <v>18.943999999999999</v>
      </c>
      <c r="D1776" s="6">
        <f t="shared" si="189"/>
        <v>-5.8032181482459144E-4</v>
      </c>
      <c r="E1776" s="14">
        <f t="shared" si="190"/>
        <v>2.2354753478971137E-4</v>
      </c>
      <c r="F1776" s="9">
        <f t="shared" si="191"/>
        <v>17.458469700326326</v>
      </c>
      <c r="G1776" s="9">
        <f t="shared" si="192"/>
        <v>-1.1953357293760067E-3</v>
      </c>
      <c r="H1776" s="9">
        <f t="shared" si="193"/>
        <v>-8.1681156503704197E-4</v>
      </c>
      <c r="I1776" s="9">
        <f t="shared" si="194"/>
        <v>-3.7517510380197697E-2</v>
      </c>
      <c r="J1776" s="9">
        <f t="shared" si="195"/>
        <v>17.418940042651712</v>
      </c>
    </row>
    <row r="1777" spans="2:10" x14ac:dyDescent="0.25">
      <c r="B1777" s="1">
        <v>41704</v>
      </c>
      <c r="C1777" s="13">
        <v>18.954999999999998</v>
      </c>
      <c r="D1777" s="6">
        <f t="shared" si="189"/>
        <v>-3.050544364382457E-3</v>
      </c>
      <c r="E1777" s="14">
        <f t="shared" si="190"/>
        <v>2.2428291021512771E-4</v>
      </c>
      <c r="F1777" s="9">
        <f t="shared" si="191"/>
        <v>17.455185528405519</v>
      </c>
      <c r="G1777" s="9">
        <f t="shared" si="192"/>
        <v>-1.089746909727222E-2</v>
      </c>
      <c r="H1777" s="9">
        <f t="shared" si="193"/>
        <v>-1.1182153040238936E-3</v>
      </c>
      <c r="I1777" s="9">
        <f t="shared" si="194"/>
        <v>-5.593042231112684E-3</v>
      </c>
      <c r="J1777" s="9">
        <f t="shared" si="195"/>
        <v>17.437576801773108</v>
      </c>
    </row>
    <row r="1778" spans="2:10" x14ac:dyDescent="0.25">
      <c r="B1778" s="1">
        <v>41703</v>
      </c>
      <c r="C1778" s="13">
        <v>19.013000000000002</v>
      </c>
      <c r="D1778" s="6">
        <f t="shared" si="189"/>
        <v>2.1082591050440858E-3</v>
      </c>
      <c r="E1778" s="14">
        <f t="shared" si="190"/>
        <v>2.4972626389617236E-4</v>
      </c>
      <c r="F1778" s="9">
        <f t="shared" si="191"/>
        <v>17.347728401831496</v>
      </c>
      <c r="G1778" s="9">
        <f t="shared" si="192"/>
        <v>-4.394299479792161E-2</v>
      </c>
      <c r="H1778" s="9">
        <f t="shared" si="193"/>
        <v>-3.6350983340792821E-2</v>
      </c>
      <c r="I1778" s="9">
        <f t="shared" si="194"/>
        <v>-2.4683559210733894</v>
      </c>
      <c r="J1778" s="9">
        <f t="shared" si="195"/>
        <v>14.799078502619395</v>
      </c>
    </row>
    <row r="1779" spans="2:10" x14ac:dyDescent="0.25">
      <c r="B1779" s="1">
        <v>41702</v>
      </c>
      <c r="C1779" s="13">
        <v>18.972999999999999</v>
      </c>
      <c r="D1779" s="6">
        <f t="shared" si="189"/>
        <v>6.5785983341291043E-3</v>
      </c>
      <c r="E1779" s="14">
        <f t="shared" si="190"/>
        <v>2.5427886238865689E-4</v>
      </c>
      <c r="F1779" s="9">
        <f t="shared" si="191"/>
        <v>17.329662227183668</v>
      </c>
      <c r="G1779" s="9">
        <f t="shared" si="192"/>
        <v>-4.5611165181305404E-4</v>
      </c>
      <c r="H1779" s="9">
        <f t="shared" si="193"/>
        <v>7.4867407200946302E-4</v>
      </c>
      <c r="I1779" s="9">
        <f t="shared" si="194"/>
        <v>-8.8404396021760492E-2</v>
      </c>
      <c r="J1779" s="9">
        <f t="shared" si="195"/>
        <v>17.241550393582102</v>
      </c>
    </row>
    <row r="1780" spans="2:10" x14ac:dyDescent="0.25">
      <c r="B1780" s="1">
        <v>41701</v>
      </c>
      <c r="C1780" s="13">
        <v>18.849</v>
      </c>
      <c r="D1780" s="6">
        <f t="shared" si="189"/>
        <v>2.9264658933703114E-3</v>
      </c>
      <c r="E1780" s="14">
        <f t="shared" si="190"/>
        <v>2.55952542468158E-4</v>
      </c>
      <c r="F1780" s="9">
        <f t="shared" si="191"/>
        <v>17.323101729078235</v>
      </c>
      <c r="G1780" s="9">
        <f t="shared" si="192"/>
        <v>-4.8031201668795515E-2</v>
      </c>
      <c r="H1780" s="9">
        <f t="shared" si="193"/>
        <v>3.5396971915744924E-3</v>
      </c>
      <c r="I1780" s="9">
        <f t="shared" si="194"/>
        <v>-1.5185699858760318E-2</v>
      </c>
      <c r="J1780" s="9">
        <f t="shared" si="195"/>
        <v>17.263424524742252</v>
      </c>
    </row>
    <row r="1781" spans="2:10" x14ac:dyDescent="0.25">
      <c r="B1781" s="1">
        <v>41698</v>
      </c>
      <c r="C1781" s="13">
        <v>18.794</v>
      </c>
      <c r="D1781" s="6">
        <f t="shared" si="189"/>
        <v>-2.7062881400901073E-3</v>
      </c>
      <c r="E1781" s="14">
        <f t="shared" si="190"/>
        <v>2.5614890839324028E-4</v>
      </c>
      <c r="F1781" s="9">
        <f t="shared" si="191"/>
        <v>17.32233482660461</v>
      </c>
      <c r="G1781" s="9">
        <f t="shared" si="192"/>
        <v>-3.3041317217313297E-3</v>
      </c>
      <c r="H1781" s="9">
        <f t="shared" si="193"/>
        <v>3.7402262596093359E-4</v>
      </c>
      <c r="I1781" s="9">
        <f t="shared" si="194"/>
        <v>-1.1863960503002483E-3</v>
      </c>
      <c r="J1781" s="9">
        <f t="shared" si="195"/>
        <v>17.318218321458541</v>
      </c>
    </row>
    <row r="1782" spans="2:10" x14ac:dyDescent="0.25">
      <c r="B1782" s="1">
        <v>41697</v>
      </c>
      <c r="C1782" s="13">
        <v>18.844999999999999</v>
      </c>
      <c r="D1782" s="6">
        <f t="shared" si="189"/>
        <v>1.9916653136331508E-2</v>
      </c>
      <c r="E1782" s="14">
        <f t="shared" si="190"/>
        <v>2.5652122459660125E-4</v>
      </c>
      <c r="F1782" s="9">
        <f t="shared" si="191"/>
        <v>17.320882367236074</v>
      </c>
      <c r="G1782" s="9">
        <f t="shared" si="192"/>
        <v>-3.6714280199619274E-2</v>
      </c>
      <c r="H1782" s="9">
        <f t="shared" si="193"/>
        <v>-1.4656588237222199E-3</v>
      </c>
      <c r="I1782" s="9">
        <f t="shared" si="194"/>
        <v>-2.0196997281499238E-3</v>
      </c>
      <c r="J1782" s="9">
        <f t="shared" si="195"/>
        <v>17.280682728484582</v>
      </c>
    </row>
    <row r="1783" spans="2:10" x14ac:dyDescent="0.25">
      <c r="B1783" s="1">
        <v>41696</v>
      </c>
      <c r="C1783" s="13">
        <v>18.477</v>
      </c>
      <c r="D1783" s="6">
        <f t="shared" si="189"/>
        <v>-9.0104585679806615E-3</v>
      </c>
      <c r="E1783" s="14">
        <f t="shared" si="190"/>
        <v>2.5677481801367788E-4</v>
      </c>
      <c r="F1783" s="9">
        <f t="shared" si="191"/>
        <v>17.319894269075718</v>
      </c>
      <c r="G1783" s="9">
        <f t="shared" si="192"/>
        <v>-0.65327376130703463</v>
      </c>
      <c r="H1783" s="9">
        <f t="shared" si="193"/>
        <v>5.5541518618459837E-3</v>
      </c>
      <c r="I1783" s="9">
        <f t="shared" si="194"/>
        <v>-1.4267661728684256E-3</v>
      </c>
      <c r="J1783" s="9">
        <f t="shared" si="195"/>
        <v>16.670747893457662</v>
      </c>
    </row>
    <row r="1784" spans="2:10" x14ac:dyDescent="0.25">
      <c r="B1784" s="1">
        <v>41695</v>
      </c>
      <c r="C1784" s="13">
        <v>18.645</v>
      </c>
      <c r="D1784" s="6">
        <f t="shared" si="189"/>
        <v>-1.0402844859614735E-2</v>
      </c>
      <c r="E1784" s="14">
        <f t="shared" si="190"/>
        <v>2.5603403377008209E-4</v>
      </c>
      <c r="F1784" s="9">
        <f t="shared" si="191"/>
        <v>17.322783395331243</v>
      </c>
      <c r="G1784" s="9">
        <f t="shared" si="192"/>
        <v>-0.22164595898056075</v>
      </c>
      <c r="H1784" s="9">
        <f t="shared" si="193"/>
        <v>-1.8494590313770129E-4</v>
      </c>
      <c r="I1784" s="9">
        <f t="shared" si="194"/>
        <v>-4.7652705920784135E-4</v>
      </c>
      <c r="J1784" s="9">
        <f t="shared" si="195"/>
        <v>17.100475963388337</v>
      </c>
    </row>
    <row r="1785" spans="2:10" x14ac:dyDescent="0.25">
      <c r="B1785" s="1">
        <v>41694</v>
      </c>
      <c r="C1785" s="13">
        <v>18.841000000000001</v>
      </c>
      <c r="D1785" s="6">
        <f t="shared" si="189"/>
        <v>4.37123514046589E-3</v>
      </c>
      <c r="E1785" s="14">
        <f t="shared" si="190"/>
        <v>2.558088050876078E-4</v>
      </c>
      <c r="F1785" s="9">
        <f t="shared" si="191"/>
        <v>17.323663465071064</v>
      </c>
      <c r="G1785" s="9">
        <f t="shared" si="192"/>
        <v>-0.28371547246015516</v>
      </c>
      <c r="H1785" s="9">
        <f t="shared" si="193"/>
        <v>-2.0021179806797773E-3</v>
      </c>
      <c r="I1785" s="9">
        <f t="shared" si="194"/>
        <v>-8.4002935417895066E-5</v>
      </c>
      <c r="J1785" s="9">
        <f t="shared" si="195"/>
        <v>17.037861871694812</v>
      </c>
    </row>
    <row r="1786" spans="2:10" x14ac:dyDescent="0.25">
      <c r="B1786" s="1">
        <v>41691</v>
      </c>
      <c r="C1786" s="13">
        <v>18.759</v>
      </c>
      <c r="D1786" s="6">
        <f t="shared" si="189"/>
        <v>-1.112282551396937E-2</v>
      </c>
      <c r="E1786" s="14">
        <f t="shared" si="190"/>
        <v>2.5570401727516637E-4</v>
      </c>
      <c r="F1786" s="9">
        <f t="shared" si="191"/>
        <v>17.324073182322813</v>
      </c>
      <c r="G1786" s="9">
        <f t="shared" si="192"/>
        <v>-1.4765493076724133E-2</v>
      </c>
      <c r="H1786" s="9">
        <f t="shared" si="193"/>
        <v>5.5240139286546401E-4</v>
      </c>
      <c r="I1786" s="9">
        <f t="shared" si="194"/>
        <v>-2.6951527311718166E-4</v>
      </c>
      <c r="J1786" s="9">
        <f t="shared" si="195"/>
        <v>17.309590575365839</v>
      </c>
    </row>
    <row r="1787" spans="2:10" x14ac:dyDescent="0.25">
      <c r="B1787" s="1">
        <v>41690</v>
      </c>
      <c r="C1787" s="13">
        <v>18.97</v>
      </c>
      <c r="D1787" s="6">
        <f t="shared" si="189"/>
        <v>-1.1567319716548674E-2</v>
      </c>
      <c r="E1787" s="14">
        <f t="shared" si="190"/>
        <v>2.5465852207970662E-4</v>
      </c>
      <c r="F1787" s="9">
        <f t="shared" si="191"/>
        <v>17.328170256764274</v>
      </c>
      <c r="G1787" s="9">
        <f t="shared" si="192"/>
        <v>-0.32013068422376256</v>
      </c>
      <c r="H1787" s="9">
        <f t="shared" si="193"/>
        <v>9.052131453082074E-4</v>
      </c>
      <c r="I1787" s="9">
        <f t="shared" si="194"/>
        <v>-1.6083346783007529E-3</v>
      </c>
      <c r="J1787" s="9">
        <f t="shared" si="195"/>
        <v>17.007336451007518</v>
      </c>
    </row>
    <row r="1788" spans="2:10" x14ac:dyDescent="0.25">
      <c r="B1788" s="1">
        <v>41689</v>
      </c>
      <c r="C1788" s="13">
        <v>19.192</v>
      </c>
      <c r="D1788" s="6">
        <f t="shared" si="189"/>
        <v>-1.5794871794871823E-2</v>
      </c>
      <c r="E1788" s="14">
        <f t="shared" si="190"/>
        <v>2.6055200070166794E-4</v>
      </c>
      <c r="F1788" s="9">
        <f t="shared" si="191"/>
        <v>17.305291315300241</v>
      </c>
      <c r="G1788" s="9">
        <f t="shared" si="192"/>
        <v>-0.33508564913876809</v>
      </c>
      <c r="H1788" s="9">
        <f t="shared" si="193"/>
        <v>-2.5067687212578162E-2</v>
      </c>
      <c r="I1788" s="9">
        <f t="shared" si="194"/>
        <v>-0.13909339971770526</v>
      </c>
      <c r="J1788" s="9">
        <f t="shared" si="195"/>
        <v>16.806044579231191</v>
      </c>
    </row>
    <row r="1789" spans="2:10" x14ac:dyDescent="0.25">
      <c r="B1789" s="1">
        <v>41688</v>
      </c>
      <c r="C1789" s="13">
        <v>19.5</v>
      </c>
      <c r="D1789" s="6">
        <f t="shared" si="189"/>
        <v>3.7059913526868993E-3</v>
      </c>
      <c r="E1789" s="14">
        <f t="shared" si="190"/>
        <v>2.5834832989315889E-4</v>
      </c>
      <c r="F1789" s="9">
        <f t="shared" si="191"/>
        <v>17.313784985189205</v>
      </c>
      <c r="G1789" s="9">
        <f t="shared" si="192"/>
        <v>-0.5891890009968398</v>
      </c>
      <c r="H1789" s="9">
        <f t="shared" si="193"/>
        <v>6.994440499772818E-3</v>
      </c>
      <c r="I1789" s="9">
        <f t="shared" si="194"/>
        <v>-1.1976826187070444E-2</v>
      </c>
      <c r="J1789" s="9">
        <f t="shared" si="195"/>
        <v>16.71961359850507</v>
      </c>
    </row>
    <row r="1790" spans="2:10" x14ac:dyDescent="0.25">
      <c r="B1790" s="1">
        <v>41684</v>
      </c>
      <c r="C1790" s="13">
        <v>19.428000000000001</v>
      </c>
      <c r="D1790" s="6">
        <f t="shared" si="189"/>
        <v>-8.2287595145025261E-4</v>
      </c>
      <c r="E1790" s="14">
        <f t="shared" si="190"/>
        <v>2.5845860385133985E-4</v>
      </c>
      <c r="F1790" s="9">
        <f t="shared" si="191"/>
        <v>17.313358234104207</v>
      </c>
      <c r="G1790" s="9">
        <f t="shared" si="192"/>
        <v>-8.3834330929262475E-3</v>
      </c>
      <c r="H1790" s="9">
        <f t="shared" si="193"/>
        <v>5.4190690989803754E-4</v>
      </c>
      <c r="I1790" s="9">
        <f t="shared" si="194"/>
        <v>-8.3603819517399827E-4</v>
      </c>
      <c r="J1790" s="9">
        <f t="shared" si="195"/>
        <v>17.304680669726004</v>
      </c>
    </row>
    <row r="1791" spans="2:10" x14ac:dyDescent="0.25">
      <c r="B1791" s="1">
        <v>41683</v>
      </c>
      <c r="C1791" s="13">
        <v>19.443999999999999</v>
      </c>
      <c r="D1791" s="6">
        <f t="shared" si="189"/>
        <v>1.5882967607105503E-2</v>
      </c>
      <c r="E1791" s="14">
        <f t="shared" si="190"/>
        <v>2.5843863687758766E-4</v>
      </c>
      <c r="F1791" s="9">
        <f t="shared" si="191"/>
        <v>17.313435491137867</v>
      </c>
      <c r="G1791" s="9">
        <f t="shared" si="192"/>
        <v>-1.1649510527532228E-2</v>
      </c>
      <c r="H1791" s="9">
        <f t="shared" si="193"/>
        <v>-5.4752446849735991E-4</v>
      </c>
      <c r="I1791" s="9">
        <f t="shared" si="194"/>
        <v>-4.4650159787700298E-4</v>
      </c>
      <c r="J1791" s="9">
        <f t="shared" si="195"/>
        <v>17.300791954543957</v>
      </c>
    </row>
    <row r="1792" spans="2:10" x14ac:dyDescent="0.25">
      <c r="B1792" s="1">
        <v>41682</v>
      </c>
      <c r="C1792" s="13">
        <v>19.14</v>
      </c>
      <c r="D1792" s="6">
        <f t="shared" si="189"/>
        <v>-5.2243874405610846E-5</v>
      </c>
      <c r="E1792" s="14">
        <f t="shared" si="190"/>
        <v>2.5655560259918154E-4</v>
      </c>
      <c r="F1792" s="9">
        <f t="shared" si="191"/>
        <v>17.320748360004366</v>
      </c>
      <c r="G1792" s="9">
        <f t="shared" si="192"/>
        <v>-0.39723171601917634</v>
      </c>
      <c r="H1792" s="9">
        <f t="shared" si="193"/>
        <v>-4.4457641044872518E-3</v>
      </c>
      <c r="I1792" s="9">
        <f t="shared" si="194"/>
        <v>-8.1725190407191169E-3</v>
      </c>
      <c r="J1792" s="9">
        <f t="shared" si="195"/>
        <v>16.91089836083998</v>
      </c>
    </row>
    <row r="1793" spans="2:10" x14ac:dyDescent="0.25">
      <c r="B1793" s="1">
        <v>41681</v>
      </c>
      <c r="C1793" s="13">
        <v>19.140999999999998</v>
      </c>
      <c r="D1793" s="6">
        <f t="shared" si="189"/>
        <v>1.3126554808659208E-2</v>
      </c>
      <c r="E1793" s="14">
        <f t="shared" si="190"/>
        <v>2.5814106414193317E-4</v>
      </c>
      <c r="F1793" s="9">
        <f t="shared" si="191"/>
        <v>17.314587579646108</v>
      </c>
      <c r="G1793" s="9">
        <f t="shared" si="192"/>
        <v>-5.4802973514555898E-3</v>
      </c>
      <c r="H1793" s="9">
        <f t="shared" si="193"/>
        <v>-1.1481348452392435E-3</v>
      </c>
      <c r="I1793" s="9">
        <f t="shared" si="194"/>
        <v>-1.3738824471584478E-2</v>
      </c>
      <c r="J1793" s="9">
        <f t="shared" si="195"/>
        <v>17.294220322977832</v>
      </c>
    </row>
    <row r="1794" spans="2:10" x14ac:dyDescent="0.25">
      <c r="B1794" s="1">
        <v>41680</v>
      </c>
      <c r="C1794" s="13">
        <v>18.893000000000001</v>
      </c>
      <c r="D1794" s="6">
        <f t="shared" si="189"/>
        <v>1.7941810344827669E-2</v>
      </c>
      <c r="E1794" s="14">
        <f t="shared" si="190"/>
        <v>2.5770151204924024E-4</v>
      </c>
      <c r="F1794" s="9">
        <f t="shared" si="191"/>
        <v>17.316291790269133</v>
      </c>
      <c r="G1794" s="9">
        <f t="shared" si="192"/>
        <v>-0.25731909410348341</v>
      </c>
      <c r="H1794" s="9">
        <f t="shared" si="193"/>
        <v>1.1925374417297815E-3</v>
      </c>
      <c r="I1794" s="9">
        <f t="shared" si="194"/>
        <v>-1.511782004657171E-5</v>
      </c>
      <c r="J1794" s="9">
        <f t="shared" si="195"/>
        <v>17.06015011578733</v>
      </c>
    </row>
    <row r="1795" spans="2:10" x14ac:dyDescent="0.25">
      <c r="B1795" s="1">
        <v>41677</v>
      </c>
      <c r="C1795" s="13">
        <v>18.559999999999999</v>
      </c>
      <c r="D1795" s="6">
        <f t="shared" si="189"/>
        <v>1.3986013986013957E-2</v>
      </c>
      <c r="E1795" s="14">
        <f t="shared" si="190"/>
        <v>2.5574739147496005E-4</v>
      </c>
      <c r="F1795" s="9">
        <f t="shared" si="191"/>
        <v>17.323903570120539</v>
      </c>
      <c r="G1795" s="9">
        <f t="shared" si="192"/>
        <v>-0.52190030201492243</v>
      </c>
      <c r="H1795" s="9">
        <f t="shared" si="193"/>
        <v>-5.4392207587438159E-3</v>
      </c>
      <c r="I1795" s="9">
        <f t="shared" si="194"/>
        <v>-8.9750524513362746E-3</v>
      </c>
      <c r="J1795" s="9">
        <f t="shared" si="195"/>
        <v>16.787588994895533</v>
      </c>
    </row>
    <row r="1796" spans="2:10" x14ac:dyDescent="0.25">
      <c r="B1796" s="1">
        <v>41676</v>
      </c>
      <c r="C1796" s="13">
        <v>18.303999999999998</v>
      </c>
      <c r="D1796" s="6">
        <f t="shared" si="189"/>
        <v>-1.6387174304910435E-4</v>
      </c>
      <c r="E1796" s="14">
        <f t="shared" si="190"/>
        <v>2.5423486852667982E-4</v>
      </c>
      <c r="F1796" s="9">
        <f t="shared" si="191"/>
        <v>17.329835256383916</v>
      </c>
      <c r="G1796" s="9">
        <f t="shared" si="192"/>
        <v>-0.30127374846719418</v>
      </c>
      <c r="H1796" s="9">
        <f t="shared" si="193"/>
        <v>-2.5575816156304014E-3</v>
      </c>
      <c r="I1796" s="9">
        <f t="shared" si="194"/>
        <v>-4.6577500679074397E-3</v>
      </c>
      <c r="J1796" s="9">
        <f t="shared" si="195"/>
        <v>17.021346176233184</v>
      </c>
    </row>
    <row r="1797" spans="2:10" x14ac:dyDescent="0.25">
      <c r="B1797" s="1">
        <v>41675</v>
      </c>
      <c r="C1797" s="13">
        <v>18.306999999999999</v>
      </c>
      <c r="D1797" s="6">
        <f t="shared" si="189"/>
        <v>7.4844532496836091E-3</v>
      </c>
      <c r="E1797" s="14">
        <f t="shared" si="190"/>
        <v>2.5687568445500873E-4</v>
      </c>
      <c r="F1797" s="9">
        <f t="shared" si="191"/>
        <v>17.319501525596866</v>
      </c>
      <c r="G1797" s="9">
        <f t="shared" si="192"/>
        <v>-6.2636632631350685E-3</v>
      </c>
      <c r="H1797" s="9">
        <f t="shared" si="193"/>
        <v>-1.7746232665992773E-3</v>
      </c>
      <c r="I1797" s="9">
        <f t="shared" si="194"/>
        <v>-3.2730498543270432E-2</v>
      </c>
      <c r="J1797" s="9">
        <f t="shared" si="195"/>
        <v>17.278732740523864</v>
      </c>
    </row>
    <row r="1798" spans="2:10" x14ac:dyDescent="0.25">
      <c r="B1798" s="1">
        <v>41674</v>
      </c>
      <c r="C1798" s="13">
        <v>18.170999999999999</v>
      </c>
      <c r="D1798" s="6">
        <f t="shared" si="189"/>
        <v>1.4459580169718711E-2</v>
      </c>
      <c r="E1798" s="14">
        <f t="shared" si="190"/>
        <v>2.7481634653510274E-4</v>
      </c>
      <c r="F1798" s="9">
        <f t="shared" si="191"/>
        <v>17.251990731602042</v>
      </c>
      <c r="G1798" s="9">
        <f t="shared" si="192"/>
        <v>-6.2600333541220105E-2</v>
      </c>
      <c r="H1798" s="9">
        <f t="shared" si="193"/>
        <v>2.9535382981567274E-2</v>
      </c>
      <c r="I1798" s="9">
        <f t="shared" si="194"/>
        <v>-1.124150599465505</v>
      </c>
      <c r="J1798" s="9">
        <f t="shared" si="195"/>
        <v>16.094775181576885</v>
      </c>
    </row>
    <row r="1799" spans="2:10" x14ac:dyDescent="0.25">
      <c r="B1799" s="1">
        <v>41673</v>
      </c>
      <c r="C1799" s="13">
        <v>17.911999999999999</v>
      </c>
      <c r="D1799" s="6">
        <f t="shared" si="189"/>
        <v>1.8457408132444009E-3</v>
      </c>
      <c r="E1799" s="14">
        <f t="shared" si="190"/>
        <v>2.795887295724014E-4</v>
      </c>
      <c r="F1799" s="9">
        <f t="shared" si="191"/>
        <v>17.234774074953222</v>
      </c>
      <c r="G1799" s="9">
        <f t="shared" si="192"/>
        <v>-0.295350679261842</v>
      </c>
      <c r="H1799" s="9">
        <f t="shared" si="193"/>
        <v>1.8914490242036053E-2</v>
      </c>
      <c r="I1799" s="9">
        <f t="shared" si="194"/>
        <v>-8.6305661401881215E-2</v>
      </c>
      <c r="J1799" s="9">
        <f t="shared" si="195"/>
        <v>16.872032224531537</v>
      </c>
    </row>
    <row r="1800" spans="2:10" x14ac:dyDescent="0.25">
      <c r="B1800" s="1">
        <v>41670</v>
      </c>
      <c r="C1800" s="13">
        <v>17.879000000000001</v>
      </c>
      <c r="D1800" s="6">
        <f t="shared" si="189"/>
        <v>1.6807664294919977E-3</v>
      </c>
      <c r="E1800" s="14">
        <f t="shared" si="190"/>
        <v>2.8149663400217433E-4</v>
      </c>
      <c r="F1800" s="9">
        <f t="shared" si="191"/>
        <v>17.227973285244108</v>
      </c>
      <c r="G1800" s="9">
        <f t="shared" si="192"/>
        <v>-8.4967637487353095E-5</v>
      </c>
      <c r="H1800" s="9">
        <f t="shared" si="193"/>
        <v>1.5539932892697845E-4</v>
      </c>
      <c r="I1800" s="9">
        <f t="shared" si="194"/>
        <v>-1.6513019936215317E-2</v>
      </c>
      <c r="J1800" s="9">
        <f t="shared" si="195"/>
        <v>17.211530696999333</v>
      </c>
    </row>
    <row r="1801" spans="2:10" x14ac:dyDescent="0.25">
      <c r="B1801" s="1">
        <v>41669</v>
      </c>
      <c r="C1801" s="13">
        <v>17.849</v>
      </c>
      <c r="D1801" s="6">
        <f t="shared" si="189"/>
        <v>-1.9570565868932688E-3</v>
      </c>
      <c r="E1801" s="14">
        <f t="shared" si="190"/>
        <v>2.8220611199976207E-4</v>
      </c>
      <c r="F1801" s="9">
        <f t="shared" si="191"/>
        <v>17.22545607780723</v>
      </c>
      <c r="G1801" s="9">
        <f t="shared" si="192"/>
        <v>-5.0705605132408229E-6</v>
      </c>
      <c r="H1801" s="9">
        <f t="shared" si="193"/>
        <v>2.1140850356493792E-5</v>
      </c>
      <c r="I1801" s="9">
        <f t="shared" si="194"/>
        <v>-3.5648538928287803E-3</v>
      </c>
      <c r="J1801" s="9">
        <f t="shared" si="195"/>
        <v>17.221907294204247</v>
      </c>
    </row>
    <row r="1802" spans="2:10" x14ac:dyDescent="0.25">
      <c r="B1802" s="1">
        <v>41668</v>
      </c>
      <c r="C1802" s="13">
        <v>17.884</v>
      </c>
      <c r="D1802" s="6">
        <f t="shared" si="189"/>
        <v>-1.1332854220797106E-2</v>
      </c>
      <c r="E1802" s="14">
        <f t="shared" si="190"/>
        <v>2.8216041908506965E-4</v>
      </c>
      <c r="F1802" s="9">
        <f t="shared" si="191"/>
        <v>17.225618004187609</v>
      </c>
      <c r="G1802" s="9">
        <f t="shared" si="192"/>
        <v>-2.2834495706542696E-2</v>
      </c>
      <c r="H1802" s="9">
        <f t="shared" si="193"/>
        <v>-7.0946330964621212E-4</v>
      </c>
      <c r="I1802" s="9">
        <f t="shared" si="194"/>
        <v>-2.7241695968762114E-4</v>
      </c>
      <c r="J1802" s="9">
        <f t="shared" si="195"/>
        <v>17.201801628211729</v>
      </c>
    </row>
    <row r="1803" spans="2:10" x14ac:dyDescent="0.25">
      <c r="B1803" s="1">
        <v>41667</v>
      </c>
      <c r="C1803" s="13">
        <v>18.088999999999999</v>
      </c>
      <c r="D1803" s="6">
        <f t="shared" si="189"/>
        <v>-7.9955241340725403E-2</v>
      </c>
      <c r="E1803" s="14">
        <f t="shared" si="190"/>
        <v>2.8172698020648704E-4</v>
      </c>
      <c r="F1803" s="9">
        <f t="shared" si="191"/>
        <v>17.227155328711945</v>
      </c>
      <c r="G1803" s="9">
        <f t="shared" si="192"/>
        <v>-0.29898434020980152</v>
      </c>
      <c r="H1803" s="9">
        <f t="shared" si="193"/>
        <v>-1.2502264156337456E-3</v>
      </c>
      <c r="I1803" s="9">
        <f t="shared" si="194"/>
        <v>-3.1864594519437354E-5</v>
      </c>
      <c r="J1803" s="9">
        <f t="shared" si="195"/>
        <v>16.926888897491988</v>
      </c>
    </row>
    <row r="1804" spans="2:10" x14ac:dyDescent="0.25">
      <c r="B1804" s="1">
        <v>41666</v>
      </c>
      <c r="C1804" s="13">
        <v>19.661000000000001</v>
      </c>
      <c r="D1804" s="6">
        <f t="shared" si="189"/>
        <v>8.1013177459878793E-3</v>
      </c>
      <c r="E1804" s="14">
        <f t="shared" si="190"/>
        <v>2.2847994820326638E-4</v>
      </c>
      <c r="F1804" s="9">
        <f t="shared" si="191"/>
        <v>17.436645322939057</v>
      </c>
      <c r="G1804" s="9">
        <f t="shared" si="192"/>
        <v>-14.608316162305396</v>
      </c>
      <c r="H1804" s="9">
        <f t="shared" si="193"/>
        <v>1.3847029865985296</v>
      </c>
      <c r="I1804" s="9">
        <f t="shared" si="194"/>
        <v>-11.282356196071857</v>
      </c>
      <c r="J1804" s="9">
        <f t="shared" si="195"/>
        <v>-7.0693240488396665</v>
      </c>
    </row>
    <row r="1805" spans="2:10" x14ac:dyDescent="0.25">
      <c r="B1805" s="1">
        <v>41663</v>
      </c>
      <c r="C1805" s="13">
        <v>19.503</v>
      </c>
      <c r="D1805" s="6">
        <f t="shared" si="189"/>
        <v>-1.81735803463553E-2</v>
      </c>
      <c r="E1805" s="14">
        <f t="shared" si="190"/>
        <v>2.2917785850386693E-4</v>
      </c>
      <c r="F1805" s="9">
        <f t="shared" si="191"/>
        <v>17.433595398600954</v>
      </c>
      <c r="G1805" s="9">
        <f t="shared" si="192"/>
        <v>-9.1711086393153507E-2</v>
      </c>
      <c r="H1805" s="9">
        <f t="shared" si="193"/>
        <v>3.1308587220564431E-3</v>
      </c>
      <c r="I1805" s="9">
        <f t="shared" si="194"/>
        <v>-5.0539025273045645E-3</v>
      </c>
      <c r="J1805" s="9">
        <f t="shared" si="195"/>
        <v>17.339961268402551</v>
      </c>
    </row>
    <row r="1806" spans="2:10" x14ac:dyDescent="0.25">
      <c r="B1806" s="1">
        <v>41662</v>
      </c>
      <c r="C1806" s="13">
        <v>19.864000000000001</v>
      </c>
      <c r="D1806" s="6">
        <f t="shared" si="189"/>
        <v>8.4784484946947014E-3</v>
      </c>
      <c r="E1806" s="14">
        <f t="shared" si="190"/>
        <v>2.2634763906372653E-4</v>
      </c>
      <c r="F1806" s="9">
        <f t="shared" si="191"/>
        <v>17.446021732028591</v>
      </c>
      <c r="G1806" s="9">
        <f t="shared" si="192"/>
        <v>-0.86865723862050215</v>
      </c>
      <c r="H1806" s="9">
        <f t="shared" si="193"/>
        <v>1.3126123051609885E-2</v>
      </c>
      <c r="I1806" s="9">
        <f t="shared" si="194"/>
        <v>-2.3581972057090762E-2</v>
      </c>
      <c r="J1806" s="9">
        <f t="shared" si="195"/>
        <v>16.566908644402606</v>
      </c>
    </row>
    <row r="1807" spans="2:10" x14ac:dyDescent="0.25">
      <c r="B1807" s="1">
        <v>41661</v>
      </c>
      <c r="C1807" s="13">
        <v>19.696999999999999</v>
      </c>
      <c r="D1807" s="6">
        <f t="shared" si="189"/>
        <v>4.436511983681779E-3</v>
      </c>
      <c r="E1807" s="14">
        <f t="shared" si="190"/>
        <v>2.2607565821102711E-4</v>
      </c>
      <c r="F1807" s="9">
        <f t="shared" si="191"/>
        <v>17.447224061294577</v>
      </c>
      <c r="G1807" s="9">
        <f t="shared" si="192"/>
        <v>-0.10411661544021233</v>
      </c>
      <c r="H1807" s="9">
        <f t="shared" si="193"/>
        <v>1.1853847272627904E-3</v>
      </c>
      <c r="I1807" s="9">
        <f t="shared" si="194"/>
        <v>-9.8118898206423977E-5</v>
      </c>
      <c r="J1807" s="9">
        <f t="shared" si="195"/>
        <v>17.344194711683418</v>
      </c>
    </row>
    <row r="1808" spans="2:10" x14ac:dyDescent="0.25">
      <c r="B1808" s="1">
        <v>41660</v>
      </c>
      <c r="C1808" s="13">
        <v>19.61</v>
      </c>
      <c r="D1808" s="6">
        <f t="shared" ref="D1808:D1871" si="196">C1808/C1809-1</f>
        <v>1.5535991714137776E-2</v>
      </c>
      <c r="E1808" s="14">
        <f t="shared" ref="E1808:E1871" si="197">_xlfn.VAR.S(D1808:D1928)</f>
        <v>2.2694405051629075E-4</v>
      </c>
      <c r="F1808" s="9">
        <f t="shared" si="191"/>
        <v>17.443390261783559</v>
      </c>
      <c r="G1808" s="9">
        <f t="shared" si="192"/>
        <v>-1.7437667976278302E-2</v>
      </c>
      <c r="H1808" s="9">
        <f t="shared" si="193"/>
        <v>1.527942157137066E-3</v>
      </c>
      <c r="I1808" s="9">
        <f t="shared" si="194"/>
        <v>-6.8149444399634952E-3</v>
      </c>
      <c r="J1808" s="9">
        <f t="shared" si="195"/>
        <v>17.420665591524454</v>
      </c>
    </row>
    <row r="1809" spans="2:10" x14ac:dyDescent="0.25">
      <c r="B1809" s="1">
        <v>41656</v>
      </c>
      <c r="C1809" s="13">
        <v>19.309999999999999</v>
      </c>
      <c r="D1809" s="6">
        <f t="shared" si="196"/>
        <v>-2.4501136650669553E-2</v>
      </c>
      <c r="E1809" s="14">
        <f t="shared" si="197"/>
        <v>2.2691955166216193E-4</v>
      </c>
      <c r="F1809" s="9">
        <f t="shared" ref="F1809:F1872" si="198">LN(2*PI())-LN($C$6)-LN(E1809)-0.5*LN(1-POWER($C$7,2))</f>
        <v>17.443498218685303</v>
      </c>
      <c r="G1809" s="9">
        <f t="shared" ref="G1809:G1872" si="199">-POWER(D1808-1-$C$3,2)/(2*E1809*(1-POWER($C$7,2)))</f>
        <v>-0.42751451999699291</v>
      </c>
      <c r="H1809" s="9">
        <f t="shared" ref="H1809:H1872" si="200">$C$7*(D1808-1-$C$3)*(E1808-E1809-$C$5*$C$4)/(E1809*$C$6*(1-POWER($C$7,2)))</f>
        <v>3.5191723874491267E-3</v>
      </c>
      <c r="I1809" s="9">
        <f t="shared" ref="I1809:I1872" si="201">-POWER(E1808-E1809-$C$5*$C$4+$C$4*E1809,2)/(2*POWER($C$6,2)*E1809*(1-POWER($C$7,2)))</f>
        <v>-6.5477721986951186E-4</v>
      </c>
      <c r="J1809" s="9">
        <f t="shared" ref="J1809:J1872" si="202">SUM(F1809:I1809)</f>
        <v>17.01884809385589</v>
      </c>
    </row>
    <row r="1810" spans="2:10" x14ac:dyDescent="0.25">
      <c r="B1810" s="1">
        <v>41655</v>
      </c>
      <c r="C1810" s="13">
        <v>19.795000000000002</v>
      </c>
      <c r="D1810" s="6">
        <f t="shared" si="196"/>
        <v>-5.5762081784385131E-3</v>
      </c>
      <c r="E1810" s="14">
        <f t="shared" si="197"/>
        <v>2.2121891574142401E-4</v>
      </c>
      <c r="F1810" s="9">
        <f t="shared" si="198"/>
        <v>17.468940995195076</v>
      </c>
      <c r="G1810" s="9">
        <f t="shared" si="199"/>
        <v>-1.5476027250629443</v>
      </c>
      <c r="H1810" s="9">
        <f t="shared" si="200"/>
        <v>4.2790923162952459E-2</v>
      </c>
      <c r="I1810" s="9">
        <f t="shared" si="201"/>
        <v>-0.11578916616181004</v>
      </c>
      <c r="J1810" s="9">
        <f t="shared" si="202"/>
        <v>15.848340027133274</v>
      </c>
    </row>
    <row r="1811" spans="2:10" x14ac:dyDescent="0.25">
      <c r="B1811" s="1">
        <v>41654</v>
      </c>
      <c r="C1811" s="13">
        <v>19.905999999999999</v>
      </c>
      <c r="D1811" s="6">
        <f t="shared" si="196"/>
        <v>2.0088141846879237E-2</v>
      </c>
      <c r="E1811" s="14">
        <f t="shared" si="197"/>
        <v>2.2110013830744306E-4</v>
      </c>
      <c r="F1811" s="9">
        <f t="shared" si="198"/>
        <v>17.469478061983175</v>
      </c>
      <c r="G1811" s="9">
        <f t="shared" si="199"/>
        <v>-0.11769506419306015</v>
      </c>
      <c r="H1811" s="9">
        <f t="shared" si="200"/>
        <v>-1.6434951907458035E-3</v>
      </c>
      <c r="I1811" s="9">
        <f t="shared" si="201"/>
        <v>-4.1826109767692613E-4</v>
      </c>
      <c r="J1811" s="9">
        <f t="shared" si="202"/>
        <v>17.34972124150169</v>
      </c>
    </row>
    <row r="1812" spans="2:10" x14ac:dyDescent="0.25">
      <c r="B1812" s="1">
        <v>41653</v>
      </c>
      <c r="C1812" s="13">
        <v>19.513999999999999</v>
      </c>
      <c r="D1812" s="6">
        <f t="shared" si="196"/>
        <v>1.9913238906601238E-2</v>
      </c>
      <c r="E1812" s="14">
        <f t="shared" si="197"/>
        <v>2.3860523240325658E-4</v>
      </c>
      <c r="F1812" s="9">
        <f t="shared" si="198"/>
        <v>17.393283336362575</v>
      </c>
      <c r="G1812" s="9">
        <f t="shared" si="199"/>
        <v>-0.71626547180653677</v>
      </c>
      <c r="H1812" s="9">
        <f t="shared" si="200"/>
        <v>0.10472736316214867</v>
      </c>
      <c r="I1812" s="9">
        <f t="shared" si="201"/>
        <v>-1.2421054607470792</v>
      </c>
      <c r="J1812" s="9">
        <f t="shared" si="202"/>
        <v>15.539639766971106</v>
      </c>
    </row>
    <row r="1813" spans="2:10" x14ac:dyDescent="0.25">
      <c r="B1813" s="1">
        <v>41652</v>
      </c>
      <c r="C1813" s="13">
        <v>19.132999999999999</v>
      </c>
      <c r="D1813" s="6">
        <f t="shared" si="196"/>
        <v>5.2012188714931629E-3</v>
      </c>
      <c r="E1813" s="14">
        <f t="shared" si="197"/>
        <v>2.3908449585484067E-4</v>
      </c>
      <c r="F1813" s="9">
        <f t="shared" si="198"/>
        <v>17.391276746795995</v>
      </c>
      <c r="G1813" s="9">
        <f t="shared" si="199"/>
        <v>-0.70134881707061714</v>
      </c>
      <c r="H1813" s="9">
        <f t="shared" si="200"/>
        <v>7.2402427428838101E-3</v>
      </c>
      <c r="I1813" s="9">
        <f t="shared" si="201"/>
        <v>-3.0241485269652188E-3</v>
      </c>
      <c r="J1813" s="9">
        <f t="shared" si="202"/>
        <v>16.694144023941298</v>
      </c>
    </row>
    <row r="1814" spans="2:10" x14ac:dyDescent="0.25">
      <c r="B1814" s="1">
        <v>41649</v>
      </c>
      <c r="C1814" s="13">
        <v>19.033999999999999</v>
      </c>
      <c r="D1814" s="6">
        <f t="shared" si="196"/>
        <v>-6.6280465528940624E-3</v>
      </c>
      <c r="E1814" s="14">
        <f t="shared" si="197"/>
        <v>2.3901035083401698E-4</v>
      </c>
      <c r="F1814" s="9">
        <f t="shared" si="198"/>
        <v>17.391586915466213</v>
      </c>
      <c r="G1814" s="9">
        <f t="shared" si="199"/>
        <v>-2.6798721807928642E-2</v>
      </c>
      <c r="H1814" s="9">
        <f t="shared" si="200"/>
        <v>8.0362754466689363E-4</v>
      </c>
      <c r="I1814" s="9">
        <f t="shared" si="201"/>
        <v>-4.244747120871587E-4</v>
      </c>
      <c r="J1814" s="9">
        <f t="shared" si="202"/>
        <v>17.365167346490864</v>
      </c>
    </row>
    <row r="1815" spans="2:10" x14ac:dyDescent="0.25">
      <c r="B1815" s="1">
        <v>41648</v>
      </c>
      <c r="C1815" s="13">
        <v>19.161000000000001</v>
      </c>
      <c r="D1815" s="6">
        <f t="shared" si="196"/>
        <v>-1.2777577412540486E-2</v>
      </c>
      <c r="E1815" s="14">
        <f t="shared" si="197"/>
        <v>2.4101102553883373E-4</v>
      </c>
      <c r="F1815" s="9">
        <f t="shared" si="198"/>
        <v>17.383251093820874</v>
      </c>
      <c r="G1815" s="9">
        <f t="shared" si="199"/>
        <v>-0.14180518647164539</v>
      </c>
      <c r="H1815" s="9">
        <f t="shared" si="200"/>
        <v>-7.0959522231739819E-3</v>
      </c>
      <c r="I1815" s="9">
        <f t="shared" si="201"/>
        <v>-2.2131927799398942E-2</v>
      </c>
      <c r="J1815" s="9">
        <f t="shared" si="202"/>
        <v>17.212218027326653</v>
      </c>
    </row>
    <row r="1816" spans="2:10" x14ac:dyDescent="0.25">
      <c r="B1816" s="1">
        <v>41647</v>
      </c>
      <c r="C1816" s="13">
        <v>19.408999999999999</v>
      </c>
      <c r="D1816" s="6">
        <f t="shared" si="196"/>
        <v>6.3255042256442628E-3</v>
      </c>
      <c r="E1816" s="14">
        <f t="shared" si="197"/>
        <v>2.3921187381699229E-4</v>
      </c>
      <c r="F1816" s="9">
        <f t="shared" si="198"/>
        <v>17.390744114841247</v>
      </c>
      <c r="G1816" s="9">
        <f t="shared" si="199"/>
        <v>-0.43500336406289603</v>
      </c>
      <c r="H1816" s="9">
        <f t="shared" si="200"/>
        <v>4.4445339215893201E-3</v>
      </c>
      <c r="I1816" s="9">
        <f t="shared" si="201"/>
        <v>-7.5040298396486802E-3</v>
      </c>
      <c r="J1816" s="9">
        <f t="shared" si="202"/>
        <v>16.952681254860291</v>
      </c>
    </row>
    <row r="1817" spans="2:10" x14ac:dyDescent="0.25">
      <c r="B1817" s="1">
        <v>41646</v>
      </c>
      <c r="C1817" s="13">
        <v>19.286999999999999</v>
      </c>
      <c r="D1817" s="6">
        <f t="shared" si="196"/>
        <v>-7.1553587974878541E-3</v>
      </c>
      <c r="E1817" s="14">
        <f t="shared" si="197"/>
        <v>2.390836302396673E-4</v>
      </c>
      <c r="F1817" s="9">
        <f t="shared" si="198"/>
        <v>17.391280367343356</v>
      </c>
      <c r="G1817" s="9">
        <f t="shared" si="199"/>
        <v>-4.6297569216664947E-2</v>
      </c>
      <c r="H1817" s="9">
        <f t="shared" si="200"/>
        <v>9.7750643205046089E-4</v>
      </c>
      <c r="I1817" s="9">
        <f t="shared" si="201"/>
        <v>-2.9684795427445258E-4</v>
      </c>
      <c r="J1817" s="9">
        <f t="shared" si="202"/>
        <v>17.345663456604466</v>
      </c>
    </row>
    <row r="1818" spans="2:10" x14ac:dyDescent="0.25">
      <c r="B1818" s="1">
        <v>41645</v>
      </c>
      <c r="C1818" s="13">
        <v>19.425999999999998</v>
      </c>
      <c r="D1818" s="6">
        <f t="shared" si="196"/>
        <v>5.4345013198073833E-3</v>
      </c>
      <c r="E1818" s="14">
        <f t="shared" si="197"/>
        <v>2.3853538004869461E-4</v>
      </c>
      <c r="F1818" s="9">
        <f t="shared" si="198"/>
        <v>17.393576132042668</v>
      </c>
      <c r="G1818" s="9">
        <f t="shared" si="199"/>
        <v>-0.16216507128715238</v>
      </c>
      <c r="H1818" s="9">
        <f t="shared" si="200"/>
        <v>-6.8807168789386292E-4</v>
      </c>
      <c r="I1818" s="9">
        <f t="shared" si="201"/>
        <v>-7.8012203985827481E-5</v>
      </c>
      <c r="J1818" s="9">
        <f t="shared" si="202"/>
        <v>17.230644976863637</v>
      </c>
    </row>
    <row r="1819" spans="2:10" x14ac:dyDescent="0.25">
      <c r="B1819" s="1">
        <v>41642</v>
      </c>
      <c r="C1819" s="13">
        <v>19.321000000000002</v>
      </c>
      <c r="D1819" s="6">
        <f t="shared" si="196"/>
        <v>-2.1969121741331143E-2</v>
      </c>
      <c r="E1819" s="14">
        <f t="shared" si="197"/>
        <v>2.3844264425269815E-4</v>
      </c>
      <c r="F1819" s="9">
        <f t="shared" si="198"/>
        <v>17.39396497929533</v>
      </c>
      <c r="G1819" s="9">
        <f t="shared" si="199"/>
        <v>-3.0483855370267803E-2</v>
      </c>
      <c r="H1819" s="9">
        <f t="shared" si="200"/>
        <v>8.3617347058182877E-4</v>
      </c>
      <c r="I1819" s="9">
        <f t="shared" si="201"/>
        <v>-3.8136581973517893E-4</v>
      </c>
      <c r="J1819" s="9">
        <f t="shared" si="202"/>
        <v>17.363935931575909</v>
      </c>
    </row>
    <row r="1820" spans="2:10" x14ac:dyDescent="0.25">
      <c r="B1820" s="1">
        <v>41641</v>
      </c>
      <c r="C1820" s="13">
        <v>19.754999999999999</v>
      </c>
      <c r="D1820" s="6">
        <f t="shared" si="196"/>
        <v>-1.4024755440207759E-2</v>
      </c>
      <c r="E1820" s="14">
        <f t="shared" si="197"/>
        <v>2.3371687606816256E-4</v>
      </c>
      <c r="F1820" s="9">
        <f t="shared" si="198"/>
        <v>17.41398332392167</v>
      </c>
      <c r="G1820" s="9">
        <f t="shared" si="199"/>
        <v>-1.1946956860792886</v>
      </c>
      <c r="H1820" s="9">
        <f t="shared" si="200"/>
        <v>2.9299971876097178E-2</v>
      </c>
      <c r="I1820" s="9">
        <f t="shared" si="201"/>
        <v>-7.34759802611228E-2</v>
      </c>
      <c r="J1820" s="9">
        <f t="shared" si="202"/>
        <v>16.175111629457355</v>
      </c>
    </row>
    <row r="1821" spans="2:10" x14ac:dyDescent="0.25">
      <c r="B1821" s="1">
        <v>41639</v>
      </c>
      <c r="C1821" s="13">
        <v>20.036000000000001</v>
      </c>
      <c r="D1821" s="6">
        <f t="shared" si="196"/>
        <v>1.1714805089880986E-2</v>
      </c>
      <c r="E1821" s="14">
        <f t="shared" si="197"/>
        <v>2.3292784723361135E-4</v>
      </c>
      <c r="F1821" s="9">
        <f t="shared" si="198"/>
        <v>17.417365038305633</v>
      </c>
      <c r="G1821" s="9">
        <f t="shared" si="199"/>
        <v>-0.52744517376759947</v>
      </c>
      <c r="H1821" s="9">
        <f t="shared" si="200"/>
        <v>-5.9402795255509297E-5</v>
      </c>
      <c r="I1821" s="9">
        <f t="shared" si="201"/>
        <v>-5.5306559922291287E-4</v>
      </c>
      <c r="J1821" s="9">
        <f t="shared" si="202"/>
        <v>16.889307396143554</v>
      </c>
    </row>
    <row r="1822" spans="2:10" x14ac:dyDescent="0.25">
      <c r="B1822" s="1">
        <v>41638</v>
      </c>
      <c r="C1822" s="13">
        <v>19.803999999999998</v>
      </c>
      <c r="D1822" s="6">
        <f t="shared" si="196"/>
        <v>-9.9485077238414821E-3</v>
      </c>
      <c r="E1822" s="14">
        <f t="shared" si="197"/>
        <v>2.325380192366395E-4</v>
      </c>
      <c r="F1822" s="9">
        <f t="shared" si="198"/>
        <v>17.419040040131527</v>
      </c>
      <c r="G1822" s="9">
        <f t="shared" si="199"/>
        <v>-0.21944345611020508</v>
      </c>
      <c r="H1822" s="9">
        <f t="shared" si="200"/>
        <v>1.3188304218863256E-3</v>
      </c>
      <c r="I1822" s="9">
        <f t="shared" si="201"/>
        <v>-2.772565043374078E-6</v>
      </c>
      <c r="J1822" s="9">
        <f t="shared" si="202"/>
        <v>17.200912641878165</v>
      </c>
    </row>
    <row r="1823" spans="2:10" x14ac:dyDescent="0.25">
      <c r="B1823" s="1">
        <v>41635</v>
      </c>
      <c r="C1823" s="13">
        <v>20.003</v>
      </c>
      <c r="D1823" s="6">
        <f t="shared" si="196"/>
        <v>-6.7530661899796174E-3</v>
      </c>
      <c r="E1823" s="14">
        <f t="shared" si="197"/>
        <v>2.331573114516505E-4</v>
      </c>
      <c r="F1823" s="9">
        <f t="shared" si="198"/>
        <v>17.416380393193887</v>
      </c>
      <c r="G1823" s="9">
        <f t="shared" si="199"/>
        <v>-0.28821096828118214</v>
      </c>
      <c r="H1823" s="9">
        <f t="shared" si="200"/>
        <v>-5.2140047368405881E-3</v>
      </c>
      <c r="I1823" s="9">
        <f t="shared" si="201"/>
        <v>-4.2404045004793625E-3</v>
      </c>
      <c r="J1823" s="9">
        <f t="shared" si="202"/>
        <v>17.118715015675388</v>
      </c>
    </row>
    <row r="1824" spans="2:10" x14ac:dyDescent="0.25">
      <c r="B1824" s="1">
        <v>41634</v>
      </c>
      <c r="C1824" s="13">
        <v>20.138999999999999</v>
      </c>
      <c r="D1824" s="6">
        <f t="shared" si="196"/>
        <v>-6.6587747854395252E-3</v>
      </c>
      <c r="E1824" s="14">
        <f t="shared" si="197"/>
        <v>2.3300263261660914E-4</v>
      </c>
      <c r="F1824" s="9">
        <f t="shared" si="198"/>
        <v>17.417044023103259</v>
      </c>
      <c r="G1824" s="9">
        <f t="shared" si="199"/>
        <v>-0.15115534013174078</v>
      </c>
      <c r="H1824" s="9">
        <f t="shared" si="200"/>
        <v>-1.7188456920596553E-3</v>
      </c>
      <c r="I1824" s="9">
        <f t="shared" si="201"/>
        <v>-2.6966990919917791E-4</v>
      </c>
      <c r="J1824" s="9">
        <f t="shared" si="202"/>
        <v>17.263900167370259</v>
      </c>
    </row>
    <row r="1825" spans="2:10" x14ac:dyDescent="0.25">
      <c r="B1825" s="1">
        <v>41632</v>
      </c>
      <c r="C1825" s="13">
        <v>20.274000000000001</v>
      </c>
      <c r="D1825" s="6">
        <f t="shared" si="196"/>
        <v>-4.2239685658153059E-3</v>
      </c>
      <c r="E1825" s="14">
        <f t="shared" si="197"/>
        <v>2.3323359524002847E-4</v>
      </c>
      <c r="F1825" s="9">
        <f t="shared" si="198"/>
        <v>17.416053269367225</v>
      </c>
      <c r="G1825" s="9">
        <f t="shared" si="199"/>
        <v>-0.14762672278173569</v>
      </c>
      <c r="H1825" s="9">
        <f t="shared" si="200"/>
        <v>-2.7108910403586574E-3</v>
      </c>
      <c r="I1825" s="9">
        <f t="shared" si="201"/>
        <v>-1.6532381385339612E-3</v>
      </c>
      <c r="J1825" s="9">
        <f t="shared" si="202"/>
        <v>17.264062417406596</v>
      </c>
    </row>
    <row r="1826" spans="2:10" x14ac:dyDescent="0.25">
      <c r="B1826" s="1">
        <v>41631</v>
      </c>
      <c r="C1826" s="13">
        <v>20.36</v>
      </c>
      <c r="D1826" s="6">
        <f t="shared" si="196"/>
        <v>3.8351693186454483E-2</v>
      </c>
      <c r="E1826" s="14">
        <f t="shared" si="197"/>
        <v>2.329129026371761E-4</v>
      </c>
      <c r="F1826" s="9">
        <f t="shared" si="198"/>
        <v>17.417429200131082</v>
      </c>
      <c r="G1826" s="9">
        <f t="shared" si="199"/>
        <v>-7.3716894927920301E-2</v>
      </c>
      <c r="H1826" s="9">
        <f t="shared" si="200"/>
        <v>-8.9219444712258463E-4</v>
      </c>
      <c r="I1826" s="9">
        <f t="shared" si="201"/>
        <v>-3.5745716099491165E-5</v>
      </c>
      <c r="J1826" s="9">
        <f t="shared" si="202"/>
        <v>17.34278436503994</v>
      </c>
    </row>
    <row r="1827" spans="2:10" x14ac:dyDescent="0.25">
      <c r="B1827" s="1">
        <v>41628</v>
      </c>
      <c r="C1827" s="13">
        <v>19.608000000000001</v>
      </c>
      <c r="D1827" s="6">
        <f t="shared" si="196"/>
        <v>8.3826176394961038E-3</v>
      </c>
      <c r="E1827" s="14">
        <f t="shared" si="197"/>
        <v>2.2561285262311312E-4</v>
      </c>
      <c r="F1827" s="9">
        <f t="shared" si="198"/>
        <v>17.449273286540603</v>
      </c>
      <c r="G1827" s="9">
        <f t="shared" si="199"/>
        <v>-2.9977646775944486</v>
      </c>
      <c r="H1827" s="9">
        <f t="shared" si="200"/>
        <v>-7.8223206948590529E-2</v>
      </c>
      <c r="I1827" s="9">
        <f t="shared" si="201"/>
        <v>-0.1933883902155972</v>
      </c>
      <c r="J1827" s="9">
        <f t="shared" si="202"/>
        <v>14.179897011781966</v>
      </c>
    </row>
    <row r="1828" spans="2:10" x14ac:dyDescent="0.25">
      <c r="B1828" s="1">
        <v>41627</v>
      </c>
      <c r="C1828" s="13">
        <v>19.445</v>
      </c>
      <c r="D1828" s="6">
        <f t="shared" si="196"/>
        <v>-1.1438739196746428E-2</v>
      </c>
      <c r="E1828" s="14">
        <f t="shared" si="197"/>
        <v>2.3251477322802234E-4</v>
      </c>
      <c r="F1828" s="9">
        <f t="shared" si="198"/>
        <v>17.419140011614392</v>
      </c>
      <c r="G1828" s="9">
        <f t="shared" si="199"/>
        <v>-9.8421050050620795E-2</v>
      </c>
      <c r="H1828" s="9">
        <f t="shared" si="200"/>
        <v>1.6547831016681343E-2</v>
      </c>
      <c r="I1828" s="9">
        <f t="shared" si="201"/>
        <v>-0.21278583395872874</v>
      </c>
      <c r="J1828" s="9">
        <f t="shared" si="202"/>
        <v>17.124480958621721</v>
      </c>
    </row>
    <row r="1829" spans="2:10" x14ac:dyDescent="0.25">
      <c r="B1829" s="1">
        <v>41626</v>
      </c>
      <c r="C1829" s="13">
        <v>19.670000000000002</v>
      </c>
      <c r="D1829" s="6">
        <f t="shared" si="196"/>
        <v>-7.6181827354825371E-3</v>
      </c>
      <c r="E1829" s="14">
        <f t="shared" si="197"/>
        <v>2.3096561383208864E-4</v>
      </c>
      <c r="F1829" s="9">
        <f t="shared" si="198"/>
        <v>17.425824933817246</v>
      </c>
      <c r="G1829" s="9">
        <f t="shared" si="199"/>
        <v>-0.3706782492503265</v>
      </c>
      <c r="H1829" s="9">
        <f t="shared" si="200"/>
        <v>3.1296520088634474E-3</v>
      </c>
      <c r="I1829" s="9">
        <f t="shared" si="201"/>
        <v>-5.1101488889086664E-3</v>
      </c>
      <c r="J1829" s="9">
        <f t="shared" si="202"/>
        <v>17.053166187686873</v>
      </c>
    </row>
    <row r="1830" spans="2:10" x14ac:dyDescent="0.25">
      <c r="B1830" s="1">
        <v>41625</v>
      </c>
      <c r="C1830" s="13">
        <v>19.821000000000002</v>
      </c>
      <c r="D1830" s="6">
        <f t="shared" si="196"/>
        <v>-4.5201145095675743E-3</v>
      </c>
      <c r="E1830" s="14">
        <f t="shared" si="197"/>
        <v>2.3159786481683381E-4</v>
      </c>
      <c r="F1830" s="9">
        <f t="shared" si="198"/>
        <v>17.42309124900353</v>
      </c>
      <c r="G1830" s="9">
        <f t="shared" si="199"/>
        <v>-0.18508980171812858</v>
      </c>
      <c r="H1830" s="9">
        <f t="shared" si="200"/>
        <v>-4.230670908301871E-3</v>
      </c>
      <c r="I1830" s="9">
        <f t="shared" si="201"/>
        <v>-4.3981637804838018E-3</v>
      </c>
      <c r="J1830" s="9">
        <f t="shared" si="202"/>
        <v>17.229372612596617</v>
      </c>
    </row>
    <row r="1831" spans="2:10" x14ac:dyDescent="0.25">
      <c r="B1831" s="1">
        <v>41624</v>
      </c>
      <c r="C1831" s="13">
        <v>19.911000000000001</v>
      </c>
      <c r="D1831" s="6">
        <f t="shared" si="196"/>
        <v>5.5552749861118578E-3</v>
      </c>
      <c r="E1831" s="14">
        <f t="shared" si="197"/>
        <v>2.3282048800765443E-4</v>
      </c>
      <c r="F1831" s="9">
        <f t="shared" si="198"/>
        <v>17.417826056498228</v>
      </c>
      <c r="G1831" s="9">
        <f t="shared" si="199"/>
        <v>-8.1399918240041058E-2</v>
      </c>
      <c r="H1831" s="9">
        <f t="shared" si="200"/>
        <v>-3.9508947583021406E-3</v>
      </c>
      <c r="I1831" s="9">
        <f t="shared" si="201"/>
        <v>-1.065132577935024E-2</v>
      </c>
      <c r="J1831" s="9">
        <f t="shared" si="202"/>
        <v>17.321823917720536</v>
      </c>
    </row>
    <row r="1832" spans="2:10" x14ac:dyDescent="0.25">
      <c r="B1832" s="1">
        <v>41621</v>
      </c>
      <c r="C1832" s="13">
        <v>19.800999999999998</v>
      </c>
      <c r="D1832" s="6">
        <f t="shared" si="196"/>
        <v>-1.0889654827913486E-2</v>
      </c>
      <c r="E1832" s="14">
        <f t="shared" si="197"/>
        <v>2.3280902056220919E-4</v>
      </c>
      <c r="F1832" s="9">
        <f t="shared" si="198"/>
        <v>17.417875312162813</v>
      </c>
      <c r="G1832" s="9">
        <f t="shared" si="199"/>
        <v>-3.323380771028734E-2</v>
      </c>
      <c r="H1832" s="9">
        <f t="shared" si="200"/>
        <v>9.8496160541678367E-4</v>
      </c>
      <c r="I1832" s="9">
        <f t="shared" si="201"/>
        <v>-6.4871823408099011E-4</v>
      </c>
      <c r="J1832" s="9">
        <f t="shared" si="202"/>
        <v>17.384977747823861</v>
      </c>
    </row>
    <row r="1833" spans="2:10" x14ac:dyDescent="0.25">
      <c r="B1833" s="1">
        <v>41620</v>
      </c>
      <c r="C1833" s="13">
        <v>20.018999999999998</v>
      </c>
      <c r="D1833" s="6">
        <f t="shared" si="196"/>
        <v>-1.4963339817447574E-3</v>
      </c>
      <c r="E1833" s="14">
        <f t="shared" si="197"/>
        <v>2.383967036738002E-4</v>
      </c>
      <c r="F1833" s="9">
        <f t="shared" si="198"/>
        <v>17.394157667164905</v>
      </c>
      <c r="G1833" s="9">
        <f t="shared" si="199"/>
        <v>-0.32957463726379493</v>
      </c>
      <c r="H1833" s="9">
        <f t="shared" si="200"/>
        <v>-2.4803037281451647E-2</v>
      </c>
      <c r="I1833" s="9">
        <f t="shared" si="201"/>
        <v>-0.13923599059120181</v>
      </c>
      <c r="J1833" s="9">
        <f t="shared" si="202"/>
        <v>16.900544002028454</v>
      </c>
    </row>
    <row r="1834" spans="2:10" x14ac:dyDescent="0.25">
      <c r="B1834" s="1">
        <v>41619</v>
      </c>
      <c r="C1834" s="13">
        <v>20.048999999999999</v>
      </c>
      <c r="D1834" s="6">
        <f t="shared" si="196"/>
        <v>-7.3769680166353435E-3</v>
      </c>
      <c r="E1834" s="14">
        <f t="shared" si="197"/>
        <v>2.3919296887221908E-4</v>
      </c>
      <c r="F1834" s="9">
        <f t="shared" si="198"/>
        <v>17.390823148091314</v>
      </c>
      <c r="G1834" s="9">
        <f t="shared" si="199"/>
        <v>-2.0456847710232838E-2</v>
      </c>
      <c r="H1834" s="9">
        <f t="shared" si="200"/>
        <v>-1.5423598080749265E-3</v>
      </c>
      <c r="I1834" s="9">
        <f t="shared" si="201"/>
        <v>-5.5754950521457536E-3</v>
      </c>
      <c r="J1834" s="9">
        <f t="shared" si="202"/>
        <v>17.363248445520863</v>
      </c>
    </row>
    <row r="1835" spans="2:10" x14ac:dyDescent="0.25">
      <c r="B1835" s="1">
        <v>41618</v>
      </c>
      <c r="C1835" s="13">
        <v>20.198</v>
      </c>
      <c r="D1835" s="6">
        <f t="shared" si="196"/>
        <v>-1.5818091942659818E-3</v>
      </c>
      <c r="E1835" s="14">
        <f t="shared" si="197"/>
        <v>2.4081237435792023E-4</v>
      </c>
      <c r="F1835" s="9">
        <f t="shared" si="198"/>
        <v>17.38407567474497</v>
      </c>
      <c r="G1835" s="9">
        <f t="shared" si="199"/>
        <v>-0.16884025815874321</v>
      </c>
      <c r="H1835" s="9">
        <f t="shared" si="200"/>
        <v>-6.6919350447609263E-3</v>
      </c>
      <c r="I1835" s="9">
        <f t="shared" si="201"/>
        <v>-1.5683787938685436E-2</v>
      </c>
      <c r="J1835" s="9">
        <f t="shared" si="202"/>
        <v>17.192859693602784</v>
      </c>
    </row>
    <row r="1836" spans="2:10" x14ac:dyDescent="0.25">
      <c r="B1836" s="1">
        <v>41617</v>
      </c>
      <c r="C1836" s="13">
        <v>20.23</v>
      </c>
      <c r="D1836" s="6">
        <f t="shared" si="196"/>
        <v>1.1449427528623435E-2</v>
      </c>
      <c r="E1836" s="14">
        <f t="shared" si="197"/>
        <v>2.4498766192873448E-4</v>
      </c>
      <c r="F1836" s="9">
        <f t="shared" si="198"/>
        <v>17.366885925586768</v>
      </c>
      <c r="G1836" s="9">
        <f t="shared" si="199"/>
        <v>-2.1081002458602675E-2</v>
      </c>
      <c r="H1836" s="9">
        <f t="shared" si="200"/>
        <v>-4.8199822335220251E-3</v>
      </c>
      <c r="I1836" s="9">
        <f t="shared" si="201"/>
        <v>-7.8786181375837178E-2</v>
      </c>
      <c r="J1836" s="9">
        <f t="shared" si="202"/>
        <v>17.26219875951881</v>
      </c>
    </row>
    <row r="1837" spans="2:10" x14ac:dyDescent="0.25">
      <c r="B1837" s="1">
        <v>41614</v>
      </c>
      <c r="C1837" s="13">
        <v>20.001000000000001</v>
      </c>
      <c r="D1837" s="6">
        <f t="shared" si="196"/>
        <v>-1.3854649442855638E-2</v>
      </c>
      <c r="E1837" s="14">
        <f t="shared" si="197"/>
        <v>2.443628920180107E-4</v>
      </c>
      <c r="F1837" s="9">
        <f t="shared" si="198"/>
        <v>17.369439392606079</v>
      </c>
      <c r="G1837" s="9">
        <f t="shared" si="199"/>
        <v>-0.19798160332831999</v>
      </c>
      <c r="H1837" s="9">
        <f t="shared" si="200"/>
        <v>5.2372538147839483E-4</v>
      </c>
      <c r="I1837" s="9">
        <f t="shared" si="201"/>
        <v>-1.966781791586341E-4</v>
      </c>
      <c r="J1837" s="9">
        <f t="shared" si="202"/>
        <v>17.171784836480079</v>
      </c>
    </row>
    <row r="1838" spans="2:10" x14ac:dyDescent="0.25">
      <c r="B1838" s="1">
        <v>41613</v>
      </c>
      <c r="C1838" s="13">
        <v>20.282</v>
      </c>
      <c r="D1838" s="6">
        <f t="shared" si="196"/>
        <v>5.1043163685020598E-3</v>
      </c>
      <c r="E1838" s="14">
        <f t="shared" si="197"/>
        <v>2.4221706886611336E-4</v>
      </c>
      <c r="F1838" s="9">
        <f t="shared" si="198"/>
        <v>17.378259472491656</v>
      </c>
      <c r="G1838" s="9">
        <f t="shared" si="199"/>
        <v>-0.49625232659817603</v>
      </c>
      <c r="H1838" s="9">
        <f t="shared" si="200"/>
        <v>6.3560459617634305E-3</v>
      </c>
      <c r="I1838" s="9">
        <f t="shared" si="201"/>
        <v>-1.1621566531087608E-2</v>
      </c>
      <c r="J1838" s="9">
        <f t="shared" si="202"/>
        <v>16.876741625324158</v>
      </c>
    </row>
    <row r="1839" spans="2:10" x14ac:dyDescent="0.25">
      <c r="B1839" s="1">
        <v>41612</v>
      </c>
      <c r="C1839" s="13">
        <v>20.178999999999998</v>
      </c>
      <c r="D1839" s="6">
        <f t="shared" si="196"/>
        <v>-2.3237417185800746E-3</v>
      </c>
      <c r="E1839" s="14">
        <f t="shared" si="197"/>
        <v>2.4425889344918071E-4</v>
      </c>
      <c r="F1839" s="9">
        <f t="shared" si="198"/>
        <v>17.369865073873243</v>
      </c>
      <c r="G1839" s="9">
        <f t="shared" si="199"/>
        <v>-2.4820136453861972E-2</v>
      </c>
      <c r="H1839" s="9">
        <f t="shared" si="200"/>
        <v>2.9922119909459055E-3</v>
      </c>
      <c r="I1839" s="9">
        <f t="shared" si="201"/>
        <v>-2.2492755041936138E-2</v>
      </c>
      <c r="J1839" s="9">
        <f t="shared" si="202"/>
        <v>17.325544394368393</v>
      </c>
    </row>
    <row r="1840" spans="2:10" x14ac:dyDescent="0.25">
      <c r="B1840" s="1">
        <v>41611</v>
      </c>
      <c r="C1840" s="13">
        <v>20.225999999999999</v>
      </c>
      <c r="D1840" s="6">
        <f t="shared" si="196"/>
        <v>2.7378473104078704E-2</v>
      </c>
      <c r="E1840" s="14">
        <f t="shared" si="197"/>
        <v>2.444248698208432E-4</v>
      </c>
      <c r="F1840" s="9">
        <f t="shared" si="198"/>
        <v>17.369185794590727</v>
      </c>
      <c r="G1840" s="9">
        <f t="shared" si="199"/>
        <v>-3.2028886455473096E-2</v>
      </c>
      <c r="H1840" s="9">
        <f t="shared" si="200"/>
        <v>-1.155778990948654E-3</v>
      </c>
      <c r="I1840" s="9">
        <f t="shared" si="201"/>
        <v>-1.1961038570174685E-3</v>
      </c>
      <c r="J1840" s="9">
        <f t="shared" si="202"/>
        <v>17.334805025287285</v>
      </c>
    </row>
    <row r="1841" spans="2:10" x14ac:dyDescent="0.25">
      <c r="B1841" s="1">
        <v>41610</v>
      </c>
      <c r="C1841" s="13">
        <v>19.687000000000001</v>
      </c>
      <c r="D1841" s="6">
        <f t="shared" si="196"/>
        <v>-8.7109768378649255E-3</v>
      </c>
      <c r="E1841" s="14">
        <f t="shared" si="197"/>
        <v>2.4091674051719805E-4</v>
      </c>
      <c r="F1841" s="9">
        <f t="shared" si="198"/>
        <v>17.383642376620827</v>
      </c>
      <c r="G1841" s="9">
        <f t="shared" si="199"/>
        <v>-1.3803165134326043</v>
      </c>
      <c r="H1841" s="9">
        <f t="shared" si="200"/>
        <v>-2.1396129756630355E-2</v>
      </c>
      <c r="I1841" s="9">
        <f t="shared" si="201"/>
        <v>-3.6987001114826994E-2</v>
      </c>
      <c r="J1841" s="9">
        <f t="shared" si="202"/>
        <v>15.944942732316767</v>
      </c>
    </row>
    <row r="1842" spans="2:10" x14ac:dyDescent="0.25">
      <c r="B1842" s="1">
        <v>41607</v>
      </c>
      <c r="C1842" s="13">
        <v>19.86</v>
      </c>
      <c r="D1842" s="6">
        <f t="shared" si="196"/>
        <v>1.8513769936919777E-2</v>
      </c>
      <c r="E1842" s="14">
        <f t="shared" si="197"/>
        <v>2.4015856658355373E-4</v>
      </c>
      <c r="F1842" s="9">
        <f t="shared" si="198"/>
        <v>17.386794376110988</v>
      </c>
      <c r="G1842" s="9">
        <f t="shared" si="199"/>
        <v>-0.22318017047827102</v>
      </c>
      <c r="H1842" s="9">
        <f t="shared" si="200"/>
        <v>-1.3626804595617137E-4</v>
      </c>
      <c r="I1842" s="9">
        <f t="shared" si="201"/>
        <v>-4.835128570303452E-4</v>
      </c>
      <c r="J1842" s="9">
        <f t="shared" si="202"/>
        <v>17.162994424729728</v>
      </c>
    </row>
    <row r="1843" spans="2:10" x14ac:dyDescent="0.25">
      <c r="B1843" s="1">
        <v>41605</v>
      </c>
      <c r="C1843" s="13">
        <v>19.498999999999999</v>
      </c>
      <c r="D1843" s="6">
        <f t="shared" si="196"/>
        <v>2.3569553805774079E-2</v>
      </c>
      <c r="E1843" s="14">
        <f t="shared" si="197"/>
        <v>2.3848961504640916E-4</v>
      </c>
      <c r="F1843" s="9">
        <f t="shared" si="198"/>
        <v>17.393768008790829</v>
      </c>
      <c r="G1843" s="9">
        <f t="shared" si="199"/>
        <v>-0.59959642043444739</v>
      </c>
      <c r="H1843" s="9">
        <f t="shared" si="200"/>
        <v>-4.544289742802219E-3</v>
      </c>
      <c r="I1843" s="9">
        <f t="shared" si="201"/>
        <v>-6.1746704260162476E-3</v>
      </c>
      <c r="J1843" s="9">
        <f t="shared" si="202"/>
        <v>16.783452628187561</v>
      </c>
    </row>
    <row r="1844" spans="2:10" x14ac:dyDescent="0.25">
      <c r="B1844" s="1">
        <v>41604</v>
      </c>
      <c r="C1844" s="13">
        <v>19.05</v>
      </c>
      <c r="D1844" s="6">
        <f t="shared" si="196"/>
        <v>1.8444266238973661E-2</v>
      </c>
      <c r="E1844" s="14">
        <f t="shared" si="197"/>
        <v>2.3482765588842859E-4</v>
      </c>
      <c r="F1844" s="9">
        <f t="shared" si="198"/>
        <v>17.409241909496956</v>
      </c>
      <c r="G1844" s="9">
        <f t="shared" si="199"/>
        <v>-1.0281691426696635</v>
      </c>
      <c r="H1844" s="9">
        <f t="shared" si="200"/>
        <v>-1.9766944973666829E-2</v>
      </c>
      <c r="I1844" s="9">
        <f t="shared" si="201"/>
        <v>-4.1540185107412003E-2</v>
      </c>
      <c r="J1844" s="9">
        <f t="shared" si="202"/>
        <v>16.319765636746212</v>
      </c>
    </row>
    <row r="1845" spans="2:10" x14ac:dyDescent="0.25">
      <c r="B1845" s="1">
        <v>41603</v>
      </c>
      <c r="C1845" s="13">
        <v>18.704999999999998</v>
      </c>
      <c r="D1845" s="6">
        <f t="shared" si="196"/>
        <v>7.5953458306399213E-3</v>
      </c>
      <c r="E1845" s="14">
        <f t="shared" si="197"/>
        <v>2.3475129206166552E-4</v>
      </c>
      <c r="F1845" s="9">
        <f t="shared" si="198"/>
        <v>17.409567153325582</v>
      </c>
      <c r="G1845" s="9">
        <f t="shared" si="199"/>
        <v>-0.60414065856192145</v>
      </c>
      <c r="H1845" s="9">
        <f t="shared" si="200"/>
        <v>3.8383394190008129E-3</v>
      </c>
      <c r="I1845" s="9">
        <f t="shared" si="201"/>
        <v>-4.4485992591436518E-4</v>
      </c>
      <c r="J1845" s="9">
        <f t="shared" si="202"/>
        <v>16.80881997425675</v>
      </c>
    </row>
    <row r="1846" spans="2:10" x14ac:dyDescent="0.25">
      <c r="B1846" s="1">
        <v>41600</v>
      </c>
      <c r="C1846" s="13">
        <v>18.564</v>
      </c>
      <c r="D1846" s="6">
        <f t="shared" si="196"/>
        <v>-2.5789813023854302E-3</v>
      </c>
      <c r="E1846" s="14">
        <f t="shared" si="197"/>
        <v>2.3539154470817453E-4</v>
      </c>
      <c r="F1846" s="9">
        <f t="shared" si="198"/>
        <v>17.406843500034569</v>
      </c>
      <c r="G1846" s="9">
        <f t="shared" si="199"/>
        <v>-7.5878652370332492E-2</v>
      </c>
      <c r="H1846" s="9">
        <f t="shared" si="200"/>
        <v>2.7018892620055269E-3</v>
      </c>
      <c r="I1846" s="9">
        <f t="shared" si="201"/>
        <v>-4.3415096806057986E-3</v>
      </c>
      <c r="J1846" s="9">
        <f t="shared" si="202"/>
        <v>17.329325227245636</v>
      </c>
    </row>
    <row r="1847" spans="2:10" x14ac:dyDescent="0.25">
      <c r="B1847" s="1">
        <v>41599</v>
      </c>
      <c r="C1847" s="13">
        <v>18.611999999999998</v>
      </c>
      <c r="D1847" s="6">
        <f t="shared" si="196"/>
        <v>1.1906703637253102E-2</v>
      </c>
      <c r="E1847" s="14">
        <f t="shared" si="197"/>
        <v>2.3542811060589311E-4</v>
      </c>
      <c r="F1847" s="9">
        <f t="shared" si="198"/>
        <v>17.406688171354553</v>
      </c>
      <c r="G1847" s="9">
        <f t="shared" si="199"/>
        <v>-3.7687875831465857E-2</v>
      </c>
      <c r="H1847" s="9">
        <f t="shared" si="200"/>
        <v>-1.10649706982759E-3</v>
      </c>
      <c r="I1847" s="9">
        <f t="shared" si="201"/>
        <v>-7.8766198886870106E-4</v>
      </c>
      <c r="J1847" s="9">
        <f t="shared" si="202"/>
        <v>17.36710613646439</v>
      </c>
    </row>
    <row r="1848" spans="2:10" x14ac:dyDescent="0.25">
      <c r="B1848" s="1">
        <v>41598</v>
      </c>
      <c r="C1848" s="13">
        <v>18.393000000000001</v>
      </c>
      <c r="D1848" s="6">
        <f t="shared" si="196"/>
        <v>-8.7308003233629305E-3</v>
      </c>
      <c r="E1848" s="14">
        <f t="shared" si="197"/>
        <v>2.3449324946532958E-4</v>
      </c>
      <c r="F1848" s="9">
        <f t="shared" si="198"/>
        <v>17.41066697484511</v>
      </c>
      <c r="G1848" s="9">
        <f t="shared" si="199"/>
        <v>-0.22597200683035937</v>
      </c>
      <c r="H1848" s="9">
        <f t="shared" si="200"/>
        <v>-4.3394622322035571E-4</v>
      </c>
      <c r="I1848" s="9">
        <f t="shared" si="201"/>
        <v>-1.0728667221988329E-3</v>
      </c>
      <c r="J1848" s="9">
        <f t="shared" si="202"/>
        <v>17.183188155069328</v>
      </c>
    </row>
    <row r="1849" spans="2:10" x14ac:dyDescent="0.25">
      <c r="B1849" s="1">
        <v>41597</v>
      </c>
      <c r="C1849" s="13">
        <v>18.555</v>
      </c>
      <c r="D1849" s="6">
        <f t="shared" si="196"/>
        <v>1.7816650469713036E-3</v>
      </c>
      <c r="E1849" s="14">
        <f t="shared" si="197"/>
        <v>2.3390050837700417E-4</v>
      </c>
      <c r="F1849" s="9">
        <f t="shared" si="198"/>
        <v>17.413197928320955</v>
      </c>
      <c r="G1849" s="9">
        <f t="shared" si="199"/>
        <v>-0.23003103064835098</v>
      </c>
      <c r="H1849" s="9">
        <f t="shared" si="200"/>
        <v>-6.818926378574572E-4</v>
      </c>
      <c r="I1849" s="9">
        <f t="shared" si="201"/>
        <v>-1.2619529706939586E-4</v>
      </c>
      <c r="J1849" s="9">
        <f t="shared" si="202"/>
        <v>17.182358809737675</v>
      </c>
    </row>
    <row r="1850" spans="2:10" x14ac:dyDescent="0.25">
      <c r="B1850" s="1">
        <v>41596</v>
      </c>
      <c r="C1850" s="13">
        <v>18.521999999999998</v>
      </c>
      <c r="D1850" s="6">
        <f t="shared" si="196"/>
        <v>-1.216000000000006E-2</v>
      </c>
      <c r="E1850" s="14">
        <f t="shared" si="197"/>
        <v>2.3543674317322942E-4</v>
      </c>
      <c r="F1850" s="9">
        <f t="shared" si="198"/>
        <v>17.406651504496672</v>
      </c>
      <c r="G1850" s="9">
        <f t="shared" si="199"/>
        <v>-5.072269236307639E-5</v>
      </c>
      <c r="H1850" s="9">
        <f t="shared" si="200"/>
        <v>1.1327426549218539E-4</v>
      </c>
      <c r="I1850" s="9">
        <f t="shared" si="201"/>
        <v>-1.4884941792775552E-2</v>
      </c>
      <c r="J1850" s="9">
        <f t="shared" si="202"/>
        <v>17.391829114277023</v>
      </c>
    </row>
    <row r="1851" spans="2:10" x14ac:dyDescent="0.25">
      <c r="B1851" s="1">
        <v>41593</v>
      </c>
      <c r="C1851" s="13">
        <v>18.75</v>
      </c>
      <c r="D1851" s="6">
        <f t="shared" si="196"/>
        <v>-5.99056353708316E-3</v>
      </c>
      <c r="E1851" s="14">
        <f t="shared" si="197"/>
        <v>2.3423742136289503E-4</v>
      </c>
      <c r="F1851" s="9">
        <f t="shared" si="198"/>
        <v>17.4117585532024</v>
      </c>
      <c r="G1851" s="9">
        <f t="shared" si="199"/>
        <v>-0.40696636743076947</v>
      </c>
      <c r="H1851" s="9">
        <f t="shared" si="200"/>
        <v>1.7336854929508327E-3</v>
      </c>
      <c r="I1851" s="9">
        <f t="shared" si="201"/>
        <v>-2.4358408697526279E-3</v>
      </c>
      <c r="J1851" s="9">
        <f t="shared" si="202"/>
        <v>17.004090030394831</v>
      </c>
    </row>
    <row r="1852" spans="2:10" x14ac:dyDescent="0.25">
      <c r="B1852" s="1">
        <v>41592</v>
      </c>
      <c r="C1852" s="13">
        <v>18.863</v>
      </c>
      <c r="D1852" s="6">
        <f t="shared" si="196"/>
        <v>1.4467032376035194E-2</v>
      </c>
      <c r="E1852" s="14">
        <f t="shared" si="197"/>
        <v>2.3457219639033716E-4</v>
      </c>
      <c r="F1852" s="9">
        <f t="shared" si="198"/>
        <v>17.410330361153136</v>
      </c>
      <c r="G1852" s="9">
        <f t="shared" si="199"/>
        <v>-0.1240648286446597</v>
      </c>
      <c r="H1852" s="9">
        <f t="shared" si="200"/>
        <v>-2.7273454907028589E-3</v>
      </c>
      <c r="I1852" s="9">
        <f t="shared" si="201"/>
        <v>-2.2014575371838256E-3</v>
      </c>
      <c r="J1852" s="9">
        <f t="shared" si="202"/>
        <v>17.281336729480593</v>
      </c>
    </row>
    <row r="1853" spans="2:10" x14ac:dyDescent="0.25">
      <c r="B1853" s="1">
        <v>41591</v>
      </c>
      <c r="C1853" s="13">
        <v>18.594000000000001</v>
      </c>
      <c r="D1853" s="6">
        <f t="shared" si="196"/>
        <v>1.184578936032743E-3</v>
      </c>
      <c r="E1853" s="14">
        <f t="shared" si="197"/>
        <v>2.3340276979684859E-4</v>
      </c>
      <c r="F1853" s="9">
        <f t="shared" si="198"/>
        <v>17.415328188439517</v>
      </c>
      <c r="G1853" s="9">
        <f t="shared" si="199"/>
        <v>-0.35420599564680461</v>
      </c>
      <c r="H1853" s="9">
        <f t="shared" si="200"/>
        <v>-1.4986921460547393E-3</v>
      </c>
      <c r="I1853" s="9">
        <f t="shared" si="201"/>
        <v>-2.2538504013233933E-3</v>
      </c>
      <c r="J1853" s="9">
        <f t="shared" si="202"/>
        <v>17.057369650245334</v>
      </c>
    </row>
    <row r="1854" spans="2:10" x14ac:dyDescent="0.25">
      <c r="B1854" s="1">
        <v>41590</v>
      </c>
      <c r="C1854" s="13">
        <v>18.571999999999999</v>
      </c>
      <c r="D1854" s="6">
        <f t="shared" si="196"/>
        <v>1.8881156605707883E-3</v>
      </c>
      <c r="E1854" s="14">
        <f t="shared" si="197"/>
        <v>2.3340288136738219E-4</v>
      </c>
      <c r="F1854" s="9">
        <f t="shared" si="198"/>
        <v>17.415327710422453</v>
      </c>
      <c r="G1854" s="9">
        <f t="shared" si="199"/>
        <v>-4.2121437129833604E-4</v>
      </c>
      <c r="H1854" s="9">
        <f t="shared" si="200"/>
        <v>-1.1237008886216266E-4</v>
      </c>
      <c r="I1854" s="9">
        <f t="shared" si="201"/>
        <v>-6.81428094649416E-4</v>
      </c>
      <c r="J1854" s="9">
        <f t="shared" si="202"/>
        <v>17.414112697867647</v>
      </c>
    </row>
    <row r="1855" spans="2:10" x14ac:dyDescent="0.25">
      <c r="B1855" s="1">
        <v>41589</v>
      </c>
      <c r="C1855" s="13">
        <v>18.536999999999999</v>
      </c>
      <c r="D1855" s="6">
        <f t="shared" si="196"/>
        <v>-2.9046312731968449E-3</v>
      </c>
      <c r="E1855" s="14">
        <f t="shared" si="197"/>
        <v>2.3344969350154083E-4</v>
      </c>
      <c r="F1855" s="9">
        <f t="shared" si="198"/>
        <v>17.415127166881149</v>
      </c>
      <c r="G1855" s="9">
        <f t="shared" si="199"/>
        <v>-1.4607124758488188E-4</v>
      </c>
      <c r="H1855" s="9">
        <f t="shared" si="200"/>
        <v>7.0023699689190948E-5</v>
      </c>
      <c r="I1855" s="9">
        <f t="shared" si="201"/>
        <v>-8.4299966068527037E-4</v>
      </c>
      <c r="J1855" s="9">
        <f t="shared" si="202"/>
        <v>17.414208119672569</v>
      </c>
    </row>
    <row r="1856" spans="2:10" x14ac:dyDescent="0.25">
      <c r="B1856" s="1">
        <v>41586</v>
      </c>
      <c r="C1856" s="13">
        <v>18.591000000000001</v>
      </c>
      <c r="D1856" s="6">
        <f t="shared" si="196"/>
        <v>1.5735125389280569E-2</v>
      </c>
      <c r="E1856" s="14">
        <f t="shared" si="197"/>
        <v>2.3394525383354259E-4</v>
      </c>
      <c r="F1856" s="9">
        <f t="shared" si="198"/>
        <v>17.413006645379909</v>
      </c>
      <c r="G1856" s="9">
        <f t="shared" si="199"/>
        <v>-4.4026586816202223E-2</v>
      </c>
      <c r="H1856" s="9">
        <f t="shared" si="200"/>
        <v>-1.8571870183698006E-3</v>
      </c>
      <c r="I1856" s="9">
        <f t="shared" si="201"/>
        <v>-3.2662851196830233E-3</v>
      </c>
      <c r="J1856" s="9">
        <f t="shared" si="202"/>
        <v>17.363856586425655</v>
      </c>
    </row>
    <row r="1857" spans="2:10" x14ac:dyDescent="0.25">
      <c r="B1857" s="1">
        <v>41585</v>
      </c>
      <c r="C1857" s="13">
        <v>18.303000000000001</v>
      </c>
      <c r="D1857" s="6">
        <f t="shared" si="196"/>
        <v>-1.6179316276069611E-2</v>
      </c>
      <c r="E1857" s="14">
        <f t="shared" si="197"/>
        <v>2.3586275601371752E-4</v>
      </c>
      <c r="F1857" s="9">
        <f t="shared" si="198"/>
        <v>17.404843681839324</v>
      </c>
      <c r="G1857" s="9">
        <f t="shared" si="199"/>
        <v>-0.42316627643242344</v>
      </c>
      <c r="H1857" s="9">
        <f t="shared" si="200"/>
        <v>1.2023220789922606E-2</v>
      </c>
      <c r="I1857" s="9">
        <f t="shared" si="201"/>
        <v>-2.1231609200540891E-2</v>
      </c>
      <c r="J1857" s="9">
        <f t="shared" si="202"/>
        <v>16.972469016996286</v>
      </c>
    </row>
    <row r="1858" spans="2:10" x14ac:dyDescent="0.25">
      <c r="B1858" s="1">
        <v>41584</v>
      </c>
      <c r="C1858" s="13">
        <v>18.603999999999999</v>
      </c>
      <c r="D1858" s="6">
        <f t="shared" si="196"/>
        <v>-8.6326334860917786E-3</v>
      </c>
      <c r="E1858" s="14">
        <f t="shared" si="197"/>
        <v>2.3341592631159969E-4</v>
      </c>
      <c r="F1858" s="9">
        <f t="shared" si="198"/>
        <v>17.415271821739278</v>
      </c>
      <c r="G1858" s="9">
        <f t="shared" si="199"/>
        <v>-0.68122090600631269</v>
      </c>
      <c r="H1858" s="9">
        <f t="shared" si="200"/>
        <v>9.2840110126341281E-3</v>
      </c>
      <c r="I1858" s="9">
        <f t="shared" si="201"/>
        <v>-1.6342430840597517E-2</v>
      </c>
      <c r="J1858" s="9">
        <f t="shared" si="202"/>
        <v>16.726992495905002</v>
      </c>
    </row>
    <row r="1859" spans="2:10" x14ac:dyDescent="0.25">
      <c r="B1859" s="1">
        <v>41583</v>
      </c>
      <c r="C1859" s="13">
        <v>18.765999999999998</v>
      </c>
      <c r="D1859" s="6">
        <f t="shared" si="196"/>
        <v>-2.4982724711636317E-3</v>
      </c>
      <c r="E1859" s="14">
        <f t="shared" si="197"/>
        <v>2.3366222174373106E-4</v>
      </c>
      <c r="F1859" s="9">
        <f t="shared" si="198"/>
        <v>17.414217199698044</v>
      </c>
      <c r="G1859" s="9">
        <f t="shared" si="199"/>
        <v>-0.22592172368577018</v>
      </c>
      <c r="H1859" s="9">
        <f t="shared" si="200"/>
        <v>-3.4002841484633973E-3</v>
      </c>
      <c r="I1859" s="9">
        <f t="shared" si="201"/>
        <v>-1.7257563955410174E-3</v>
      </c>
      <c r="J1859" s="9">
        <f t="shared" si="202"/>
        <v>17.183169435468272</v>
      </c>
    </row>
    <row r="1860" spans="2:10" x14ac:dyDescent="0.25">
      <c r="B1860" s="1">
        <v>41582</v>
      </c>
      <c r="C1860" s="13">
        <v>18.812999999999999</v>
      </c>
      <c r="D1860" s="6">
        <f t="shared" si="196"/>
        <v>1.2921983524470937E-2</v>
      </c>
      <c r="E1860" s="14">
        <f t="shared" si="197"/>
        <v>2.4400745975225159E-4</v>
      </c>
      <c r="F1860" s="9">
        <f t="shared" si="198"/>
        <v>17.370894977807865</v>
      </c>
      <c r="G1860" s="9">
        <f t="shared" si="199"/>
        <v>-3.4980731340579899E-2</v>
      </c>
      <c r="H1860" s="9">
        <f t="shared" si="200"/>
        <v>-1.393504622389076E-2</v>
      </c>
      <c r="I1860" s="9">
        <f t="shared" si="201"/>
        <v>-0.43691037710164321</v>
      </c>
      <c r="J1860" s="9">
        <f t="shared" si="202"/>
        <v>16.885068823141751</v>
      </c>
    </row>
    <row r="1861" spans="2:10" x14ac:dyDescent="0.25">
      <c r="B1861" s="1">
        <v>41579</v>
      </c>
      <c r="C1861" s="13">
        <v>18.573</v>
      </c>
      <c r="D1861" s="6">
        <f t="shared" si="196"/>
        <v>-5.0889222198413631E-3</v>
      </c>
      <c r="E1861" s="14">
        <f t="shared" si="197"/>
        <v>2.4824764720360391E-4</v>
      </c>
      <c r="F1861" s="9">
        <f t="shared" si="198"/>
        <v>17.353666950036775</v>
      </c>
      <c r="G1861" s="9">
        <f t="shared" si="199"/>
        <v>-0.25769886798750052</v>
      </c>
      <c r="H1861" s="9">
        <f t="shared" si="200"/>
        <v>1.6959498043193844E-2</v>
      </c>
      <c r="I1861" s="9">
        <f t="shared" si="201"/>
        <v>-7.9789138252980313E-2</v>
      </c>
      <c r="J1861" s="9">
        <f t="shared" si="202"/>
        <v>17.033138441839487</v>
      </c>
    </row>
    <row r="1862" spans="2:10" x14ac:dyDescent="0.25">
      <c r="B1862" s="1">
        <v>41578</v>
      </c>
      <c r="C1862" s="13">
        <v>18.667999999999999</v>
      </c>
      <c r="D1862" s="6">
        <f t="shared" si="196"/>
        <v>-4.1608876560332853E-3</v>
      </c>
      <c r="E1862" s="14">
        <f t="shared" si="197"/>
        <v>2.4796815610034196E-4</v>
      </c>
      <c r="F1862" s="9">
        <f t="shared" si="198"/>
        <v>17.354793440289427</v>
      </c>
      <c r="G1862" s="9">
        <f t="shared" si="199"/>
        <v>-9.1224981928187024E-2</v>
      </c>
      <c r="H1862" s="9">
        <f t="shared" si="200"/>
        <v>-1.0444202612061981E-3</v>
      </c>
      <c r="I1862" s="9">
        <f t="shared" si="201"/>
        <v>-4.6088715251640518E-5</v>
      </c>
      <c r="J1862" s="9">
        <f t="shared" si="202"/>
        <v>17.262477949384785</v>
      </c>
    </row>
    <row r="1863" spans="2:10" x14ac:dyDescent="0.25">
      <c r="B1863" s="1">
        <v>41577</v>
      </c>
      <c r="C1863" s="13">
        <v>18.745999999999999</v>
      </c>
      <c r="D1863" s="6">
        <f t="shared" si="196"/>
        <v>1.5878176990191228E-2</v>
      </c>
      <c r="E1863" s="14">
        <f t="shared" si="197"/>
        <v>2.4848302921233689E-4</v>
      </c>
      <c r="F1863" s="9">
        <f t="shared" si="198"/>
        <v>17.352719225092343</v>
      </c>
      <c r="G1863" s="9">
        <f t="shared" si="199"/>
        <v>-6.7615936703396995E-2</v>
      </c>
      <c r="H1863" s="9">
        <f t="shared" si="200"/>
        <v>-2.2664846297829624E-3</v>
      </c>
      <c r="I1863" s="9">
        <f t="shared" si="201"/>
        <v>-3.0432150170261077E-3</v>
      </c>
      <c r="J1863" s="9">
        <f t="shared" si="202"/>
        <v>17.279793588742137</v>
      </c>
    </row>
    <row r="1864" spans="2:10" x14ac:dyDescent="0.25">
      <c r="B1864" s="1">
        <v>41576</v>
      </c>
      <c r="C1864" s="13">
        <v>18.452999999999999</v>
      </c>
      <c r="D1864" s="6">
        <f t="shared" si="196"/>
        <v>-2.4889029803424223E-2</v>
      </c>
      <c r="E1864" s="14">
        <f t="shared" si="197"/>
        <v>2.4891956824467143E-4</v>
      </c>
      <c r="F1864" s="9">
        <f t="shared" si="198"/>
        <v>17.350963950203763</v>
      </c>
      <c r="G1864" s="9">
        <f t="shared" si="199"/>
        <v>-0.4091423555002851</v>
      </c>
      <c r="H1864" s="9">
        <f t="shared" si="200"/>
        <v>5.23876446464684E-3</v>
      </c>
      <c r="I1864" s="9">
        <f t="shared" si="201"/>
        <v>-2.5301711653605181E-3</v>
      </c>
      <c r="J1864" s="9">
        <f t="shared" si="202"/>
        <v>16.944530188002762</v>
      </c>
    </row>
    <row r="1865" spans="2:10" x14ac:dyDescent="0.25">
      <c r="B1865" s="1">
        <v>41575</v>
      </c>
      <c r="C1865" s="13">
        <v>18.923999999999999</v>
      </c>
      <c r="D1865" s="6">
        <f t="shared" si="196"/>
        <v>7.4531516183986568E-3</v>
      </c>
      <c r="E1865" s="14">
        <f t="shared" si="197"/>
        <v>2.4411794179404799E-4</v>
      </c>
      <c r="F1865" s="9">
        <f t="shared" si="198"/>
        <v>17.37044229887195</v>
      </c>
      <c r="G1865" s="9">
        <f t="shared" si="199"/>
        <v>-1.4443817595775243</v>
      </c>
      <c r="H1865" s="9">
        <f t="shared" si="200"/>
        <v>3.2132069551531174E-2</v>
      </c>
      <c r="I1865" s="9">
        <f t="shared" si="201"/>
        <v>-7.3415124836144222E-2</v>
      </c>
      <c r="J1865" s="9">
        <f t="shared" si="202"/>
        <v>15.884777484009813</v>
      </c>
    </row>
    <row r="1866" spans="2:10" x14ac:dyDescent="0.25">
      <c r="B1866" s="1">
        <v>41572</v>
      </c>
      <c r="C1866" s="13">
        <v>18.783999999999999</v>
      </c>
      <c r="D1866" s="6">
        <f t="shared" si="196"/>
        <v>-1.1212296678422939E-2</v>
      </c>
      <c r="E1866" s="14">
        <f t="shared" si="197"/>
        <v>2.4406973041642585E-4</v>
      </c>
      <c r="F1866" s="9">
        <f t="shared" si="198"/>
        <v>17.370639810527912</v>
      </c>
      <c r="G1866" s="9">
        <f t="shared" si="199"/>
        <v>-6.9735017191676255E-2</v>
      </c>
      <c r="H1866" s="9">
        <f t="shared" si="200"/>
        <v>1.3286182902677243E-3</v>
      </c>
      <c r="I1866" s="9">
        <f t="shared" si="201"/>
        <v>-4.609023511774567E-4</v>
      </c>
      <c r="J1866" s="9">
        <f t="shared" si="202"/>
        <v>17.301772509275324</v>
      </c>
    </row>
    <row r="1867" spans="2:10" x14ac:dyDescent="0.25">
      <c r="B1867" s="1">
        <v>41571</v>
      </c>
      <c r="C1867" s="13">
        <v>18.997</v>
      </c>
      <c r="D1867" s="6">
        <f t="shared" si="196"/>
        <v>1.3227372126513481E-2</v>
      </c>
      <c r="E1867" s="14">
        <f t="shared" si="197"/>
        <v>2.4696031950432589E-4</v>
      </c>
      <c r="F1867" s="9">
        <f t="shared" si="198"/>
        <v>17.358866101446502</v>
      </c>
      <c r="G1867" s="9">
        <f t="shared" si="199"/>
        <v>-0.33475892076145913</v>
      </c>
      <c r="H1867" s="9">
        <f t="shared" si="200"/>
        <v>-1.4191614566336698E-2</v>
      </c>
      <c r="I1867" s="9">
        <f t="shared" si="201"/>
        <v>-4.0317310576695485E-2</v>
      </c>
      <c r="J1867" s="9">
        <f t="shared" si="202"/>
        <v>16.96959825554201</v>
      </c>
    </row>
    <row r="1868" spans="2:10" x14ac:dyDescent="0.25">
      <c r="B1868" s="1">
        <v>41570</v>
      </c>
      <c r="C1868" s="13">
        <v>18.748999999999999</v>
      </c>
      <c r="D1868" s="6">
        <f t="shared" si="196"/>
        <v>9.8023374804760977E-3</v>
      </c>
      <c r="E1868" s="14">
        <f t="shared" si="197"/>
        <v>2.4642385567661974E-4</v>
      </c>
      <c r="F1868" s="9">
        <f t="shared" si="198"/>
        <v>17.361040731546549</v>
      </c>
      <c r="G1868" s="9">
        <f t="shared" si="199"/>
        <v>-0.2738345535433761</v>
      </c>
      <c r="H1868" s="9">
        <f t="shared" si="200"/>
        <v>9.2072433921549775E-4</v>
      </c>
      <c r="I1868" s="9">
        <f t="shared" si="201"/>
        <v>-7.6867305577632081E-5</v>
      </c>
      <c r="J1868" s="9">
        <f t="shared" si="202"/>
        <v>17.088050035036812</v>
      </c>
    </row>
    <row r="1869" spans="2:10" x14ac:dyDescent="0.25">
      <c r="B1869" s="1">
        <v>41569</v>
      </c>
      <c r="C1869" s="13">
        <v>18.567</v>
      </c>
      <c r="D1869" s="6">
        <f t="shared" si="196"/>
        <v>-2.8464017185821922E-3</v>
      </c>
      <c r="E1869" s="14">
        <f t="shared" si="197"/>
        <v>2.4718317975507665E-4</v>
      </c>
      <c r="F1869" s="9">
        <f t="shared" si="198"/>
        <v>17.357964095182346</v>
      </c>
      <c r="G1869" s="9">
        <f t="shared" si="199"/>
        <v>-0.13558407318347601</v>
      </c>
      <c r="H1869" s="9">
        <f t="shared" si="200"/>
        <v>3.8156902152336599E-3</v>
      </c>
      <c r="I1869" s="9">
        <f t="shared" si="201"/>
        <v>-4.9541798071870806E-3</v>
      </c>
      <c r="J1869" s="9">
        <f t="shared" si="202"/>
        <v>17.221241532406918</v>
      </c>
    </row>
    <row r="1870" spans="2:10" x14ac:dyDescent="0.25">
      <c r="B1870" s="1">
        <v>41568</v>
      </c>
      <c r="C1870" s="13">
        <v>18.62</v>
      </c>
      <c r="D1870" s="6">
        <f t="shared" si="196"/>
        <v>2.448418156808807E-2</v>
      </c>
      <c r="E1870" s="14">
        <f t="shared" si="197"/>
        <v>2.477622925091817E-4</v>
      </c>
      <c r="F1870" s="9">
        <f t="shared" si="198"/>
        <v>17.355623986823623</v>
      </c>
      <c r="G1870" s="9">
        <f t="shared" si="199"/>
        <v>-4.0509938711104872E-2</v>
      </c>
      <c r="H1870" s="9">
        <f t="shared" si="200"/>
        <v>-1.8426404382849385E-3</v>
      </c>
      <c r="I1870" s="9">
        <f t="shared" si="201"/>
        <v>-3.5094924381410255E-3</v>
      </c>
      <c r="J1870" s="9">
        <f t="shared" si="202"/>
        <v>17.309761915236095</v>
      </c>
    </row>
    <row r="1871" spans="2:10" x14ac:dyDescent="0.25">
      <c r="B1871" s="1">
        <v>41565</v>
      </c>
      <c r="C1871" s="13">
        <v>18.175000000000001</v>
      </c>
      <c r="D1871" s="6">
        <f t="shared" si="196"/>
        <v>8.713508713508622E-3</v>
      </c>
      <c r="E1871" s="14">
        <f t="shared" si="197"/>
        <v>2.4988930763479448E-4</v>
      </c>
      <c r="F1871" s="9">
        <f t="shared" si="198"/>
        <v>17.347075725038778</v>
      </c>
      <c r="G1871" s="9">
        <f t="shared" si="199"/>
        <v>-1.0484258001770592</v>
      </c>
      <c r="H1871" s="9">
        <f t="shared" si="200"/>
        <v>1.9803128531642695E-2</v>
      </c>
      <c r="I1871" s="9">
        <f t="shared" si="201"/>
        <v>-2.3375343678852228E-2</v>
      </c>
      <c r="J1871" s="9">
        <f t="shared" si="202"/>
        <v>16.295077709714505</v>
      </c>
    </row>
    <row r="1872" spans="2:10" x14ac:dyDescent="0.25">
      <c r="B1872" s="1">
        <v>41564</v>
      </c>
      <c r="C1872" s="13">
        <v>18.018000000000001</v>
      </c>
      <c r="D1872" s="6">
        <f t="shared" ref="D1872:D1935" si="203">C1872/C1873-1</f>
        <v>6.760909649662139E-3</v>
      </c>
      <c r="E1872" s="14">
        <f t="shared" ref="E1872:E1935" si="204">_xlfn.VAR.S(D1872:D1992)</f>
        <v>2.5663861138304668E-4</v>
      </c>
      <c r="F1872" s="9">
        <f t="shared" si="198"/>
        <v>17.320424861483428</v>
      </c>
      <c r="G1872" s="9">
        <f t="shared" si="199"/>
        <v>-9.8119013314038508E-2</v>
      </c>
      <c r="H1872" s="9">
        <f t="shared" si="200"/>
        <v>1.5415120639182328E-2</v>
      </c>
      <c r="I1872" s="9">
        <f t="shared" si="201"/>
        <v>-0.1827738761814667</v>
      </c>
      <c r="J1872" s="9">
        <f t="shared" si="202"/>
        <v>17.054947092627103</v>
      </c>
    </row>
    <row r="1873" spans="2:10" x14ac:dyDescent="0.25">
      <c r="B1873" s="1">
        <v>41563</v>
      </c>
      <c r="C1873" s="13">
        <v>17.896999999999998</v>
      </c>
      <c r="D1873" s="6">
        <f t="shared" si="203"/>
        <v>4.8848961257719203E-3</v>
      </c>
      <c r="E1873" s="14">
        <f t="shared" si="204"/>
        <v>2.5970966011683804E-4</v>
      </c>
      <c r="F1873" s="9">
        <f t="shared" ref="F1873:F1936" si="205">LN(2*PI())-LN($C$6)-LN(E1873)-0.5*LN(1-POWER($C$7,2))</f>
        <v>17.308529460196564</v>
      </c>
      <c r="G1873" s="9">
        <f t="shared" ref="G1873:G1936" si="206">-POWER(D1872-1-$C$3,2)/(2*E1873*(1-POWER($C$7,2)))</f>
        <v>-5.0886501720119992E-2</v>
      </c>
      <c r="H1873" s="9">
        <f t="shared" ref="H1873:H1936" si="207">$C$7*(D1872-1-$C$3)*(E1872-E1873-$C$5*$C$4)/(E1873*$C$6*(1-POWER($C$7,2)))</f>
        <v>5.6593181723391872E-3</v>
      </c>
      <c r="I1873" s="9">
        <f t="shared" ref="I1873:I1936" si="208">-POWER(E1872-E1873-$C$5*$C$4+$C$4*E1873,2)/(2*POWER($C$6,2)*E1873*(1-POWER($C$7,2)))</f>
        <v>-4.2150544474334778E-2</v>
      </c>
      <c r="J1873" s="9">
        <f t="shared" ref="J1873:J1936" si="209">SUM(F1873:I1873)</f>
        <v>17.221151732174445</v>
      </c>
    </row>
    <row r="1874" spans="2:10" x14ac:dyDescent="0.25">
      <c r="B1874" s="1">
        <v>41562</v>
      </c>
      <c r="C1874" s="13">
        <v>17.809999999999999</v>
      </c>
      <c r="D1874" s="6">
        <f t="shared" si="203"/>
        <v>5.305938135019117E-3</v>
      </c>
      <c r="E1874" s="14">
        <f t="shared" si="204"/>
        <v>2.5987055251493294E-4</v>
      </c>
      <c r="F1874" s="9">
        <f t="shared" si="205"/>
        <v>17.30791014329678</v>
      </c>
      <c r="G1874" s="9">
        <f t="shared" si="206"/>
        <v>-2.0477534596451189E-2</v>
      </c>
      <c r="H1874" s="9">
        <f t="shared" si="207"/>
        <v>8.9155361285254097E-4</v>
      </c>
      <c r="I1874" s="9">
        <f t="shared" si="208"/>
        <v>-1.0058034646317406E-3</v>
      </c>
      <c r="J1874" s="9">
        <f t="shared" si="209"/>
        <v>17.287318358848548</v>
      </c>
    </row>
    <row r="1875" spans="2:10" x14ac:dyDescent="0.25">
      <c r="B1875" s="1">
        <v>41561</v>
      </c>
      <c r="C1875" s="13">
        <v>17.716000000000001</v>
      </c>
      <c r="D1875" s="6">
        <f t="shared" si="203"/>
        <v>6.5909090909090917E-3</v>
      </c>
      <c r="E1875" s="14">
        <f t="shared" si="204"/>
        <v>2.598688837443589E-4</v>
      </c>
      <c r="F1875" s="9">
        <f t="shared" si="205"/>
        <v>17.307916564862886</v>
      </c>
      <c r="G1875" s="9">
        <f t="shared" si="206"/>
        <v>-2.611329076004279E-2</v>
      </c>
      <c r="H1875" s="9">
        <f t="shared" si="207"/>
        <v>8.3664199470025429E-4</v>
      </c>
      <c r="I1875" s="9">
        <f t="shared" si="208"/>
        <v>-4.8498001751354734E-4</v>
      </c>
      <c r="J1875" s="9">
        <f t="shared" si="209"/>
        <v>17.282154936080026</v>
      </c>
    </row>
    <row r="1876" spans="2:10" x14ac:dyDescent="0.25">
      <c r="B1876" s="1">
        <v>41558</v>
      </c>
      <c r="C1876" s="13">
        <v>17.600000000000001</v>
      </c>
      <c r="D1876" s="6">
        <f t="shared" si="203"/>
        <v>6.4619431577745967E-3</v>
      </c>
      <c r="E1876" s="14">
        <f t="shared" si="204"/>
        <v>2.6206589842984893E-4</v>
      </c>
      <c r="F1876" s="9">
        <f t="shared" si="205"/>
        <v>17.299497782529187</v>
      </c>
      <c r="G1876" s="9">
        <f t="shared" si="206"/>
        <v>-4.7144318522255632E-2</v>
      </c>
      <c r="H1876" s="9">
        <f t="shared" si="207"/>
        <v>4.1986407206687911E-3</v>
      </c>
      <c r="I1876" s="9">
        <f t="shared" si="208"/>
        <v>-2.318180273241386E-2</v>
      </c>
      <c r="J1876" s="9">
        <f t="shared" si="209"/>
        <v>17.233370301995187</v>
      </c>
    </row>
    <row r="1877" spans="2:10" x14ac:dyDescent="0.25">
      <c r="B1877" s="1">
        <v>41557</v>
      </c>
      <c r="C1877" s="13">
        <v>17.486999999999998</v>
      </c>
      <c r="D1877" s="6">
        <f t="shared" si="203"/>
        <v>6.2722983082057482E-3</v>
      </c>
      <c r="E1877" s="14">
        <f t="shared" si="204"/>
        <v>2.6485645842757758E-4</v>
      </c>
      <c r="F1877" s="9">
        <f t="shared" si="205"/>
        <v>17.288905762467859</v>
      </c>
      <c r="G1877" s="9">
        <f t="shared" si="206"/>
        <v>-4.4255044845726212E-2</v>
      </c>
      <c r="H1877" s="9">
        <f t="shared" si="207"/>
        <v>4.8475818005429975E-3</v>
      </c>
      <c r="I1877" s="9">
        <f t="shared" si="208"/>
        <v>-3.4682756311425769E-2</v>
      </c>
      <c r="J1877" s="9">
        <f t="shared" si="209"/>
        <v>17.21481554311125</v>
      </c>
    </row>
    <row r="1878" spans="2:10" x14ac:dyDescent="0.25">
      <c r="B1878" s="1">
        <v>41556</v>
      </c>
      <c r="C1878" s="13">
        <v>17.378</v>
      </c>
      <c r="D1878" s="6">
        <f t="shared" si="203"/>
        <v>1.1760596180717453E-2</v>
      </c>
      <c r="E1878" s="14">
        <f t="shared" si="204"/>
        <v>2.6498336480032769E-4</v>
      </c>
      <c r="F1878" s="9">
        <f t="shared" si="205"/>
        <v>17.288426725711417</v>
      </c>
      <c r="G1878" s="9">
        <f t="shared" si="206"/>
        <v>-4.0831624169133385E-2</v>
      </c>
      <c r="H1878" s="9">
        <f t="shared" si="207"/>
        <v>1.2026896960201539E-3</v>
      </c>
      <c r="I1878" s="9">
        <f t="shared" si="208"/>
        <v>-8.3525470766514568E-4</v>
      </c>
      <c r="J1878" s="9">
        <f t="shared" si="209"/>
        <v>17.247962536530636</v>
      </c>
    </row>
    <row r="1879" spans="2:10" x14ac:dyDescent="0.25">
      <c r="B1879" s="1">
        <v>41555</v>
      </c>
      <c r="C1879" s="13">
        <v>17.175999999999998</v>
      </c>
      <c r="D1879" s="6">
        <f t="shared" si="203"/>
        <v>-1.4006888633754544E-2</v>
      </c>
      <c r="E1879" s="14">
        <f t="shared" si="204"/>
        <v>2.7089545701659986E-4</v>
      </c>
      <c r="F1879" s="9">
        <f t="shared" si="205"/>
        <v>17.266360796402992</v>
      </c>
      <c r="G1879" s="9">
        <f t="shared" si="206"/>
        <v>-0.19008543454012763</v>
      </c>
      <c r="H1879" s="9">
        <f t="shared" si="207"/>
        <v>1.8567907967943283E-2</v>
      </c>
      <c r="I1879" s="9">
        <f t="shared" si="208"/>
        <v>-0.13384656367211609</v>
      </c>
      <c r="J1879" s="9">
        <f t="shared" si="209"/>
        <v>16.960996706158692</v>
      </c>
    </row>
    <row r="1880" spans="2:10" x14ac:dyDescent="0.25">
      <c r="B1880" s="1">
        <v>41554</v>
      </c>
      <c r="C1880" s="13">
        <v>17.420000000000002</v>
      </c>
      <c r="D1880" s="6">
        <f t="shared" si="203"/>
        <v>9.7965335342879989E-3</v>
      </c>
      <c r="E1880" s="14">
        <f t="shared" si="204"/>
        <v>2.9542991308518227E-4</v>
      </c>
      <c r="F1880" s="9">
        <f t="shared" si="205"/>
        <v>17.179662147435316</v>
      </c>
      <c r="G1880" s="9">
        <f t="shared" si="206"/>
        <v>-0.41490838553049669</v>
      </c>
      <c r="H1880" s="9">
        <f t="shared" si="207"/>
        <v>-9.9139141936877923E-2</v>
      </c>
      <c r="I1880" s="9">
        <f t="shared" si="208"/>
        <v>-1.9304796294537854</v>
      </c>
      <c r="J1880" s="9">
        <f t="shared" si="209"/>
        <v>14.735134990514158</v>
      </c>
    </row>
    <row r="1881" spans="2:10" x14ac:dyDescent="0.25">
      <c r="B1881" s="1">
        <v>41551</v>
      </c>
      <c r="C1881" s="13">
        <v>17.251000000000001</v>
      </c>
      <c r="D1881" s="6">
        <f t="shared" si="203"/>
        <v>-8.1088908195769971E-4</v>
      </c>
      <c r="E1881" s="14">
        <f t="shared" si="204"/>
        <v>2.9644105144838282E-4</v>
      </c>
      <c r="F1881" s="9">
        <f t="shared" si="205"/>
        <v>17.176245391393955</v>
      </c>
      <c r="G1881" s="9">
        <f t="shared" si="206"/>
        <v>-0.11289438983777504</v>
      </c>
      <c r="H1881" s="9">
        <f t="shared" si="207"/>
        <v>3.6925160545250718E-3</v>
      </c>
      <c r="I1881" s="9">
        <f t="shared" si="208"/>
        <v>-5.4435504228248707E-3</v>
      </c>
      <c r="J1881" s="9">
        <f t="shared" si="209"/>
        <v>17.061599967187881</v>
      </c>
    </row>
    <row r="1882" spans="2:10" x14ac:dyDescent="0.25">
      <c r="B1882" s="1">
        <v>41550</v>
      </c>
      <c r="C1882" s="13">
        <v>17.265000000000001</v>
      </c>
      <c r="D1882" s="6">
        <f t="shared" si="203"/>
        <v>-1.2525737817433158E-2</v>
      </c>
      <c r="E1882" s="14">
        <f t="shared" si="204"/>
        <v>3.0134418987906754E-4</v>
      </c>
      <c r="F1882" s="9">
        <f t="shared" si="205"/>
        <v>17.159840675954065</v>
      </c>
      <c r="G1882" s="9">
        <f t="shared" si="206"/>
        <v>-9.8933324036740624E-3</v>
      </c>
      <c r="H1882" s="9">
        <f t="shared" si="207"/>
        <v>-3.4126878589926927E-3</v>
      </c>
      <c r="I1882" s="9">
        <f t="shared" si="208"/>
        <v>-8.3071760859484298E-2</v>
      </c>
      <c r="J1882" s="9">
        <f t="shared" si="209"/>
        <v>17.063462894831911</v>
      </c>
    </row>
    <row r="1883" spans="2:10" x14ac:dyDescent="0.25">
      <c r="B1883" s="1">
        <v>41549</v>
      </c>
      <c r="C1883" s="13">
        <v>17.484000000000002</v>
      </c>
      <c r="D1883" s="6">
        <f t="shared" si="203"/>
        <v>3.2707867102772514E-3</v>
      </c>
      <c r="E1883" s="14">
        <f t="shared" si="204"/>
        <v>3.0090641161934493E-4</v>
      </c>
      <c r="F1883" s="9">
        <f t="shared" si="205"/>
        <v>17.161294483839814</v>
      </c>
      <c r="G1883" s="9">
        <f t="shared" si="206"/>
        <v>-0.33382907577903531</v>
      </c>
      <c r="H1883" s="9">
        <f t="shared" si="207"/>
        <v>-1.2631853269332786E-3</v>
      </c>
      <c r="I1883" s="9">
        <f t="shared" si="208"/>
        <v>-5.5662244879434781E-5</v>
      </c>
      <c r="J1883" s="9">
        <f t="shared" si="209"/>
        <v>16.826146560488965</v>
      </c>
    </row>
    <row r="1884" spans="2:10" x14ac:dyDescent="0.25">
      <c r="B1884" s="1">
        <v>41548</v>
      </c>
      <c r="C1884" s="13">
        <v>17.427</v>
      </c>
      <c r="D1884" s="6">
        <f t="shared" si="203"/>
        <v>2.3492100781112191E-2</v>
      </c>
      <c r="E1884" s="14">
        <f t="shared" si="204"/>
        <v>3.0101440907216758E-4</v>
      </c>
      <c r="F1884" s="9">
        <f t="shared" si="205"/>
        <v>17.160935641114097</v>
      </c>
      <c r="G1884" s="9">
        <f t="shared" si="206"/>
        <v>-4.4995862955035434E-3</v>
      </c>
      <c r="H1884" s="9">
        <f t="shared" si="207"/>
        <v>3.6695733448051794E-4</v>
      </c>
      <c r="I1884" s="9">
        <f t="shared" si="208"/>
        <v>-5.1828672921626806E-4</v>
      </c>
      <c r="J1884" s="9">
        <f t="shared" si="209"/>
        <v>17.156284725423859</v>
      </c>
    </row>
    <row r="1885" spans="2:10" x14ac:dyDescent="0.25">
      <c r="B1885" s="1">
        <v>41547</v>
      </c>
      <c r="C1885" s="13">
        <v>17.027000000000001</v>
      </c>
      <c r="D1885" s="6">
        <f t="shared" si="203"/>
        <v>-1.2412273070007473E-2</v>
      </c>
      <c r="E1885" s="14">
        <f t="shared" si="204"/>
        <v>2.9993705873324788E-4</v>
      </c>
      <c r="F1885" s="9">
        <f t="shared" si="205"/>
        <v>17.164521126967152</v>
      </c>
      <c r="G1885" s="9">
        <f t="shared" si="206"/>
        <v>-0.79930449315748919</v>
      </c>
      <c r="H1885" s="9">
        <f t="shared" si="207"/>
        <v>-1.4896827821278484E-3</v>
      </c>
      <c r="I1885" s="9">
        <f t="shared" si="208"/>
        <v>-1.8385825787967205E-3</v>
      </c>
      <c r="J1885" s="9">
        <f t="shared" si="209"/>
        <v>16.361888368448739</v>
      </c>
    </row>
    <row r="1886" spans="2:10" x14ac:dyDescent="0.25">
      <c r="B1886" s="1">
        <v>41544</v>
      </c>
      <c r="C1886" s="13">
        <v>17.241</v>
      </c>
      <c r="D1886" s="6">
        <f t="shared" si="203"/>
        <v>-7.1408004606967612E-3</v>
      </c>
      <c r="E1886" s="14">
        <f t="shared" si="204"/>
        <v>2.9841476985141503E-4</v>
      </c>
      <c r="F1886" s="9">
        <f t="shared" si="205"/>
        <v>17.169609411463085</v>
      </c>
      <c r="G1886" s="9">
        <f t="shared" si="206"/>
        <v>-0.33124076598357471</v>
      </c>
      <c r="H1886" s="9">
        <f t="shared" si="207"/>
        <v>2.5092754708209344E-3</v>
      </c>
      <c r="I1886" s="9">
        <f t="shared" si="208"/>
        <v>-4.5702835031850922E-3</v>
      </c>
      <c r="J1886" s="9">
        <f t="shared" si="209"/>
        <v>16.836307637447145</v>
      </c>
    </row>
    <row r="1887" spans="2:10" x14ac:dyDescent="0.25">
      <c r="B1887" s="1">
        <v>41543</v>
      </c>
      <c r="C1887" s="13">
        <v>17.364999999999998</v>
      </c>
      <c r="D1887" s="6">
        <f t="shared" si="203"/>
        <v>9.710431445516754E-3</v>
      </c>
      <c r="E1887" s="14">
        <f t="shared" si="204"/>
        <v>2.9812082734398962E-4</v>
      </c>
      <c r="F1887" s="9">
        <f t="shared" si="205"/>
        <v>17.170594910174636</v>
      </c>
      <c r="G1887" s="9">
        <f t="shared" si="206"/>
        <v>-0.12932331349012938</v>
      </c>
      <c r="H1887" s="9">
        <f t="shared" si="207"/>
        <v>-1.10269069814023E-3</v>
      </c>
      <c r="I1887" s="9">
        <f t="shared" si="208"/>
        <v>-5.8972961250731217E-7</v>
      </c>
      <c r="J1887" s="9">
        <f t="shared" si="209"/>
        <v>17.040168316256754</v>
      </c>
    </row>
    <row r="1888" spans="2:10" x14ac:dyDescent="0.25">
      <c r="B1888" s="1">
        <v>41542</v>
      </c>
      <c r="C1888" s="13">
        <v>17.198</v>
      </c>
      <c r="D1888" s="6">
        <f t="shared" si="203"/>
        <v>-1.5456835356079668E-2</v>
      </c>
      <c r="E1888" s="14">
        <f t="shared" si="204"/>
        <v>2.9868262818948837E-4</v>
      </c>
      <c r="F1888" s="9">
        <f t="shared" si="205"/>
        <v>17.168712209911313</v>
      </c>
      <c r="G1888" s="9">
        <f t="shared" si="206"/>
        <v>-0.10969765551589127</v>
      </c>
      <c r="H1888" s="9">
        <f t="shared" si="207"/>
        <v>2.7270233884394896E-3</v>
      </c>
      <c r="I1888" s="9">
        <f t="shared" si="208"/>
        <v>-2.333581398211279E-3</v>
      </c>
      <c r="J1888" s="9">
        <f t="shared" si="209"/>
        <v>17.059407996385648</v>
      </c>
    </row>
    <row r="1889" spans="2:10" x14ac:dyDescent="0.25">
      <c r="B1889" s="1">
        <v>41541</v>
      </c>
      <c r="C1889" s="13">
        <v>17.468</v>
      </c>
      <c r="D1889" s="6">
        <f t="shared" si="203"/>
        <v>-3.1387319522913071E-3</v>
      </c>
      <c r="E1889" s="14">
        <f t="shared" si="204"/>
        <v>2.9739302758317751E-4</v>
      </c>
      <c r="F1889" s="9">
        <f t="shared" si="205"/>
        <v>17.173039186213366</v>
      </c>
      <c r="G1889" s="9">
        <f t="shared" si="206"/>
        <v>-0.49216528645489449</v>
      </c>
      <c r="H1889" s="9">
        <f t="shared" si="207"/>
        <v>2.0755156600093024E-3</v>
      </c>
      <c r="I1889" s="9">
        <f t="shared" si="208"/>
        <v>-2.9873705648224523E-3</v>
      </c>
      <c r="J1889" s="9">
        <f t="shared" si="209"/>
        <v>16.67996204485366</v>
      </c>
    </row>
    <row r="1890" spans="2:10" x14ac:dyDescent="0.25">
      <c r="B1890" s="1">
        <v>41540</v>
      </c>
      <c r="C1890" s="13">
        <v>17.523</v>
      </c>
      <c r="D1890" s="6">
        <f t="shared" si="203"/>
        <v>4.9721440124603111E-2</v>
      </c>
      <c r="E1890" s="14">
        <f t="shared" si="204"/>
        <v>2.973605560744354E-4</v>
      </c>
      <c r="F1890" s="9">
        <f t="shared" si="205"/>
        <v>17.17314837936383</v>
      </c>
      <c r="G1890" s="9">
        <f t="shared" si="206"/>
        <v>-3.8308284661410792E-2</v>
      </c>
      <c r="H1890" s="9">
        <f t="shared" si="207"/>
        <v>-9.108010391550692E-4</v>
      </c>
      <c r="I1890" s="9">
        <f t="shared" si="208"/>
        <v>-2.3755652042137975E-4</v>
      </c>
      <c r="J1890" s="9">
        <f t="shared" si="209"/>
        <v>17.133691737142843</v>
      </c>
    </row>
    <row r="1891" spans="2:10" x14ac:dyDescent="0.25">
      <c r="B1891" s="1">
        <v>41537</v>
      </c>
      <c r="C1891" s="13">
        <v>16.693000000000001</v>
      </c>
      <c r="D1891" s="6">
        <f t="shared" si="203"/>
        <v>-1.0374673938818857E-2</v>
      </c>
      <c r="E1891" s="14">
        <f t="shared" si="204"/>
        <v>2.7762507437454942E-4</v>
      </c>
      <c r="F1891" s="9">
        <f t="shared" si="205"/>
        <v>17.241822225278582</v>
      </c>
      <c r="G1891" s="9">
        <f t="shared" si="206"/>
        <v>-4.1780923158471106</v>
      </c>
      <c r="H1891" s="9">
        <f t="shared" si="207"/>
        <v>-0.24253883376539029</v>
      </c>
      <c r="I1891" s="9">
        <f t="shared" si="208"/>
        <v>-1.2515631668795504</v>
      </c>
      <c r="J1891" s="9">
        <f t="shared" si="209"/>
        <v>11.569627908786531</v>
      </c>
    </row>
    <row r="1892" spans="2:10" x14ac:dyDescent="0.25">
      <c r="B1892" s="1">
        <v>41536</v>
      </c>
      <c r="C1892" s="13">
        <v>16.867999999999999</v>
      </c>
      <c r="D1892" s="6">
        <f t="shared" si="203"/>
        <v>1.638949144372126E-2</v>
      </c>
      <c r="E1892" s="14">
        <f t="shared" si="204"/>
        <v>2.850296844673397E-4</v>
      </c>
      <c r="F1892" s="9">
        <f t="shared" si="205"/>
        <v>17.21550044451832</v>
      </c>
      <c r="G1892" s="9">
        <f t="shared" si="206"/>
        <v>-0.25343819747323937</v>
      </c>
      <c r="H1892" s="9">
        <f t="shared" si="207"/>
        <v>-2.554870286840832E-2</v>
      </c>
      <c r="I1892" s="9">
        <f t="shared" si="208"/>
        <v>-0.19386670125041622</v>
      </c>
      <c r="J1892" s="9">
        <f t="shared" si="209"/>
        <v>16.742646842926252</v>
      </c>
    </row>
    <row r="1893" spans="2:10" x14ac:dyDescent="0.25">
      <c r="B1893" s="1">
        <v>41535</v>
      </c>
      <c r="C1893" s="13">
        <v>16.596</v>
      </c>
      <c r="D1893" s="6">
        <f t="shared" si="203"/>
        <v>2.0601439025890178E-2</v>
      </c>
      <c r="E1893" s="14">
        <f t="shared" si="204"/>
        <v>2.8674684453603089E-4</v>
      </c>
      <c r="F1893" s="9">
        <f t="shared" si="205"/>
        <v>17.209494023673471</v>
      </c>
      <c r="G1893" s="9">
        <f t="shared" si="206"/>
        <v>-0.38111269834736455</v>
      </c>
      <c r="H1893" s="9">
        <f t="shared" si="207"/>
        <v>9.5857437177079789E-3</v>
      </c>
      <c r="I1893" s="9">
        <f t="shared" si="208"/>
        <v>-1.3456332898235206E-2</v>
      </c>
      <c r="J1893" s="9">
        <f t="shared" si="209"/>
        <v>16.824510736145577</v>
      </c>
    </row>
    <row r="1894" spans="2:10" x14ac:dyDescent="0.25">
      <c r="B1894" s="1">
        <v>41534</v>
      </c>
      <c r="C1894" s="13">
        <v>16.260999999999999</v>
      </c>
      <c r="D1894" s="6">
        <f t="shared" si="203"/>
        <v>1.1507837770589724E-2</v>
      </c>
      <c r="E1894" s="14">
        <f t="shared" si="204"/>
        <v>2.8655194038882547E-4</v>
      </c>
      <c r="F1894" s="9">
        <f t="shared" si="205"/>
        <v>17.210173962859947</v>
      </c>
      <c r="G1894" s="9">
        <f t="shared" si="206"/>
        <v>-0.63004539412609684</v>
      </c>
      <c r="H1894" s="9">
        <f t="shared" si="207"/>
        <v>2.9674405563458678E-3</v>
      </c>
      <c r="I1894" s="9">
        <f t="shared" si="208"/>
        <v>-5.6151497690859395E-5</v>
      </c>
      <c r="J1894" s="9">
        <f t="shared" si="209"/>
        <v>16.583039857792507</v>
      </c>
    </row>
    <row r="1895" spans="2:10" x14ac:dyDescent="0.25">
      <c r="B1895" s="1">
        <v>41533</v>
      </c>
      <c r="C1895" s="13">
        <v>16.076000000000001</v>
      </c>
      <c r="D1895" s="6">
        <f t="shared" si="203"/>
        <v>-3.1799566369549392E-2</v>
      </c>
      <c r="E1895" s="14">
        <f t="shared" si="204"/>
        <v>2.8566957898420477E-4</v>
      </c>
      <c r="F1895" s="9">
        <f t="shared" si="205"/>
        <v>17.213257950700637</v>
      </c>
      <c r="G1895" s="9">
        <f t="shared" si="206"/>
        <v>-0.17137448087817794</v>
      </c>
      <c r="H1895" s="9">
        <f t="shared" si="207"/>
        <v>-2.0811909677489888E-4</v>
      </c>
      <c r="I1895" s="9">
        <f t="shared" si="208"/>
        <v>-9.9260263063917302E-4</v>
      </c>
      <c r="J1895" s="9">
        <f t="shared" si="209"/>
        <v>17.040682748095044</v>
      </c>
    </row>
    <row r="1896" spans="2:10" x14ac:dyDescent="0.25">
      <c r="B1896" s="1">
        <v>41530</v>
      </c>
      <c r="C1896" s="13">
        <v>16.603999999999999</v>
      </c>
      <c r="D1896" s="6">
        <f t="shared" si="203"/>
        <v>-1.646724321762838E-2</v>
      </c>
      <c r="E1896" s="14">
        <f t="shared" si="204"/>
        <v>2.7732281307142728E-4</v>
      </c>
      <c r="F1896" s="9">
        <f t="shared" si="205"/>
        <v>17.242911557591942</v>
      </c>
      <c r="G1896" s="9">
        <f t="shared" si="206"/>
        <v>-2.0205066022375178</v>
      </c>
      <c r="H1896" s="9">
        <f t="shared" si="207"/>
        <v>6.7252650801945771E-2</v>
      </c>
      <c r="I1896" s="9">
        <f t="shared" si="208"/>
        <v>-0.21344191447918581</v>
      </c>
      <c r="J1896" s="9">
        <f t="shared" si="209"/>
        <v>15.076215691677184</v>
      </c>
    </row>
    <row r="1897" spans="2:10" x14ac:dyDescent="0.25">
      <c r="B1897" s="1">
        <v>41529</v>
      </c>
      <c r="C1897" s="13">
        <v>16.882000000000001</v>
      </c>
      <c r="D1897" s="6">
        <f t="shared" si="203"/>
        <v>1.0656130268199338E-2</v>
      </c>
      <c r="E1897" s="14">
        <f t="shared" si="204"/>
        <v>2.7828212771382961E-4</v>
      </c>
      <c r="F1897" s="9">
        <f t="shared" si="205"/>
        <v>17.239458328416735</v>
      </c>
      <c r="G1897" s="9">
        <f t="shared" si="206"/>
        <v>-0.59001838988870792</v>
      </c>
      <c r="H1897" s="9">
        <f t="shared" si="207"/>
        <v>-8.4633896482353317E-3</v>
      </c>
      <c r="I1897" s="9">
        <f t="shared" si="208"/>
        <v>-5.6092219876039675E-3</v>
      </c>
      <c r="J1897" s="9">
        <f t="shared" si="209"/>
        <v>16.635367326892187</v>
      </c>
    </row>
    <row r="1898" spans="2:10" x14ac:dyDescent="0.25">
      <c r="B1898" s="1">
        <v>41528</v>
      </c>
      <c r="C1898" s="13">
        <v>16.704000000000001</v>
      </c>
      <c r="D1898" s="6">
        <f t="shared" si="203"/>
        <v>-5.4454885090003402E-2</v>
      </c>
      <c r="E1898" s="14">
        <f t="shared" si="204"/>
        <v>2.77423055704117E-4</v>
      </c>
      <c r="F1898" s="9">
        <f t="shared" si="205"/>
        <v>17.242550157392596</v>
      </c>
      <c r="G1898" s="9">
        <f t="shared" si="206"/>
        <v>-0.1473564002197312</v>
      </c>
      <c r="H1898" s="9">
        <f t="shared" si="207"/>
        <v>-1.3978688176365467E-4</v>
      </c>
      <c r="I1898" s="9">
        <f t="shared" si="208"/>
        <v>-8.9037473622175412E-4</v>
      </c>
      <c r="J1898" s="9">
        <f t="shared" si="209"/>
        <v>17.094163595554878</v>
      </c>
    </row>
    <row r="1899" spans="2:10" x14ac:dyDescent="0.25">
      <c r="B1899" s="1">
        <v>41527</v>
      </c>
      <c r="C1899" s="13">
        <v>17.666</v>
      </c>
      <c r="D1899" s="6">
        <f t="shared" si="203"/>
        <v>-2.2790131651731382E-2</v>
      </c>
      <c r="E1899" s="14">
        <f t="shared" si="204"/>
        <v>2.5243639086769664E-4</v>
      </c>
      <c r="F1899" s="9">
        <f t="shared" si="205"/>
        <v>17.336934475765609</v>
      </c>
      <c r="G1899" s="9">
        <f t="shared" si="206"/>
        <v>-6.2481567814105157</v>
      </c>
      <c r="H1899" s="9">
        <f t="shared" si="207"/>
        <v>0.39730691227042153</v>
      </c>
      <c r="I1899" s="9">
        <f t="shared" si="208"/>
        <v>-2.2152378576782339</v>
      </c>
      <c r="J1899" s="9">
        <f t="shared" si="209"/>
        <v>9.2708467489472817</v>
      </c>
    </row>
    <row r="1900" spans="2:10" x14ac:dyDescent="0.25">
      <c r="B1900" s="1">
        <v>41526</v>
      </c>
      <c r="C1900" s="13">
        <v>18.077999999999999</v>
      </c>
      <c r="D1900" s="6">
        <f t="shared" si="203"/>
        <v>1.5960436102056885E-2</v>
      </c>
      <c r="E1900" s="14">
        <f t="shared" si="204"/>
        <v>2.478650694726433E-4</v>
      </c>
      <c r="F1900" s="9">
        <f t="shared" si="205"/>
        <v>17.355209251993315</v>
      </c>
      <c r="G1900" s="9">
        <f t="shared" si="206"/>
        <v>-1.2062564315198174</v>
      </c>
      <c r="H1900" s="9">
        <f t="shared" si="207"/>
        <v>2.7463771884994232E-2</v>
      </c>
      <c r="I1900" s="9">
        <f t="shared" si="208"/>
        <v>-6.5134587958157686E-2</v>
      </c>
      <c r="J1900" s="9">
        <f t="shared" si="209"/>
        <v>16.111282004400334</v>
      </c>
    </row>
    <row r="1901" spans="2:10" x14ac:dyDescent="0.25">
      <c r="B1901" s="1">
        <v>41523</v>
      </c>
      <c r="C1901" s="13">
        <v>17.794</v>
      </c>
      <c r="D1901" s="6">
        <f t="shared" si="203"/>
        <v>5.9927634554501896E-3</v>
      </c>
      <c r="E1901" s="14">
        <f t="shared" si="204"/>
        <v>2.5171370957414768E-4</v>
      </c>
      <c r="F1901" s="9">
        <f t="shared" si="205"/>
        <v>17.339801406816143</v>
      </c>
      <c r="G1901" s="9">
        <f t="shared" si="206"/>
        <v>-0.40928506188736968</v>
      </c>
      <c r="H1901" s="9">
        <f t="shared" si="207"/>
        <v>1.9576957502145026E-2</v>
      </c>
      <c r="I1901" s="9">
        <f t="shared" si="208"/>
        <v>-6.5766768228597366E-2</v>
      </c>
      <c r="J1901" s="9">
        <f t="shared" si="209"/>
        <v>16.884326534202319</v>
      </c>
    </row>
    <row r="1902" spans="2:10" x14ac:dyDescent="0.25">
      <c r="B1902" s="1">
        <v>41522</v>
      </c>
      <c r="C1902" s="13">
        <v>17.687999999999999</v>
      </c>
      <c r="D1902" s="6">
        <f t="shared" si="203"/>
        <v>-6.8500842223470082E-3</v>
      </c>
      <c r="E1902" s="14">
        <f t="shared" si="204"/>
        <v>2.5658967726405792E-4</v>
      </c>
      <c r="F1902" s="9">
        <f t="shared" si="205"/>
        <v>17.320615552917317</v>
      </c>
      <c r="G1902" s="9">
        <f t="shared" si="206"/>
        <v>-3.7244752664818914E-2</v>
      </c>
      <c r="H1902" s="9">
        <f t="shared" si="207"/>
        <v>7.1416077846356866E-3</v>
      </c>
      <c r="I1902" s="9">
        <f t="shared" si="208"/>
        <v>-9.9326190260066297E-2</v>
      </c>
      <c r="J1902" s="9">
        <f t="shared" si="209"/>
        <v>17.191186217777069</v>
      </c>
    </row>
    <row r="1903" spans="2:10" x14ac:dyDescent="0.25">
      <c r="B1903" s="1">
        <v>41521</v>
      </c>
      <c r="C1903" s="13">
        <v>17.809999999999999</v>
      </c>
      <c r="D1903" s="6">
        <f t="shared" si="203"/>
        <v>2.0688864691386089E-2</v>
      </c>
      <c r="E1903" s="14">
        <f t="shared" si="204"/>
        <v>2.5661613589587662E-4</v>
      </c>
      <c r="F1903" s="9">
        <f t="shared" si="205"/>
        <v>17.320512441724247</v>
      </c>
      <c r="G1903" s="9">
        <f t="shared" si="206"/>
        <v>-0.14044233653748511</v>
      </c>
      <c r="H1903" s="9">
        <f t="shared" si="207"/>
        <v>-2.0212165387606907E-3</v>
      </c>
      <c r="I1903" s="9">
        <f t="shared" si="208"/>
        <v>-5.8428253850823831E-4</v>
      </c>
      <c r="J1903" s="9">
        <f t="shared" si="209"/>
        <v>17.177464606109492</v>
      </c>
    </row>
    <row r="1904" spans="2:10" x14ac:dyDescent="0.25">
      <c r="B1904" s="1">
        <v>41520</v>
      </c>
      <c r="C1904" s="13">
        <v>17.449000000000002</v>
      </c>
      <c r="D1904" s="6">
        <f t="shared" si="203"/>
        <v>2.7584621573473189E-3</v>
      </c>
      <c r="E1904" s="14">
        <f t="shared" si="204"/>
        <v>2.5350139345984451E-4</v>
      </c>
      <c r="F1904" s="9">
        <f t="shared" si="205"/>
        <v>17.332724455489718</v>
      </c>
      <c r="G1904" s="9">
        <f t="shared" si="206"/>
        <v>-0.71876644117355371</v>
      </c>
      <c r="H1904" s="9">
        <f t="shared" si="207"/>
        <v>-1.2864399998900296E-2</v>
      </c>
      <c r="I1904" s="9">
        <f t="shared" si="208"/>
        <v>-2.7223287661527953E-2</v>
      </c>
      <c r="J1904" s="9">
        <f t="shared" si="209"/>
        <v>16.573870326655737</v>
      </c>
    </row>
    <row r="1905" spans="2:10" x14ac:dyDescent="0.25">
      <c r="B1905" s="1">
        <v>41516</v>
      </c>
      <c r="C1905" s="13">
        <v>17.401</v>
      </c>
      <c r="D1905" s="6">
        <f t="shared" si="203"/>
        <v>-9.1110984568076869E-3</v>
      </c>
      <c r="E1905" s="14">
        <f t="shared" si="204"/>
        <v>2.5775828641538064E-4</v>
      </c>
      <c r="F1905" s="9">
        <f t="shared" si="205"/>
        <v>17.316071503967315</v>
      </c>
      <c r="G1905" s="9">
        <f t="shared" si="206"/>
        <v>-2.4891604570055396E-3</v>
      </c>
      <c r="H1905" s="9">
        <f t="shared" si="207"/>
        <v>1.6411800521212688E-3</v>
      </c>
      <c r="I1905" s="9">
        <f t="shared" si="208"/>
        <v>-7.6877315807705196E-2</v>
      </c>
      <c r="J1905" s="9">
        <f t="shared" si="209"/>
        <v>17.238346207754724</v>
      </c>
    </row>
    <row r="1906" spans="2:10" x14ac:dyDescent="0.25">
      <c r="B1906" s="1">
        <v>41515</v>
      </c>
      <c r="C1906" s="13">
        <v>17.561</v>
      </c>
      <c r="D1906" s="6">
        <f t="shared" si="203"/>
        <v>1.6541181838922725E-3</v>
      </c>
      <c r="E1906" s="14">
        <f t="shared" si="204"/>
        <v>2.5831737764264409E-4</v>
      </c>
      <c r="F1906" s="9">
        <f t="shared" si="205"/>
        <v>17.313904800575052</v>
      </c>
      <c r="G1906" s="9">
        <f t="shared" si="206"/>
        <v>-0.22386315815143842</v>
      </c>
      <c r="H1906" s="9">
        <f t="shared" si="207"/>
        <v>-4.1806644204147479E-3</v>
      </c>
      <c r="I1906" s="9">
        <f t="shared" si="208"/>
        <v>-3.111000549688801E-3</v>
      </c>
      <c r="J1906" s="9">
        <f t="shared" si="209"/>
        <v>17.082749977453513</v>
      </c>
    </row>
    <row r="1907" spans="2:10" x14ac:dyDescent="0.25">
      <c r="B1907" s="1">
        <v>41514</v>
      </c>
      <c r="C1907" s="13">
        <v>17.532</v>
      </c>
      <c r="D1907" s="6">
        <f t="shared" si="203"/>
        <v>4.6991404011462734E-3</v>
      </c>
      <c r="E1907" s="14">
        <f t="shared" si="204"/>
        <v>2.5833344131302093E-4</v>
      </c>
      <c r="F1907" s="9">
        <f t="shared" si="205"/>
        <v>17.313842616717825</v>
      </c>
      <c r="G1907" s="9">
        <f t="shared" si="206"/>
        <v>-1.3910706121680727E-6</v>
      </c>
      <c r="H1907" s="9">
        <f t="shared" si="207"/>
        <v>6.2603638928478064E-6</v>
      </c>
      <c r="I1907" s="9">
        <f t="shared" si="208"/>
        <v>-5.428867242384752E-4</v>
      </c>
      <c r="J1907" s="9">
        <f t="shared" si="209"/>
        <v>17.313304599286866</v>
      </c>
    </row>
    <row r="1908" spans="2:10" x14ac:dyDescent="0.25">
      <c r="B1908" s="1">
        <v>41513</v>
      </c>
      <c r="C1908" s="13">
        <v>17.45</v>
      </c>
      <c r="D1908" s="6">
        <f t="shared" si="203"/>
        <v>-2.8558704002672242E-2</v>
      </c>
      <c r="E1908" s="14">
        <f t="shared" si="204"/>
        <v>2.5912420436290638E-4</v>
      </c>
      <c r="F1908" s="9">
        <f t="shared" si="205"/>
        <v>17.310786275113632</v>
      </c>
      <c r="G1908" s="9">
        <f t="shared" si="206"/>
        <v>-1.826117783724561E-2</v>
      </c>
      <c r="H1908" s="9">
        <f t="shared" si="207"/>
        <v>1.3952509446094302E-3</v>
      </c>
      <c r="I1908" s="9">
        <f t="shared" si="208"/>
        <v>-4.8222711084785893E-3</v>
      </c>
      <c r="J1908" s="9">
        <f t="shared" si="209"/>
        <v>17.289098077112516</v>
      </c>
    </row>
    <row r="1909" spans="2:10" x14ac:dyDescent="0.25">
      <c r="B1909" s="1">
        <v>41512</v>
      </c>
      <c r="C1909" s="13">
        <v>17.963000000000001</v>
      </c>
      <c r="D1909" s="6">
        <f t="shared" si="203"/>
        <v>3.8560411311054921E-3</v>
      </c>
      <c r="E1909" s="14">
        <f t="shared" si="204"/>
        <v>2.5332575085202622E-4</v>
      </c>
      <c r="F1909" s="9">
        <f t="shared" si="205"/>
        <v>17.333417562071794</v>
      </c>
      <c r="G1909" s="9">
        <f t="shared" si="206"/>
        <v>-1.8037925488053608</v>
      </c>
      <c r="H1909" s="9">
        <f t="shared" si="207"/>
        <v>4.4032322504991117E-2</v>
      </c>
      <c r="I1909" s="9">
        <f t="shared" si="208"/>
        <v>-0.10699378929198486</v>
      </c>
      <c r="J1909" s="9">
        <f t="shared" si="209"/>
        <v>15.466663546479438</v>
      </c>
    </row>
    <row r="1910" spans="2:10" x14ac:dyDescent="0.25">
      <c r="B1910" s="1">
        <v>41509</v>
      </c>
      <c r="C1910" s="13">
        <v>17.893999999999998</v>
      </c>
      <c r="D1910" s="6">
        <f t="shared" si="203"/>
        <v>-3.8412291933420661E-3</v>
      </c>
      <c r="E1910" s="14">
        <f t="shared" si="204"/>
        <v>2.5844750189468719E-4</v>
      </c>
      <c r="F1910" s="9">
        <f t="shared" si="205"/>
        <v>17.313401189513442</v>
      </c>
      <c r="G1910" s="9">
        <f t="shared" si="206"/>
        <v>-9.6378723107444011E-3</v>
      </c>
      <c r="H1910" s="9">
        <f t="shared" si="207"/>
        <v>3.7765440834153594E-3</v>
      </c>
      <c r="I1910" s="9">
        <f t="shared" si="208"/>
        <v>-0.10793631858427226</v>
      </c>
      <c r="J1910" s="9">
        <f t="shared" si="209"/>
        <v>17.199603542701841</v>
      </c>
    </row>
    <row r="1911" spans="2:10" x14ac:dyDescent="0.25">
      <c r="B1911" s="1">
        <v>41508</v>
      </c>
      <c r="C1911" s="13">
        <v>17.963000000000001</v>
      </c>
      <c r="D1911" s="6">
        <f t="shared" si="203"/>
        <v>1.2262415695893925E-3</v>
      </c>
      <c r="E1911" s="14">
        <f t="shared" si="204"/>
        <v>2.6371303797347647E-4</v>
      </c>
      <c r="F1911" s="9">
        <f t="shared" si="205"/>
        <v>17.293232240804087</v>
      </c>
      <c r="G1911" s="9">
        <f t="shared" si="206"/>
        <v>-5.6868332273662468E-2</v>
      </c>
      <c r="H1911" s="9">
        <f t="shared" si="207"/>
        <v>-9.3020126012231374E-3</v>
      </c>
      <c r="I1911" s="9">
        <f t="shared" si="208"/>
        <v>-0.11104538757857435</v>
      </c>
      <c r="J1911" s="9">
        <f t="shared" si="209"/>
        <v>17.116016508350626</v>
      </c>
    </row>
    <row r="1912" spans="2:10" x14ac:dyDescent="0.25">
      <c r="B1912" s="1">
        <v>41507</v>
      </c>
      <c r="C1912" s="13">
        <v>17.940999999999999</v>
      </c>
      <c r="D1912" s="6">
        <f t="shared" si="203"/>
        <v>2.5705504330817419E-3</v>
      </c>
      <c r="E1912" s="14">
        <f t="shared" si="204"/>
        <v>2.6936812678379486E-4</v>
      </c>
      <c r="F1912" s="9">
        <f t="shared" si="205"/>
        <v>17.272014830276159</v>
      </c>
      <c r="G1912" s="9">
        <f t="shared" si="206"/>
        <v>-2.9952154138495582E-4</v>
      </c>
      <c r="H1912" s="9">
        <f t="shared" si="207"/>
        <v>-7.1084872016608923E-4</v>
      </c>
      <c r="I1912" s="9">
        <f t="shared" si="208"/>
        <v>-0.12389234360005097</v>
      </c>
      <c r="J1912" s="9">
        <f t="shared" si="209"/>
        <v>17.147112116414554</v>
      </c>
    </row>
    <row r="1913" spans="2:10" x14ac:dyDescent="0.25">
      <c r="B1913" s="1">
        <v>41506</v>
      </c>
      <c r="C1913" s="13">
        <v>17.895</v>
      </c>
      <c r="D1913" s="6">
        <f t="shared" si="203"/>
        <v>-1.3179662512407653E-2</v>
      </c>
      <c r="E1913" s="14">
        <f t="shared" si="204"/>
        <v>2.6993159438000436E-4</v>
      </c>
      <c r="F1913" s="9">
        <f t="shared" si="205"/>
        <v>17.269925202638202</v>
      </c>
      <c r="G1913" s="9">
        <f t="shared" si="206"/>
        <v>-1.6527555877205113E-3</v>
      </c>
      <c r="H1913" s="9">
        <f t="shared" si="207"/>
        <v>3.5253599564056247E-4</v>
      </c>
      <c r="I1913" s="9">
        <f t="shared" si="208"/>
        <v>-2.8831623913460063E-3</v>
      </c>
      <c r="J1913" s="9">
        <f t="shared" si="209"/>
        <v>17.265741820654778</v>
      </c>
    </row>
    <row r="1914" spans="2:10" x14ac:dyDescent="0.25">
      <c r="B1914" s="1">
        <v>41505</v>
      </c>
      <c r="C1914" s="13">
        <v>18.134</v>
      </c>
      <c r="D1914" s="6">
        <f t="shared" si="203"/>
        <v>1.0813823857302118E-2</v>
      </c>
      <c r="E1914" s="14">
        <f t="shared" si="204"/>
        <v>2.6921875709635674E-4</v>
      </c>
      <c r="F1914" s="9">
        <f t="shared" si="205"/>
        <v>17.272569502867483</v>
      </c>
      <c r="G1914" s="9">
        <f t="shared" si="206"/>
        <v>-0.40839721706364157</v>
      </c>
      <c r="H1914" s="9">
        <f t="shared" si="207"/>
        <v>-3.5847877202324196E-4</v>
      </c>
      <c r="I1914" s="9">
        <f t="shared" si="208"/>
        <v>-4.380235238370781E-4</v>
      </c>
      <c r="J1914" s="9">
        <f t="shared" si="209"/>
        <v>16.86337578350798</v>
      </c>
    </row>
    <row r="1915" spans="2:10" x14ac:dyDescent="0.25">
      <c r="B1915" s="1">
        <v>41502</v>
      </c>
      <c r="C1915" s="13">
        <v>17.940000000000001</v>
      </c>
      <c r="D1915" s="6">
        <f t="shared" si="203"/>
        <v>8.8286565821289464E-3</v>
      </c>
      <c r="E1915" s="14">
        <f t="shared" si="204"/>
        <v>2.6981045964102001E-4</v>
      </c>
      <c r="F1915" s="9">
        <f t="shared" si="205"/>
        <v>17.270374064238354</v>
      </c>
      <c r="G1915" s="9">
        <f t="shared" si="206"/>
        <v>-0.15685280519345696</v>
      </c>
      <c r="H1915" s="9">
        <f t="shared" si="207"/>
        <v>3.5062106877606085E-3</v>
      </c>
      <c r="I1915" s="9">
        <f t="shared" si="208"/>
        <v>-3.0659495919868902E-3</v>
      </c>
      <c r="J1915" s="9">
        <f t="shared" si="209"/>
        <v>17.11396152014067</v>
      </c>
    </row>
    <row r="1916" spans="2:10" x14ac:dyDescent="0.25">
      <c r="B1916" s="1">
        <v>41501</v>
      </c>
      <c r="C1916" s="13">
        <v>17.783000000000001</v>
      </c>
      <c r="D1916" s="6">
        <f t="shared" si="203"/>
        <v>-1.1795102224217979E-3</v>
      </c>
      <c r="E1916" s="14">
        <f t="shared" si="204"/>
        <v>2.7226336481343762E-4</v>
      </c>
      <c r="F1916" s="9">
        <f t="shared" si="205"/>
        <v>17.261323924556848</v>
      </c>
      <c r="G1916" s="9">
        <f t="shared" si="206"/>
        <v>-9.551834955509135E-2</v>
      </c>
      <c r="H1916" s="9">
        <f t="shared" si="207"/>
        <v>6.3638422587492839E-3</v>
      </c>
      <c r="I1916" s="9">
        <f t="shared" si="208"/>
        <v>-2.6666910196107809E-2</v>
      </c>
      <c r="J1916" s="9">
        <f t="shared" si="209"/>
        <v>17.145502507064396</v>
      </c>
    </row>
    <row r="1917" spans="2:10" x14ac:dyDescent="0.25">
      <c r="B1917" s="1">
        <v>41500</v>
      </c>
      <c r="C1917" s="13">
        <v>17.803999999999998</v>
      </c>
      <c r="D1917" s="6">
        <f t="shared" si="203"/>
        <v>1.8244209322276106E-2</v>
      </c>
      <c r="E1917" s="14">
        <f t="shared" si="204"/>
        <v>2.7299200613774483E-4</v>
      </c>
      <c r="F1917" s="9">
        <f t="shared" si="205"/>
        <v>17.258651262179335</v>
      </c>
      <c r="G1917" s="9">
        <f t="shared" si="206"/>
        <v>-1.4472532874475745E-2</v>
      </c>
      <c r="H1917" s="9">
        <f t="shared" si="207"/>
        <v>-1.1629210817665774E-3</v>
      </c>
      <c r="I1917" s="9">
        <f t="shared" si="208"/>
        <v>-3.9322004067676502E-3</v>
      </c>
      <c r="J1917" s="9">
        <f t="shared" si="209"/>
        <v>17.239083607816323</v>
      </c>
    </row>
    <row r="1918" spans="2:10" x14ac:dyDescent="0.25">
      <c r="B1918" s="1">
        <v>41499</v>
      </c>
      <c r="C1918" s="13">
        <v>17.484999999999999</v>
      </c>
      <c r="D1918" s="6">
        <f t="shared" si="203"/>
        <v>4.7570547001378083E-2</v>
      </c>
      <c r="E1918" s="14">
        <f t="shared" si="204"/>
        <v>2.7092411809486703E-4</v>
      </c>
      <c r="F1918" s="9">
        <f t="shared" si="205"/>
        <v>17.266255000748458</v>
      </c>
      <c r="G1918" s="9">
        <f t="shared" si="206"/>
        <v>-0.51109725979119258</v>
      </c>
      <c r="H1918" s="9">
        <f t="shared" si="207"/>
        <v>-5.7456536132676848E-3</v>
      </c>
      <c r="I1918" s="9">
        <f t="shared" si="208"/>
        <v>-1.0030951020698824E-2</v>
      </c>
      <c r="J1918" s="9">
        <f t="shared" si="209"/>
        <v>16.739381136323299</v>
      </c>
    </row>
    <row r="1919" spans="2:10" x14ac:dyDescent="0.25">
      <c r="B1919" s="1">
        <v>41498</v>
      </c>
      <c r="C1919" s="13">
        <v>16.690999999999999</v>
      </c>
      <c r="D1919" s="6">
        <f t="shared" si="203"/>
        <v>2.8404189772027078E-2</v>
      </c>
      <c r="E1919" s="14">
        <f t="shared" si="204"/>
        <v>2.5762239515568703E-4</v>
      </c>
      <c r="F1919" s="9">
        <f t="shared" si="205"/>
        <v>17.31659884722135</v>
      </c>
      <c r="G1919" s="9">
        <f t="shared" si="206"/>
        <v>-4.1087726059195839</v>
      </c>
      <c r="H1919" s="9">
        <f t="shared" si="207"/>
        <v>-0.16484195437297139</v>
      </c>
      <c r="I1919" s="9">
        <f t="shared" si="208"/>
        <v>-0.59923154529874856</v>
      </c>
      <c r="J1919" s="9">
        <f t="shared" si="209"/>
        <v>12.443752741630048</v>
      </c>
    </row>
    <row r="1920" spans="2:10" x14ac:dyDescent="0.25">
      <c r="B1920" s="1">
        <v>41495</v>
      </c>
      <c r="C1920" s="13">
        <v>16.23</v>
      </c>
      <c r="D1920" s="6">
        <f t="shared" si="203"/>
        <v>-1.4272699665958011E-2</v>
      </c>
      <c r="E1920" s="14">
        <f t="shared" si="204"/>
        <v>2.5096741688971204E-4</v>
      </c>
      <c r="F1920" s="9">
        <f t="shared" si="205"/>
        <v>17.342770657871938</v>
      </c>
      <c r="G1920" s="9">
        <f t="shared" si="206"/>
        <v>-1.4326978524895089</v>
      </c>
      <c r="H1920" s="9">
        <f t="shared" si="207"/>
        <v>-4.618370220661136E-2</v>
      </c>
      <c r="I1920" s="9">
        <f t="shared" si="208"/>
        <v>-0.1446753093687253</v>
      </c>
      <c r="J1920" s="9">
        <f t="shared" si="209"/>
        <v>15.719213793807091</v>
      </c>
    </row>
    <row r="1921" spans="2:10" x14ac:dyDescent="0.25">
      <c r="B1921" s="1">
        <v>41494</v>
      </c>
      <c r="C1921" s="13">
        <v>16.465</v>
      </c>
      <c r="D1921" s="6">
        <f t="shared" si="203"/>
        <v>-8.4909069011201987E-3</v>
      </c>
      <c r="E1921" s="14">
        <f t="shared" si="204"/>
        <v>2.5085715941634514E-4</v>
      </c>
      <c r="F1921" s="9">
        <f t="shared" si="205"/>
        <v>17.343210084238628</v>
      </c>
      <c r="G1921" s="9">
        <f t="shared" si="206"/>
        <v>-0.50538653699869107</v>
      </c>
      <c r="H1921" s="9">
        <f t="shared" si="207"/>
        <v>-3.2372231878717121E-3</v>
      </c>
      <c r="I1921" s="9">
        <f t="shared" si="208"/>
        <v>-2.7987541888282097E-4</v>
      </c>
      <c r="J1921" s="9">
        <f t="shared" si="209"/>
        <v>16.834306448633182</v>
      </c>
    </row>
    <row r="1922" spans="2:10" x14ac:dyDescent="0.25">
      <c r="B1922" s="1">
        <v>41493</v>
      </c>
      <c r="C1922" s="13">
        <v>16.606000000000002</v>
      </c>
      <c r="D1922" s="6">
        <f t="shared" si="203"/>
        <v>-6.0182956186793923E-4</v>
      </c>
      <c r="E1922" s="14">
        <f t="shared" si="204"/>
        <v>2.5025594423078103E-4</v>
      </c>
      <c r="F1922" s="9">
        <f t="shared" si="205"/>
        <v>17.345609604305679</v>
      </c>
      <c r="G1922" s="9">
        <f t="shared" si="206"/>
        <v>-0.20515408623311893</v>
      </c>
      <c r="H1922" s="9">
        <f t="shared" si="207"/>
        <v>-5.9723291501266368E-4</v>
      </c>
      <c r="I1922" s="9">
        <f t="shared" si="208"/>
        <v>-1.6950383337955161E-4</v>
      </c>
      <c r="J1922" s="9">
        <f t="shared" si="209"/>
        <v>17.139688781324168</v>
      </c>
    </row>
    <row r="1923" spans="2:10" x14ac:dyDescent="0.25">
      <c r="B1923" s="1">
        <v>41492</v>
      </c>
      <c r="C1923" s="13">
        <v>16.616</v>
      </c>
      <c r="D1923" s="6">
        <f t="shared" si="203"/>
        <v>-8.94667780031011E-3</v>
      </c>
      <c r="E1923" s="14">
        <f t="shared" si="204"/>
        <v>2.5028528922679821E-4</v>
      </c>
      <c r="F1923" s="9">
        <f t="shared" si="205"/>
        <v>17.345492351244037</v>
      </c>
      <c r="G1923" s="9">
        <f t="shared" si="206"/>
        <v>-9.9565204054839571E-3</v>
      </c>
      <c r="H1923" s="9">
        <f t="shared" si="207"/>
        <v>-5.4683240606861756E-4</v>
      </c>
      <c r="I1923" s="9">
        <f t="shared" si="208"/>
        <v>-6.3945572663827747E-4</v>
      </c>
      <c r="J1923" s="9">
        <f t="shared" si="209"/>
        <v>17.334349542705844</v>
      </c>
    </row>
    <row r="1924" spans="2:10" x14ac:dyDescent="0.25">
      <c r="B1924" s="1">
        <v>41491</v>
      </c>
      <c r="C1924" s="13">
        <v>16.765999999999998</v>
      </c>
      <c r="D1924" s="6">
        <f t="shared" si="203"/>
        <v>1.4952478963617732E-2</v>
      </c>
      <c r="E1924" s="14">
        <f t="shared" si="204"/>
        <v>2.5484161260491803E-4</v>
      </c>
      <c r="F1924" s="9">
        <f t="shared" si="205"/>
        <v>17.327451550249286</v>
      </c>
      <c r="G1924" s="9">
        <f t="shared" si="206"/>
        <v>-0.22002079284665949</v>
      </c>
      <c r="H1924" s="9">
        <f t="shared" si="207"/>
        <v>-1.6436566292805471E-2</v>
      </c>
      <c r="I1924" s="9">
        <f t="shared" si="208"/>
        <v>-8.8309123734594985E-2</v>
      </c>
      <c r="J1924" s="9">
        <f t="shared" si="209"/>
        <v>17.002685067375221</v>
      </c>
    </row>
    <row r="1925" spans="2:10" x14ac:dyDescent="0.25">
      <c r="B1925" s="1">
        <v>41488</v>
      </c>
      <c r="C1925" s="13">
        <v>16.518999999999998</v>
      </c>
      <c r="D1925" s="6">
        <f t="shared" si="203"/>
        <v>1.2814224402207142E-2</v>
      </c>
      <c r="E1925" s="14">
        <f t="shared" si="204"/>
        <v>2.5386976288103795E-4</v>
      </c>
      <c r="F1925" s="9">
        <f t="shared" si="205"/>
        <v>17.331272384431614</v>
      </c>
      <c r="G1925" s="9">
        <f t="shared" si="206"/>
        <v>-0.35073993278200488</v>
      </c>
      <c r="H1925" s="9">
        <f t="shared" si="207"/>
        <v>-6.6314654616604672E-4</v>
      </c>
      <c r="I1925" s="9">
        <f t="shared" si="208"/>
        <v>-1.2705677394843665E-3</v>
      </c>
      <c r="J1925" s="9">
        <f t="shared" si="209"/>
        <v>16.978598737363956</v>
      </c>
    </row>
    <row r="1926" spans="2:10" x14ac:dyDescent="0.25">
      <c r="B1926" s="1">
        <v>41487</v>
      </c>
      <c r="C1926" s="13">
        <v>16.309999999999999</v>
      </c>
      <c r="D1926" s="6">
        <f t="shared" si="203"/>
        <v>9.1572825145402881E-3</v>
      </c>
      <c r="E1926" s="14">
        <f t="shared" si="204"/>
        <v>2.5424910316868948E-4</v>
      </c>
      <c r="F1926" s="9">
        <f t="shared" si="205"/>
        <v>17.329779267826531</v>
      </c>
      <c r="G1926" s="9">
        <f t="shared" si="206"/>
        <v>-0.24683768205552503</v>
      </c>
      <c r="H1926" s="9">
        <f t="shared" si="207"/>
        <v>3.8401239494288224E-3</v>
      </c>
      <c r="I1926" s="9">
        <f t="shared" si="208"/>
        <v>-2.0968557053608478E-3</v>
      </c>
      <c r="J1926" s="9">
        <f t="shared" si="209"/>
        <v>17.084684854015077</v>
      </c>
    </row>
    <row r="1927" spans="2:10" x14ac:dyDescent="0.25">
      <c r="B1927" s="1">
        <v>41486</v>
      </c>
      <c r="C1927" s="13">
        <v>16.161999999999999</v>
      </c>
      <c r="D1927" s="6">
        <f t="shared" si="203"/>
        <v>-1.7294626312539529E-3</v>
      </c>
      <c r="E1927" s="14">
        <f t="shared" si="204"/>
        <v>2.5825723556968286E-4</v>
      </c>
      <c r="F1927" s="9">
        <f t="shared" si="205"/>
        <v>17.314137650086799</v>
      </c>
      <c r="G1927" s="9">
        <f t="shared" si="206"/>
        <v>-0.11009892530014735</v>
      </c>
      <c r="H1927" s="9">
        <f t="shared" si="207"/>
        <v>1.0368081959766825E-2</v>
      </c>
      <c r="I1927" s="9">
        <f t="shared" si="208"/>
        <v>-6.8681812855999502E-2</v>
      </c>
      <c r="J1927" s="9">
        <f t="shared" si="209"/>
        <v>17.145724993890422</v>
      </c>
    </row>
    <row r="1928" spans="2:10" x14ac:dyDescent="0.25">
      <c r="B1928" s="1">
        <v>41485</v>
      </c>
      <c r="C1928" s="13">
        <v>16.190000000000001</v>
      </c>
      <c r="D1928" s="6">
        <f t="shared" si="203"/>
        <v>1.2317889076471022E-2</v>
      </c>
      <c r="E1928" s="14">
        <f t="shared" si="204"/>
        <v>2.5824195431155294E-4</v>
      </c>
      <c r="F1928" s="9">
        <f t="shared" si="205"/>
        <v>17.314196822524757</v>
      </c>
      <c r="G1928" s="9">
        <f t="shared" si="206"/>
        <v>-2.1881665013939813E-2</v>
      </c>
      <c r="H1928" s="9">
        <f t="shared" si="207"/>
        <v>-7.5518431870949976E-4</v>
      </c>
      <c r="I1928" s="9">
        <f t="shared" si="208"/>
        <v>-4.5960279567077182E-4</v>
      </c>
      <c r="J1928" s="9">
        <f t="shared" si="209"/>
        <v>17.291100370396435</v>
      </c>
    </row>
    <row r="1929" spans="2:10" x14ac:dyDescent="0.25">
      <c r="B1929" s="1">
        <v>41484</v>
      </c>
      <c r="C1929" s="13">
        <v>15.993</v>
      </c>
      <c r="D1929" s="6">
        <f t="shared" si="203"/>
        <v>1.5428571428571347E-2</v>
      </c>
      <c r="E1929" s="14">
        <f t="shared" si="204"/>
        <v>2.6721044715148553E-4</v>
      </c>
      <c r="F1929" s="9">
        <f t="shared" si="205"/>
        <v>17.280057235869872</v>
      </c>
      <c r="G1929" s="9">
        <f t="shared" si="206"/>
        <v>-0.21448609675324223</v>
      </c>
      <c r="H1929" s="9">
        <f t="shared" si="207"/>
        <v>2.8900942009786039E-2</v>
      </c>
      <c r="I1929" s="9">
        <f t="shared" si="208"/>
        <v>-0.30078027022428405</v>
      </c>
      <c r="J1929" s="9">
        <f t="shared" si="209"/>
        <v>16.793691810902136</v>
      </c>
    </row>
    <row r="1930" spans="2:10" x14ac:dyDescent="0.25">
      <c r="B1930" s="1">
        <v>41481</v>
      </c>
      <c r="C1930" s="13">
        <v>15.75</v>
      </c>
      <c r="D1930" s="6">
        <f t="shared" si="203"/>
        <v>5.6829065832322279E-3</v>
      </c>
      <c r="E1930" s="14">
        <f t="shared" si="204"/>
        <v>2.7045428874688496E-4</v>
      </c>
      <c r="F1930" s="9">
        <f t="shared" si="205"/>
        <v>17.267990679379132</v>
      </c>
      <c r="G1930" s="9">
        <f t="shared" si="206"/>
        <v>-0.35317871508224641</v>
      </c>
      <c r="H1930" s="9">
        <f t="shared" si="207"/>
        <v>1.5262229140626363E-2</v>
      </c>
      <c r="I1930" s="9">
        <f t="shared" si="208"/>
        <v>-4.4203501084146626E-2</v>
      </c>
      <c r="J1930" s="9">
        <f t="shared" si="209"/>
        <v>16.885870692353365</v>
      </c>
    </row>
    <row r="1931" spans="2:10" x14ac:dyDescent="0.25">
      <c r="B1931" s="1">
        <v>41480</v>
      </c>
      <c r="C1931" s="13">
        <v>15.661</v>
      </c>
      <c r="D1931" s="6">
        <f t="shared" si="203"/>
        <v>-4.576368143392906E-3</v>
      </c>
      <c r="E1931" s="14">
        <f t="shared" si="204"/>
        <v>2.7030369819001411E-4</v>
      </c>
      <c r="F1931" s="9">
        <f t="shared" si="205"/>
        <v>17.268547640401998</v>
      </c>
      <c r="G1931" s="9">
        <f t="shared" si="206"/>
        <v>-3.051423385666038E-2</v>
      </c>
      <c r="H1931" s="9">
        <f t="shared" si="207"/>
        <v>7.2155480813139894E-4</v>
      </c>
      <c r="I1931" s="9">
        <f t="shared" si="208"/>
        <v>-1.4107704873408809E-4</v>
      </c>
      <c r="J1931" s="9">
        <f t="shared" si="209"/>
        <v>17.238613884304733</v>
      </c>
    </row>
    <row r="1932" spans="2:10" x14ac:dyDescent="0.25">
      <c r="B1932" s="1">
        <v>41479</v>
      </c>
      <c r="C1932" s="13">
        <v>15.733000000000001</v>
      </c>
      <c r="D1932" s="6">
        <f t="shared" si="203"/>
        <v>5.1390002673082025E-2</v>
      </c>
      <c r="E1932" s="14">
        <f t="shared" si="204"/>
        <v>2.702032227752472E-4</v>
      </c>
      <c r="F1932" s="9">
        <f t="shared" si="205"/>
        <v>17.268919422564363</v>
      </c>
      <c r="G1932" s="9">
        <f t="shared" si="206"/>
        <v>-7.1427705049501564E-2</v>
      </c>
      <c r="H1932" s="9">
        <f t="shared" si="207"/>
        <v>-1.1892398961095966E-3</v>
      </c>
      <c r="I1932" s="9">
        <f t="shared" si="208"/>
        <v>-2.1962763668966756E-4</v>
      </c>
      <c r="J1932" s="9">
        <f t="shared" si="209"/>
        <v>17.196082849982062</v>
      </c>
    </row>
    <row r="1933" spans="2:10" x14ac:dyDescent="0.25">
      <c r="B1933" s="1">
        <v>41478</v>
      </c>
      <c r="C1933" s="13">
        <v>14.964</v>
      </c>
      <c r="D1933" s="6">
        <f t="shared" si="203"/>
        <v>-1.7142857142857126E-2</v>
      </c>
      <c r="E1933" s="14">
        <f t="shared" si="204"/>
        <v>2.4792340548702047E-4</v>
      </c>
      <c r="F1933" s="9">
        <f t="shared" si="205"/>
        <v>17.354973925770164</v>
      </c>
      <c r="G1933" s="9">
        <f t="shared" si="206"/>
        <v>-5.0089051780094582</v>
      </c>
      <c r="H1933" s="9">
        <f t="shared" si="207"/>
        <v>-0.31878006360043831</v>
      </c>
      <c r="I1933" s="9">
        <f t="shared" si="208"/>
        <v>-1.7853342115800139</v>
      </c>
      <c r="J1933" s="9">
        <f t="shared" si="209"/>
        <v>10.241954472580252</v>
      </c>
    </row>
    <row r="1934" spans="2:10" x14ac:dyDescent="0.25">
      <c r="B1934" s="1">
        <v>41477</v>
      </c>
      <c r="C1934" s="13">
        <v>15.225</v>
      </c>
      <c r="D1934" s="6">
        <f t="shared" si="203"/>
        <v>3.1626803716149343E-3</v>
      </c>
      <c r="E1934" s="14">
        <f t="shared" si="204"/>
        <v>2.4870002810574557E-4</v>
      </c>
      <c r="F1934" s="9">
        <f t="shared" si="205"/>
        <v>17.35184631156887</v>
      </c>
      <c r="G1934" s="9">
        <f t="shared" si="206"/>
        <v>-0.71042054643675412</v>
      </c>
      <c r="H1934" s="9">
        <f t="shared" si="207"/>
        <v>-8.8041296425197361E-3</v>
      </c>
      <c r="I1934" s="9">
        <f t="shared" si="208"/>
        <v>-5.0512722249107817E-3</v>
      </c>
      <c r="J1934" s="9">
        <f t="shared" si="209"/>
        <v>16.627570363264685</v>
      </c>
    </row>
    <row r="1935" spans="2:10" x14ac:dyDescent="0.25">
      <c r="B1935" s="1">
        <v>41474</v>
      </c>
      <c r="C1935" s="13">
        <v>15.177</v>
      </c>
      <c r="D1935" s="6">
        <f t="shared" si="203"/>
        <v>-1.5758754863813285E-2</v>
      </c>
      <c r="E1935" s="14">
        <f t="shared" si="204"/>
        <v>2.5294956568466332E-4</v>
      </c>
      <c r="F1935" s="9">
        <f t="shared" si="205"/>
        <v>17.334903651653129</v>
      </c>
      <c r="G1935" s="9">
        <f t="shared" si="206"/>
        <v>-4.6733003252532991E-3</v>
      </c>
      <c r="H1935" s="9">
        <f t="shared" si="207"/>
        <v>2.2667255965436737E-3</v>
      </c>
      <c r="I1935" s="9">
        <f t="shared" si="208"/>
        <v>-7.8359122964409347E-2</v>
      </c>
      <c r="J1935" s="9">
        <f t="shared" si="209"/>
        <v>17.254137953960008</v>
      </c>
    </row>
    <row r="1936" spans="2:10" x14ac:dyDescent="0.25">
      <c r="B1936" s="1">
        <v>41473</v>
      </c>
      <c r="C1936" s="13">
        <v>15.42</v>
      </c>
      <c r="D1936" s="6">
        <f t="shared" ref="D1936:D1999" si="210">C1936/C1937-1</f>
        <v>3.3836543466942981E-3</v>
      </c>
      <c r="E1936" s="14">
        <f t="shared" ref="E1936:E1999" si="211">_xlfn.VAR.S(D1936:D2056)</f>
        <v>2.5547939448969506E-4</v>
      </c>
      <c r="F1936" s="9">
        <f t="shared" si="205"/>
        <v>17.324952016787151</v>
      </c>
      <c r="G1936" s="9">
        <f t="shared" si="206"/>
        <v>-0.59333767275912874</v>
      </c>
      <c r="H1936" s="9">
        <f t="shared" si="207"/>
        <v>-1.676065922990028E-2</v>
      </c>
      <c r="I1936" s="9">
        <f t="shared" si="208"/>
        <v>-3.0581036623999882E-2</v>
      </c>
      <c r="J1936" s="9">
        <f t="shared" si="209"/>
        <v>16.684272648174122</v>
      </c>
    </row>
    <row r="1937" spans="2:10" x14ac:dyDescent="0.25">
      <c r="B1937" s="1">
        <v>41472</v>
      </c>
      <c r="C1937" s="13">
        <v>15.368</v>
      </c>
      <c r="D1937" s="6">
        <f t="shared" si="210"/>
        <v>2.6034886748238506E-4</v>
      </c>
      <c r="E1937" s="14">
        <f t="shared" si="211"/>
        <v>3.8100485913927497E-4</v>
      </c>
      <c r="F1937" s="9">
        <f t="shared" ref="F1937:F2000" si="212">LN(2*PI())-LN($C$6)-LN(E1937)-0.5*LN(1-POWER($C$7,2))</f>
        <v>16.925281646697094</v>
      </c>
      <c r="G1937" s="9">
        <f t="shared" ref="G1937:G2000" si="213">-POWER(D1936-1-$C$3,2)/(2*E1937*(1-POWER($C$7,2)))</f>
        <v>-4.0599707073724657E-3</v>
      </c>
      <c r="H1937" s="9">
        <f t="shared" ref="H1937:H2000" si="214">$C$7*(D1936-1-$C$3)*(E1936-E1937-$C$5*$C$4)/(E1937*$C$6*(1-POWER($C$7,2)))</f>
        <v>4.3058441715484022E-2</v>
      </c>
      <c r="I1937" s="9">
        <f t="shared" ref="I1937:I2000" si="215">-POWER(E1936-E1937-$C$5*$C$4+$C$4*E1937,2)/(2*POWER($C$6,2)*E1937*(1-POWER($C$7,2)))</f>
        <v>-38.308665502230575</v>
      </c>
      <c r="J1937" s="9">
        <f t="shared" ref="J1937:J2000" si="216">SUM(F1937:I1937)</f>
        <v>-21.344385384525371</v>
      </c>
    </row>
    <row r="1938" spans="2:10" x14ac:dyDescent="0.25">
      <c r="B1938" s="1">
        <v>41471</v>
      </c>
      <c r="C1938" s="13">
        <v>15.364000000000001</v>
      </c>
      <c r="D1938" s="6">
        <f t="shared" si="210"/>
        <v>6.419494301061146E-3</v>
      </c>
      <c r="E1938" s="14">
        <f t="shared" si="211"/>
        <v>3.8413899132441379E-4</v>
      </c>
      <c r="F1938" s="9">
        <f t="shared" si="212"/>
        <v>16.917089331717619</v>
      </c>
      <c r="G1938" s="9">
        <f t="shared" si="213"/>
        <v>-2.4395058901179726E-3</v>
      </c>
      <c r="H1938" s="9">
        <f t="shared" si="214"/>
        <v>-1.0354571802687815E-3</v>
      </c>
      <c r="I1938" s="9">
        <f t="shared" si="215"/>
        <v>-2.6182163768771499E-2</v>
      </c>
      <c r="J1938" s="9">
        <f t="shared" si="216"/>
        <v>16.887432204878461</v>
      </c>
    </row>
    <row r="1939" spans="2:10" x14ac:dyDescent="0.25">
      <c r="B1939" s="1">
        <v>41470</v>
      </c>
      <c r="C1939" s="13">
        <v>15.266</v>
      </c>
      <c r="D1939" s="6">
        <f t="shared" si="210"/>
        <v>2.1663493730716965E-3</v>
      </c>
      <c r="E1939" s="14">
        <f t="shared" si="211"/>
        <v>3.8461821361327885E-4</v>
      </c>
      <c r="F1939" s="9">
        <f t="shared" si="212"/>
        <v>16.915842586066688</v>
      </c>
      <c r="G1939" s="9">
        <f t="shared" si="213"/>
        <v>-2.9942179951857592E-2</v>
      </c>
      <c r="H1939" s="9">
        <f t="shared" si="214"/>
        <v>1.1794366545415963E-3</v>
      </c>
      <c r="I1939" s="9">
        <f t="shared" si="215"/>
        <v>-9.9568454892018485E-4</v>
      </c>
      <c r="J1939" s="9">
        <f t="shared" si="216"/>
        <v>16.886084158220456</v>
      </c>
    </row>
    <row r="1940" spans="2:10" x14ac:dyDescent="0.25">
      <c r="B1940" s="1">
        <v>41467</v>
      </c>
      <c r="C1940" s="13">
        <v>15.233000000000001</v>
      </c>
      <c r="D1940" s="6">
        <f t="shared" si="210"/>
        <v>-1.7693315858452463E-3</v>
      </c>
      <c r="E1940" s="14">
        <f t="shared" si="211"/>
        <v>3.8467597413608626E-4</v>
      </c>
      <c r="F1940" s="9">
        <f t="shared" si="212"/>
        <v>16.915692421087318</v>
      </c>
      <c r="G1940" s="9">
        <f t="shared" si="213"/>
        <v>-3.7873605654540189E-4</v>
      </c>
      <c r="H1940" s="9">
        <f t="shared" si="214"/>
        <v>8.8971862127642617E-5</v>
      </c>
      <c r="I1940" s="9">
        <f t="shared" si="215"/>
        <v>-1.1866803985610433E-4</v>
      </c>
      <c r="J1940" s="9">
        <f t="shared" si="216"/>
        <v>16.915283988853041</v>
      </c>
    </row>
    <row r="1941" spans="2:10" x14ac:dyDescent="0.25">
      <c r="B1941" s="1">
        <v>41466</v>
      </c>
      <c r="C1941" s="13">
        <v>15.26</v>
      </c>
      <c r="D1941" s="6">
        <f t="shared" si="210"/>
        <v>1.5573006788233812E-2</v>
      </c>
      <c r="E1941" s="14">
        <f t="shared" si="211"/>
        <v>3.8493151754356809E-4</v>
      </c>
      <c r="F1941" s="9">
        <f t="shared" si="212"/>
        <v>16.915028333433192</v>
      </c>
      <c r="G1941" s="9">
        <f t="shared" si="213"/>
        <v>-1.5030698688694581E-2</v>
      </c>
      <c r="H1941" s="9">
        <f t="shared" si="214"/>
        <v>-6.893606771151107E-4</v>
      </c>
      <c r="I1941" s="9">
        <f t="shared" si="215"/>
        <v>-4.2264706860469658E-4</v>
      </c>
      <c r="J1941" s="9">
        <f t="shared" si="216"/>
        <v>16.89888562699878</v>
      </c>
    </row>
    <row r="1942" spans="2:10" x14ac:dyDescent="0.25">
      <c r="B1942" s="1">
        <v>41465</v>
      </c>
      <c r="C1942" s="13">
        <v>15.026</v>
      </c>
      <c r="D1942" s="6">
        <f t="shared" si="210"/>
        <v>-3.8451339167329124E-3</v>
      </c>
      <c r="E1942" s="14">
        <f t="shared" si="211"/>
        <v>3.9776850673620796E-4</v>
      </c>
      <c r="F1942" s="9">
        <f t="shared" si="212"/>
        <v>16.882223580689693</v>
      </c>
      <c r="G1942" s="9">
        <f t="shared" si="213"/>
        <v>-0.24518895179724517</v>
      </c>
      <c r="H1942" s="9">
        <f t="shared" si="214"/>
        <v>3.5355168905440486E-2</v>
      </c>
      <c r="I1942" s="9">
        <f t="shared" si="215"/>
        <v>-0.39128539396929868</v>
      </c>
      <c r="J1942" s="9">
        <f t="shared" si="216"/>
        <v>16.281104403828589</v>
      </c>
    </row>
    <row r="1943" spans="2:10" x14ac:dyDescent="0.25">
      <c r="B1943" s="1">
        <v>41464</v>
      </c>
      <c r="C1943" s="13">
        <v>15.084</v>
      </c>
      <c r="D1943" s="6">
        <f t="shared" si="210"/>
        <v>1.7607771706132258E-2</v>
      </c>
      <c r="E1943" s="14">
        <f t="shared" si="211"/>
        <v>4.0544942872007826E-4</v>
      </c>
      <c r="F1943" s="9">
        <f t="shared" si="212"/>
        <v>16.863097623001437</v>
      </c>
      <c r="G1943" s="9">
        <f t="shared" si="213"/>
        <v>-3.7041228137658144E-2</v>
      </c>
      <c r="H1943" s="9">
        <f t="shared" si="214"/>
        <v>-8.4651689944860251E-3</v>
      </c>
      <c r="I1943" s="9">
        <f t="shared" si="215"/>
        <v>-0.13901764153396379</v>
      </c>
      <c r="J1943" s="9">
        <f t="shared" si="216"/>
        <v>16.678573584335329</v>
      </c>
    </row>
    <row r="1944" spans="2:10" x14ac:dyDescent="0.25">
      <c r="B1944" s="1">
        <v>41463</v>
      </c>
      <c r="C1944" s="13">
        <v>14.823</v>
      </c>
      <c r="D1944" s="6">
        <f t="shared" si="210"/>
        <v>-5.7016367051246908E-3</v>
      </c>
      <c r="E1944" s="14">
        <f t="shared" si="211"/>
        <v>4.1216844292270023E-4</v>
      </c>
      <c r="F1944" s="9">
        <f t="shared" si="212"/>
        <v>16.846661667547082</v>
      </c>
      <c r="G1944" s="9">
        <f t="shared" si="213"/>
        <v>-0.31070988542642425</v>
      </c>
      <c r="H1944" s="9">
        <f t="shared" si="214"/>
        <v>2.15588574166506E-2</v>
      </c>
      <c r="I1944" s="9">
        <f t="shared" si="215"/>
        <v>-0.10480330603111801</v>
      </c>
      <c r="J1944" s="9">
        <f t="shared" si="216"/>
        <v>16.45270733350619</v>
      </c>
    </row>
    <row r="1945" spans="2:10" x14ac:dyDescent="0.25">
      <c r="B1945" s="1">
        <v>41460</v>
      </c>
      <c r="C1945" s="13">
        <v>14.907999999999999</v>
      </c>
      <c r="D1945" s="6">
        <f t="shared" si="210"/>
        <v>-8.0511012043382735E-3</v>
      </c>
      <c r="E1945" s="14">
        <f t="shared" si="211"/>
        <v>4.1220039023805941E-4</v>
      </c>
      <c r="F1945" s="9">
        <f t="shared" si="212"/>
        <v>16.846584160212768</v>
      </c>
      <c r="G1945" s="9">
        <f t="shared" si="213"/>
        <v>-6.5348045070560898E-2</v>
      </c>
      <c r="H1945" s="9">
        <f t="shared" si="214"/>
        <v>-1.0950632342537545E-3</v>
      </c>
      <c r="I1945" s="9">
        <f t="shared" si="215"/>
        <v>-5.105933030528715E-5</v>
      </c>
      <c r="J1945" s="9">
        <f t="shared" si="216"/>
        <v>16.780089992577647</v>
      </c>
    </row>
    <row r="1946" spans="2:10" x14ac:dyDescent="0.25">
      <c r="B1946" s="1">
        <v>41458</v>
      </c>
      <c r="C1946" s="13">
        <v>15.029</v>
      </c>
      <c r="D1946" s="6">
        <f t="shared" si="210"/>
        <v>5.5533253044293129E-3</v>
      </c>
      <c r="E1946" s="14">
        <f t="shared" si="211"/>
        <v>4.1347841826750288E-4</v>
      </c>
      <c r="F1946" s="9">
        <f t="shared" si="212"/>
        <v>16.843488455110659</v>
      </c>
      <c r="G1946" s="9">
        <f t="shared" si="213"/>
        <v>-0.113608819851911</v>
      </c>
      <c r="H1946" s="9">
        <f t="shared" si="214"/>
        <v>-3.5983587793759005E-3</v>
      </c>
      <c r="I1946" s="9">
        <f t="shared" si="215"/>
        <v>-4.3473068376366645E-3</v>
      </c>
      <c r="J1946" s="9">
        <f t="shared" si="216"/>
        <v>16.721933969641736</v>
      </c>
    </row>
    <row r="1947" spans="2:10" x14ac:dyDescent="0.25">
      <c r="B1947" s="1">
        <v>41457</v>
      </c>
      <c r="C1947" s="13">
        <v>14.946</v>
      </c>
      <c r="D1947" s="6">
        <f t="shared" si="210"/>
        <v>2.2647964420116296E-2</v>
      </c>
      <c r="E1947" s="14">
        <f t="shared" si="211"/>
        <v>4.1469712842525085E-4</v>
      </c>
      <c r="F1947" s="9">
        <f t="shared" si="212"/>
        <v>16.840545332623364</v>
      </c>
      <c r="G1947" s="9">
        <f t="shared" si="213"/>
        <v>-1.8638786553166333E-2</v>
      </c>
      <c r="H1947" s="9">
        <f t="shared" si="214"/>
        <v>1.4138286347246975E-3</v>
      </c>
      <c r="I1947" s="9">
        <f t="shared" si="215"/>
        <v>-3.9617307903246461E-3</v>
      </c>
      <c r="J1947" s="9">
        <f t="shared" si="216"/>
        <v>16.819358643914597</v>
      </c>
    </row>
    <row r="1948" spans="2:10" x14ac:dyDescent="0.25">
      <c r="B1948" s="1">
        <v>41456</v>
      </c>
      <c r="C1948" s="13">
        <v>14.615</v>
      </c>
      <c r="D1948" s="6">
        <f t="shared" si="210"/>
        <v>3.198700748481853E-2</v>
      </c>
      <c r="E1948" s="14">
        <f t="shared" si="211"/>
        <v>4.09900194555413E-4</v>
      </c>
      <c r="F1948" s="9">
        <f t="shared" si="212"/>
        <v>16.85218007323752</v>
      </c>
      <c r="G1948" s="9">
        <f t="shared" si="213"/>
        <v>-0.54058751223510315</v>
      </c>
      <c r="H1948" s="9">
        <f t="shared" si="214"/>
        <v>-1.5152412514330809E-2</v>
      </c>
      <c r="I1948" s="9">
        <f t="shared" si="215"/>
        <v>-4.9238964533712362E-2</v>
      </c>
      <c r="J1948" s="9">
        <f t="shared" si="216"/>
        <v>16.24720118395437</v>
      </c>
    </row>
    <row r="1949" spans="2:10" x14ac:dyDescent="0.25">
      <c r="B1949" s="1">
        <v>41453</v>
      </c>
      <c r="C1949" s="13">
        <v>14.162000000000001</v>
      </c>
      <c r="D1949" s="6">
        <f t="shared" si="210"/>
        <v>6.968145620022792E-3</v>
      </c>
      <c r="E1949" s="14">
        <f t="shared" si="211"/>
        <v>4.0040555318837374E-4</v>
      </c>
      <c r="F1949" s="9">
        <f t="shared" si="212"/>
        <v>16.87561585894214</v>
      </c>
      <c r="G1949" s="9">
        <f t="shared" si="213"/>
        <v>-1.1543750973780018</v>
      </c>
      <c r="H1949" s="9">
        <f t="shared" si="214"/>
        <v>-4.874092523895255E-2</v>
      </c>
      <c r="I1949" s="9">
        <f t="shared" si="215"/>
        <v>-0.20196544022954058</v>
      </c>
      <c r="J1949" s="9">
        <f t="shared" si="216"/>
        <v>15.470534396095644</v>
      </c>
    </row>
    <row r="1950" spans="2:10" x14ac:dyDescent="0.25">
      <c r="B1950" s="1">
        <v>41452</v>
      </c>
      <c r="C1950" s="13">
        <v>14.064</v>
      </c>
      <c r="D1950" s="6">
        <f t="shared" si="210"/>
        <v>-1.0761764085250092E-2</v>
      </c>
      <c r="E1950" s="14">
        <f t="shared" si="211"/>
        <v>4.0515457927744439E-4</v>
      </c>
      <c r="F1950" s="9">
        <f t="shared" si="212"/>
        <v>16.863825103874291</v>
      </c>
      <c r="G1950" s="9">
        <f t="shared" si="213"/>
        <v>-3.5305684180142662E-2</v>
      </c>
      <c r="H1950" s="9">
        <f t="shared" si="214"/>
        <v>5.4097046217057316E-3</v>
      </c>
      <c r="I1950" s="9">
        <f t="shared" si="215"/>
        <v>-5.4293159128178059E-2</v>
      </c>
      <c r="J1950" s="9">
        <f t="shared" si="216"/>
        <v>16.779635965187676</v>
      </c>
    </row>
    <row r="1951" spans="2:10" x14ac:dyDescent="0.25">
      <c r="B1951" s="1">
        <v>41451</v>
      </c>
      <c r="C1951" s="13">
        <v>14.217000000000001</v>
      </c>
      <c r="D1951" s="6">
        <f t="shared" si="210"/>
        <v>-1.1335187760778909E-2</v>
      </c>
      <c r="E1951" s="14">
        <f t="shared" si="211"/>
        <v>4.0543719831777439E-4</v>
      </c>
      <c r="F1951" s="9">
        <f t="shared" si="212"/>
        <v>16.863127788506446</v>
      </c>
      <c r="G1951" s="9">
        <f t="shared" si="213"/>
        <v>-0.18984978109914763</v>
      </c>
      <c r="H1951" s="9">
        <f t="shared" si="214"/>
        <v>-2.4483942902771825E-3</v>
      </c>
      <c r="I1951" s="9">
        <f t="shared" si="215"/>
        <v>-3.8827531562243329E-4</v>
      </c>
      <c r="J1951" s="9">
        <f t="shared" si="216"/>
        <v>16.6704413378014</v>
      </c>
    </row>
    <row r="1952" spans="2:10" x14ac:dyDescent="0.25">
      <c r="B1952" s="1">
        <v>41450</v>
      </c>
      <c r="C1952" s="13">
        <v>14.38</v>
      </c>
      <c r="D1952" s="6">
        <f t="shared" si="210"/>
        <v>2.7824151363398109E-4</v>
      </c>
      <c r="E1952" s="14">
        <f t="shared" si="211"/>
        <v>4.1435335520512915E-4</v>
      </c>
      <c r="F1952" s="9">
        <f t="shared" si="212"/>
        <v>16.841374650612103</v>
      </c>
      <c r="G1952" s="9">
        <f t="shared" si="213"/>
        <v>-0.2033585335225552</v>
      </c>
      <c r="H1952" s="9">
        <f t="shared" si="214"/>
        <v>-2.2477712141540623E-2</v>
      </c>
      <c r="I1952" s="9">
        <f t="shared" si="215"/>
        <v>-0.18186172727132804</v>
      </c>
      <c r="J1952" s="9">
        <f t="shared" si="216"/>
        <v>16.433676677676679</v>
      </c>
    </row>
    <row r="1953" spans="2:10" x14ac:dyDescent="0.25">
      <c r="B1953" s="1">
        <v>41449</v>
      </c>
      <c r="C1953" s="13">
        <v>14.375999999999999</v>
      </c>
      <c r="D1953" s="6">
        <f t="shared" si="210"/>
        <v>-2.6543878656554831E-2</v>
      </c>
      <c r="E1953" s="14">
        <f t="shared" si="211"/>
        <v>4.3209667321666468E-4</v>
      </c>
      <c r="F1953" s="9">
        <f t="shared" si="212"/>
        <v>16.799444431585762</v>
      </c>
      <c r="G1953" s="9">
        <f t="shared" si="213"/>
        <v>-2.1123473276613712E-3</v>
      </c>
      <c r="H1953" s="9">
        <f t="shared" si="214"/>
        <v>-4.2812493875535908E-3</v>
      </c>
      <c r="I1953" s="9">
        <f t="shared" si="215"/>
        <v>-0.67963573597516203</v>
      </c>
      <c r="J1953" s="9">
        <f t="shared" si="216"/>
        <v>16.113415098895388</v>
      </c>
    </row>
    <row r="1954" spans="2:10" x14ac:dyDescent="0.25">
      <c r="B1954" s="1">
        <v>41446</v>
      </c>
      <c r="C1954" s="13">
        <v>14.768000000000001</v>
      </c>
      <c r="D1954" s="6">
        <f t="shared" si="210"/>
        <v>-7.9935514207025715E-3</v>
      </c>
      <c r="E1954" s="14">
        <f t="shared" si="211"/>
        <v>4.2760317645159447E-4</v>
      </c>
      <c r="F1954" s="9">
        <f t="shared" si="212"/>
        <v>16.809898167707111</v>
      </c>
      <c r="G1954" s="9">
        <f t="shared" si="213"/>
        <v>-0.93073038008047326</v>
      </c>
      <c r="H1954" s="9">
        <f t="shared" si="214"/>
        <v>1.7987934572790906E-2</v>
      </c>
      <c r="I1954" s="9">
        <f t="shared" si="215"/>
        <v>-4.1826023690259125E-2</v>
      </c>
      <c r="J1954" s="9">
        <f t="shared" si="216"/>
        <v>15.85532969850917</v>
      </c>
    </row>
    <row r="1955" spans="2:10" x14ac:dyDescent="0.25">
      <c r="B1955" s="1">
        <v>41445</v>
      </c>
      <c r="C1955" s="13">
        <v>14.887</v>
      </c>
      <c r="D1955" s="6">
        <f t="shared" si="210"/>
        <v>-1.4562785463692274E-2</v>
      </c>
      <c r="E1955" s="14">
        <f t="shared" si="211"/>
        <v>4.2751669781833888E-4</v>
      </c>
      <c r="F1955" s="9">
        <f t="shared" si="212"/>
        <v>16.810100428550655</v>
      </c>
      <c r="G1955" s="9">
        <f t="shared" si="213"/>
        <v>-0.10857544348799812</v>
      </c>
      <c r="H1955" s="9">
        <f t="shared" si="214"/>
        <v>-1.1889475065814455E-3</v>
      </c>
      <c r="I1955" s="9">
        <f t="shared" si="215"/>
        <v>-1.1112948322338385E-7</v>
      </c>
      <c r="J1955" s="9">
        <f t="shared" si="216"/>
        <v>16.700335926426593</v>
      </c>
    </row>
    <row r="1956" spans="2:10" x14ac:dyDescent="0.25">
      <c r="B1956" s="1">
        <v>41444</v>
      </c>
      <c r="C1956" s="13">
        <v>15.106999999999999</v>
      </c>
      <c r="D1956" s="6">
        <f t="shared" si="210"/>
        <v>-2.0298313878080454E-2</v>
      </c>
      <c r="E1956" s="14">
        <f t="shared" si="211"/>
        <v>4.273513894666477E-4</v>
      </c>
      <c r="F1956" s="9">
        <f t="shared" si="212"/>
        <v>16.810487174426914</v>
      </c>
      <c r="G1956" s="9">
        <f t="shared" si="213"/>
        <v>-0.30758776248665032</v>
      </c>
      <c r="H1956" s="9">
        <f t="shared" si="214"/>
        <v>-1.7807193280128732E-3</v>
      </c>
      <c r="I1956" s="9">
        <f t="shared" si="215"/>
        <v>-1.1015688428213552E-5</v>
      </c>
      <c r="J1956" s="9">
        <f t="shared" si="216"/>
        <v>16.501107676923819</v>
      </c>
    </row>
    <row r="1957" spans="2:10" x14ac:dyDescent="0.25">
      <c r="B1957" s="1">
        <v>41443</v>
      </c>
      <c r="C1957" s="13">
        <v>15.42</v>
      </c>
      <c r="D1957" s="6">
        <f t="shared" si="210"/>
        <v>-5.8331713007975239E-4</v>
      </c>
      <c r="E1957" s="14">
        <f t="shared" si="211"/>
        <v>4.244481712778508E-4</v>
      </c>
      <c r="F1957" s="9">
        <f t="shared" si="212"/>
        <v>16.817303870665455</v>
      </c>
      <c r="G1957" s="9">
        <f t="shared" si="213"/>
        <v>-0.56798133248454086</v>
      </c>
      <c r="H1957" s="9">
        <f t="shared" si="214"/>
        <v>8.0297789392367487E-3</v>
      </c>
      <c r="I1957" s="9">
        <f t="shared" si="215"/>
        <v>-1.7118577457137362E-2</v>
      </c>
      <c r="J1957" s="9">
        <f t="shared" si="216"/>
        <v>16.240233739663012</v>
      </c>
    </row>
    <row r="1958" spans="2:10" x14ac:dyDescent="0.25">
      <c r="B1958" s="1">
        <v>41442</v>
      </c>
      <c r="C1958" s="13">
        <v>15.429</v>
      </c>
      <c r="D1958" s="6">
        <f t="shared" si="210"/>
        <v>4.5575883846604714E-3</v>
      </c>
      <c r="E1958" s="14">
        <f t="shared" si="211"/>
        <v>4.2453085516736759E-4</v>
      </c>
      <c r="F1958" s="9">
        <f t="shared" si="212"/>
        <v>16.817109086372312</v>
      </c>
      <c r="G1958" s="9">
        <f t="shared" si="213"/>
        <v>-5.7728497004179676E-3</v>
      </c>
      <c r="H1958" s="9">
        <f t="shared" si="214"/>
        <v>-3.4024948114479435E-4</v>
      </c>
      <c r="I1958" s="9">
        <f t="shared" si="215"/>
        <v>-7.1506545320679959E-5</v>
      </c>
      <c r="J1958" s="9">
        <f t="shared" si="216"/>
        <v>16.810924480645429</v>
      </c>
    </row>
    <row r="1959" spans="2:10" x14ac:dyDescent="0.25">
      <c r="B1959" s="1">
        <v>41439</v>
      </c>
      <c r="C1959" s="13">
        <v>15.359</v>
      </c>
      <c r="D1959" s="6">
        <f t="shared" si="210"/>
        <v>-1.3551701991008414E-2</v>
      </c>
      <c r="E1959" s="14">
        <f t="shared" si="211"/>
        <v>4.2468286909052438E-4</v>
      </c>
      <c r="F1959" s="9">
        <f t="shared" si="212"/>
        <v>16.816751075378289</v>
      </c>
      <c r="G1959" s="9">
        <f t="shared" si="213"/>
        <v>-1.0138992209289379E-2</v>
      </c>
      <c r="H1959" s="9">
        <f t="shared" si="214"/>
        <v>4.8621110593213796E-4</v>
      </c>
      <c r="I1959" s="9">
        <f t="shared" si="215"/>
        <v>-1.3633999073590756E-4</v>
      </c>
      <c r="J1959" s="9">
        <f t="shared" si="216"/>
        <v>16.806961954284198</v>
      </c>
    </row>
    <row r="1960" spans="2:10" x14ac:dyDescent="0.25">
      <c r="B1960" s="1">
        <v>41438</v>
      </c>
      <c r="C1960" s="13">
        <v>15.57</v>
      </c>
      <c r="D1960" s="6">
        <f t="shared" si="210"/>
        <v>8.7463556851312685E-3</v>
      </c>
      <c r="E1960" s="14">
        <f t="shared" si="211"/>
        <v>4.2481969357876462E-4</v>
      </c>
      <c r="F1960" s="9">
        <f t="shared" si="212"/>
        <v>16.816428946887015</v>
      </c>
      <c r="G1960" s="9">
        <f t="shared" si="213"/>
        <v>-0.271980557439856</v>
      </c>
      <c r="H1960" s="9">
        <f t="shared" si="214"/>
        <v>-2.4776996910759103E-3</v>
      </c>
      <c r="I1960" s="9">
        <f t="shared" si="215"/>
        <v>-1.2002761437579647E-4</v>
      </c>
      <c r="J1960" s="9">
        <f t="shared" si="216"/>
        <v>16.541850662141705</v>
      </c>
    </row>
    <row r="1961" spans="2:10" x14ac:dyDescent="0.25">
      <c r="B1961" s="1">
        <v>41437</v>
      </c>
      <c r="C1961" s="13">
        <v>15.435</v>
      </c>
      <c r="D1961" s="6">
        <f t="shared" si="210"/>
        <v>-1.2412822317486638E-2</v>
      </c>
      <c r="E1961" s="14">
        <f t="shared" si="211"/>
        <v>4.3167137402642735E-4</v>
      </c>
      <c r="F1961" s="9">
        <f t="shared" si="212"/>
        <v>16.800429184902267</v>
      </c>
      <c r="G1961" s="9">
        <f t="shared" si="213"/>
        <v>-5.8876074691987731E-2</v>
      </c>
      <c r="H1961" s="9">
        <f t="shared" si="214"/>
        <v>9.3319694104088292E-3</v>
      </c>
      <c r="I1961" s="9">
        <f t="shared" si="215"/>
        <v>-0.10302832123819053</v>
      </c>
      <c r="J1961" s="9">
        <f t="shared" si="216"/>
        <v>16.647856758382495</v>
      </c>
    </row>
    <row r="1962" spans="2:10" x14ac:dyDescent="0.25">
      <c r="B1962" s="1">
        <v>41436</v>
      </c>
      <c r="C1962" s="13">
        <v>15.629</v>
      </c>
      <c r="D1962" s="6">
        <f t="shared" si="210"/>
        <v>-2.9346092503987897E-3</v>
      </c>
      <c r="E1962" s="14">
        <f t="shared" si="211"/>
        <v>4.3359555339086015E-4</v>
      </c>
      <c r="F1962" s="9">
        <f t="shared" si="212"/>
        <v>16.795981580410889</v>
      </c>
      <c r="G1962" s="9">
        <f t="shared" si="213"/>
        <v>-0.22798866448378716</v>
      </c>
      <c r="H1962" s="9">
        <f t="shared" si="214"/>
        <v>-6.5249112896239806E-3</v>
      </c>
      <c r="I1962" s="9">
        <f t="shared" si="215"/>
        <v>-8.5887111827783937E-3</v>
      </c>
      <c r="J1962" s="9">
        <f t="shared" si="216"/>
        <v>16.552879293454698</v>
      </c>
    </row>
    <row r="1963" spans="2:10" x14ac:dyDescent="0.25">
      <c r="B1963" s="1">
        <v>41435</v>
      </c>
      <c r="C1963" s="13">
        <v>15.675000000000001</v>
      </c>
      <c r="D1963" s="6">
        <f t="shared" si="210"/>
        <v>-6.5910387223524491E-3</v>
      </c>
      <c r="E1963" s="14">
        <f t="shared" si="211"/>
        <v>4.4461114266613534E-4</v>
      </c>
      <c r="F1963" s="9">
        <f t="shared" si="212"/>
        <v>16.770893711945792</v>
      </c>
      <c r="G1963" s="9">
        <f t="shared" si="213"/>
        <v>-2.3473373308796796E-2</v>
      </c>
      <c r="H1963" s="9">
        <f t="shared" si="214"/>
        <v>-8.9651377632998779E-3</v>
      </c>
      <c r="I1963" s="9">
        <f t="shared" si="215"/>
        <v>-0.25512808821136074</v>
      </c>
      <c r="J1963" s="9">
        <f t="shared" si="216"/>
        <v>16.483327112662334</v>
      </c>
    </row>
    <row r="1964" spans="2:10" x14ac:dyDescent="0.25">
      <c r="B1964" s="1">
        <v>41432</v>
      </c>
      <c r="C1964" s="13">
        <v>15.779</v>
      </c>
      <c r="D1964" s="6">
        <f t="shared" si="210"/>
        <v>7.6633246056581061E-3</v>
      </c>
      <c r="E1964" s="14">
        <f t="shared" si="211"/>
        <v>4.4648443783918491E-4</v>
      </c>
      <c r="F1964" s="9">
        <f t="shared" si="212"/>
        <v>16.766689229343349</v>
      </c>
      <c r="G1964" s="9">
        <f t="shared" si="213"/>
        <v>-7.5861282079694323E-2</v>
      </c>
      <c r="H1964" s="9">
        <f t="shared" si="214"/>
        <v>-3.6398335250179292E-3</v>
      </c>
      <c r="I1964" s="9">
        <f t="shared" si="215"/>
        <v>-7.7516166300191655E-3</v>
      </c>
      <c r="J1964" s="9">
        <f t="shared" si="216"/>
        <v>16.679436497108618</v>
      </c>
    </row>
    <row r="1965" spans="2:10" x14ac:dyDescent="0.25">
      <c r="B1965" s="1">
        <v>41431</v>
      </c>
      <c r="C1965" s="13">
        <v>15.659000000000001</v>
      </c>
      <c r="D1965" s="6">
        <f t="shared" si="210"/>
        <v>-1.4971378247468081E-2</v>
      </c>
      <c r="E1965" s="14">
        <f t="shared" si="211"/>
        <v>4.4586172144181154E-4</v>
      </c>
      <c r="F1965" s="9">
        <f t="shared" si="212"/>
        <v>16.768084913051922</v>
      </c>
      <c r="G1965" s="9">
        <f t="shared" si="213"/>
        <v>-4.0977745733169292E-2</v>
      </c>
      <c r="H1965" s="9">
        <f t="shared" si="214"/>
        <v>1.7844918094000746E-4</v>
      </c>
      <c r="I1965" s="9">
        <f t="shared" si="215"/>
        <v>-6.4842207644418427E-4</v>
      </c>
      <c r="J1965" s="9">
        <f t="shared" si="216"/>
        <v>16.726637194423247</v>
      </c>
    </row>
    <row r="1966" spans="2:10" x14ac:dyDescent="0.25">
      <c r="B1966" s="1">
        <v>41430</v>
      </c>
      <c r="C1966" s="13">
        <v>15.897</v>
      </c>
      <c r="D1966" s="6">
        <f t="shared" si="210"/>
        <v>-9.3475415965601494E-3</v>
      </c>
      <c r="E1966" s="14">
        <f t="shared" si="211"/>
        <v>4.4879938604191105E-4</v>
      </c>
      <c r="F1966" s="9">
        <f t="shared" si="212"/>
        <v>16.761517789180616</v>
      </c>
      <c r="G1966" s="9">
        <f t="shared" si="213"/>
        <v>-0.30785810029234373</v>
      </c>
      <c r="H1966" s="9">
        <f t="shared" si="214"/>
        <v>-1.0224254667458984E-2</v>
      </c>
      <c r="I1966" s="9">
        <f t="shared" si="215"/>
        <v>-1.8477578945950177E-2</v>
      </c>
      <c r="J1966" s="9">
        <f t="shared" si="216"/>
        <v>16.424957855274862</v>
      </c>
    </row>
    <row r="1967" spans="2:10" x14ac:dyDescent="0.25">
      <c r="B1967" s="1">
        <v>41429</v>
      </c>
      <c r="C1967" s="13">
        <v>16.047000000000001</v>
      </c>
      <c r="D1967" s="6">
        <f t="shared" si="210"/>
        <v>-3.106168851338853E-3</v>
      </c>
      <c r="E1967" s="14">
        <f t="shared" si="211"/>
        <v>4.4847654526420489E-4</v>
      </c>
      <c r="F1967" s="9">
        <f t="shared" si="212"/>
        <v>16.762237391212441</v>
      </c>
      <c r="G1967" s="9">
        <f t="shared" si="213"/>
        <v>-0.134683353451544</v>
      </c>
      <c r="H1967" s="9">
        <f t="shared" si="214"/>
        <v>-8.6519313132173105E-4</v>
      </c>
      <c r="I1967" s="9">
        <f t="shared" si="215"/>
        <v>-1.4342407507095457E-4</v>
      </c>
      <c r="J1967" s="9">
        <f t="shared" si="216"/>
        <v>16.626545420554507</v>
      </c>
    </row>
    <row r="1968" spans="2:10" x14ac:dyDescent="0.25">
      <c r="B1968" s="1">
        <v>41428</v>
      </c>
      <c r="C1968" s="13">
        <v>16.097000000000001</v>
      </c>
      <c r="D1968" s="6">
        <f t="shared" si="210"/>
        <v>2.1790561573902245E-3</v>
      </c>
      <c r="E1968" s="14">
        <f t="shared" si="211"/>
        <v>4.5335045309818705E-4</v>
      </c>
      <c r="F1968" s="9">
        <f t="shared" si="212"/>
        <v>16.751428321852746</v>
      </c>
      <c r="G1968" s="9">
        <f t="shared" si="213"/>
        <v>-2.478490286410508E-2</v>
      </c>
      <c r="H1968" s="9">
        <f t="shared" si="214"/>
        <v>-4.3812901108530563E-3</v>
      </c>
      <c r="I1968" s="9">
        <f t="shared" si="215"/>
        <v>-4.9423101610215452E-2</v>
      </c>
      <c r="J1968" s="9">
        <f t="shared" si="216"/>
        <v>16.672839027267571</v>
      </c>
    </row>
    <row r="1969" spans="2:10" x14ac:dyDescent="0.25">
      <c r="B1969" s="1">
        <v>41425</v>
      </c>
      <c r="C1969" s="13">
        <v>16.062000000000001</v>
      </c>
      <c r="D1969" s="6">
        <f t="shared" si="210"/>
        <v>-4.0922619047618625E-3</v>
      </c>
      <c r="E1969" s="14">
        <f t="shared" si="211"/>
        <v>4.5564516369930088E-4</v>
      </c>
      <c r="F1969" s="9">
        <f t="shared" si="212"/>
        <v>16.746379418572403</v>
      </c>
      <c r="G1969" s="9">
        <f t="shared" si="213"/>
        <v>-3.3499941436137203E-4</v>
      </c>
      <c r="H1969" s="9">
        <f t="shared" si="214"/>
        <v>2.77162583310917E-4</v>
      </c>
      <c r="I1969" s="9">
        <f t="shared" si="215"/>
        <v>-1.1118980139838766E-2</v>
      </c>
      <c r="J1969" s="9">
        <f t="shared" si="216"/>
        <v>16.735202601601518</v>
      </c>
    </row>
    <row r="1970" spans="2:10" x14ac:dyDescent="0.25">
      <c r="B1970" s="1">
        <v>41424</v>
      </c>
      <c r="C1970" s="13">
        <v>16.128</v>
      </c>
      <c r="D1970" s="6">
        <f t="shared" si="210"/>
        <v>1.4914102322069134E-2</v>
      </c>
      <c r="E1970" s="14">
        <f t="shared" si="211"/>
        <v>4.8847584563358707E-4</v>
      </c>
      <c r="F1970" s="9">
        <f t="shared" si="212"/>
        <v>16.676803751119127</v>
      </c>
      <c r="G1970" s="9">
        <f t="shared" si="213"/>
        <v>-3.3584827377125009E-2</v>
      </c>
      <c r="H1970" s="9">
        <f t="shared" si="214"/>
        <v>-2.9118313936740577E-2</v>
      </c>
      <c r="I1970" s="9">
        <f t="shared" si="215"/>
        <v>-2.037558731835488</v>
      </c>
      <c r="J1970" s="9">
        <f t="shared" si="216"/>
        <v>14.57654187796977</v>
      </c>
    </row>
    <row r="1971" spans="2:10" x14ac:dyDescent="0.25">
      <c r="B1971" s="1">
        <v>41423</v>
      </c>
      <c r="C1971" s="13">
        <v>15.891</v>
      </c>
      <c r="D1971" s="6">
        <f t="shared" si="210"/>
        <v>7.9284536344030876E-3</v>
      </c>
      <c r="E1971" s="14">
        <f t="shared" si="211"/>
        <v>4.8818466072306856E-4</v>
      </c>
      <c r="F1971" s="9">
        <f t="shared" si="212"/>
        <v>16.677400037991077</v>
      </c>
      <c r="G1971" s="9">
        <f t="shared" si="213"/>
        <v>-0.18134554862320029</v>
      </c>
      <c r="H1971" s="9">
        <f t="shared" si="214"/>
        <v>1.0259552021069404E-3</v>
      </c>
      <c r="I1971" s="9">
        <f t="shared" si="215"/>
        <v>-1.6794756456922072E-4</v>
      </c>
      <c r="J1971" s="9">
        <f t="shared" si="216"/>
        <v>16.496912497005415</v>
      </c>
    </row>
    <row r="1972" spans="2:10" x14ac:dyDescent="0.25">
      <c r="B1972" s="1">
        <v>41422</v>
      </c>
      <c r="C1972" s="13">
        <v>15.766</v>
      </c>
      <c r="D1972" s="6">
        <f t="shared" si="210"/>
        <v>-8.3029311863127564E-3</v>
      </c>
      <c r="E1972" s="14">
        <f t="shared" si="211"/>
        <v>4.8746137054474643E-4</v>
      </c>
      <c r="F1972" s="9">
        <f t="shared" si="212"/>
        <v>16.678882727998818</v>
      </c>
      <c r="G1972" s="9">
        <f t="shared" si="213"/>
        <v>-4.0845712531016647E-2</v>
      </c>
      <c r="H1972" s="9">
        <f t="shared" si="214"/>
        <v>7.4260572958290781E-5</v>
      </c>
      <c r="I1972" s="9">
        <f t="shared" si="215"/>
        <v>-1.0066633181305797E-3</v>
      </c>
      <c r="J1972" s="9">
        <f t="shared" si="216"/>
        <v>16.637104612722631</v>
      </c>
    </row>
    <row r="1973" spans="2:10" x14ac:dyDescent="0.25">
      <c r="B1973" s="1">
        <v>41418</v>
      </c>
      <c r="C1973" s="13">
        <v>15.898</v>
      </c>
      <c r="D1973" s="6">
        <f t="shared" si="210"/>
        <v>6.7760116522068703E-3</v>
      </c>
      <c r="E1973" s="14">
        <f t="shared" si="211"/>
        <v>4.8733506092195317E-4</v>
      </c>
      <c r="F1973" s="9">
        <f t="shared" si="212"/>
        <v>16.679141878770043</v>
      </c>
      <c r="G1973" s="9">
        <f t="shared" si="213"/>
        <v>-0.10147255662734524</v>
      </c>
      <c r="H1973" s="9">
        <f t="shared" si="214"/>
        <v>-1.0165356526284199E-3</v>
      </c>
      <c r="I1973" s="9">
        <f t="shared" si="215"/>
        <v>-3.2844894336387397E-5</v>
      </c>
      <c r="J1973" s="9">
        <f t="shared" si="216"/>
        <v>16.576619941595734</v>
      </c>
    </row>
    <row r="1974" spans="2:10" x14ac:dyDescent="0.25">
      <c r="B1974" s="1">
        <v>41417</v>
      </c>
      <c r="C1974" s="13">
        <v>15.791</v>
      </c>
      <c r="D1974" s="6">
        <f t="shared" si="210"/>
        <v>1.7763116158091563E-3</v>
      </c>
      <c r="E1974" s="14">
        <f t="shared" si="211"/>
        <v>4.8811555476591751E-4</v>
      </c>
      <c r="F1974" s="9">
        <f t="shared" si="212"/>
        <v>16.677541605013538</v>
      </c>
      <c r="G1974" s="9">
        <f t="shared" si="213"/>
        <v>-2.7234507846284624E-2</v>
      </c>
      <c r="H1974" s="9">
        <f t="shared" si="214"/>
        <v>1.2334723644119086E-3</v>
      </c>
      <c r="I1974" s="9">
        <f t="shared" si="215"/>
        <v>-1.1334721472005497E-3</v>
      </c>
      <c r="J1974" s="9">
        <f t="shared" si="216"/>
        <v>16.650407097384466</v>
      </c>
    </row>
    <row r="1975" spans="2:10" x14ac:dyDescent="0.25">
      <c r="B1975" s="1">
        <v>41416</v>
      </c>
      <c r="C1975" s="13">
        <v>15.763</v>
      </c>
      <c r="D1975" s="6">
        <f t="shared" si="210"/>
        <v>3.8848554324288909E-3</v>
      </c>
      <c r="E1975" s="14">
        <f t="shared" si="211"/>
        <v>4.8800349166763411E-4</v>
      </c>
      <c r="F1975" s="9">
        <f t="shared" si="212"/>
        <v>16.677771214504684</v>
      </c>
      <c r="G1975" s="9">
        <f t="shared" si="213"/>
        <v>-2.2802688242009E-5</v>
      </c>
      <c r="H1975" s="9">
        <f t="shared" si="214"/>
        <v>1.5549586518929486E-5</v>
      </c>
      <c r="I1975" s="9">
        <f t="shared" si="215"/>
        <v>-2.6577985591575804E-5</v>
      </c>
      <c r="J1975" s="9">
        <f t="shared" si="216"/>
        <v>16.677737383417369</v>
      </c>
    </row>
    <row r="1976" spans="2:10" x14ac:dyDescent="0.25">
      <c r="B1976" s="1">
        <v>41415</v>
      </c>
      <c r="C1976" s="13">
        <v>15.702</v>
      </c>
      <c r="D1976" s="6">
        <f t="shared" si="210"/>
        <v>-7.3961691636639237E-3</v>
      </c>
      <c r="E1976" s="14">
        <f t="shared" si="211"/>
        <v>4.8799767451545163E-4</v>
      </c>
      <c r="F1976" s="9">
        <f t="shared" si="212"/>
        <v>16.677783134884258</v>
      </c>
      <c r="G1976" s="9">
        <f t="shared" si="213"/>
        <v>-5.2371328043732341E-3</v>
      </c>
      <c r="H1976" s="9">
        <f t="shared" si="214"/>
        <v>2.7199698702353678E-4</v>
      </c>
      <c r="I1976" s="9">
        <f t="shared" si="215"/>
        <v>-2.8334079390467567E-7</v>
      </c>
      <c r="J1976" s="9">
        <f t="shared" si="216"/>
        <v>16.672817715726115</v>
      </c>
    </row>
    <row r="1977" spans="2:10" x14ac:dyDescent="0.25">
      <c r="B1977" s="1">
        <v>41414</v>
      </c>
      <c r="C1977" s="13">
        <v>15.818999999999999</v>
      </c>
      <c r="D1977" s="6">
        <f t="shared" si="210"/>
        <v>2.2295463357890677E-2</v>
      </c>
      <c r="E1977" s="14">
        <f t="shared" si="211"/>
        <v>4.9714391375773085E-4</v>
      </c>
      <c r="F1977" s="9">
        <f t="shared" si="212"/>
        <v>16.659214226303167</v>
      </c>
      <c r="G1977" s="9">
        <f t="shared" si="213"/>
        <v>-8.2133989875617569E-2</v>
      </c>
      <c r="H1977" s="9">
        <f t="shared" si="214"/>
        <v>-1.3350271447037033E-2</v>
      </c>
      <c r="I1977" s="9">
        <f t="shared" si="215"/>
        <v>-0.15471706762205578</v>
      </c>
      <c r="J1977" s="9">
        <f t="shared" si="216"/>
        <v>16.409012897358455</v>
      </c>
    </row>
    <row r="1978" spans="2:10" x14ac:dyDescent="0.25">
      <c r="B1978" s="1">
        <v>41411</v>
      </c>
      <c r="C1978" s="13">
        <v>15.474</v>
      </c>
      <c r="D1978" s="6">
        <f t="shared" si="210"/>
        <v>-3.0281554023581236E-3</v>
      </c>
      <c r="E1978" s="14">
        <f t="shared" si="211"/>
        <v>4.9538687480864881E-4</v>
      </c>
      <c r="F1978" s="9">
        <f t="shared" si="212"/>
        <v>16.662754752813264</v>
      </c>
      <c r="G1978" s="9">
        <f t="shared" si="213"/>
        <v>-0.43242470335482686</v>
      </c>
      <c r="H1978" s="9">
        <f t="shared" si="214"/>
        <v>-2.949399575162521E-3</v>
      </c>
      <c r="I1978" s="9">
        <f t="shared" si="215"/>
        <v>-5.8798975831127502E-3</v>
      </c>
      <c r="J1978" s="9">
        <f t="shared" si="216"/>
        <v>16.221500752300162</v>
      </c>
    </row>
    <row r="1979" spans="2:10" x14ac:dyDescent="0.25">
      <c r="B1979" s="1">
        <v>41410</v>
      </c>
      <c r="C1979" s="13">
        <v>15.521000000000001</v>
      </c>
      <c r="D1979" s="6">
        <f t="shared" si="210"/>
        <v>1.338469574301393E-2</v>
      </c>
      <c r="E1979" s="14">
        <f t="shared" si="211"/>
        <v>4.9546490921491455E-4</v>
      </c>
      <c r="F1979" s="9">
        <f t="shared" si="212"/>
        <v>16.662597243067236</v>
      </c>
      <c r="G1979" s="9">
        <f t="shared" si="213"/>
        <v>-2.1936827388437885E-2</v>
      </c>
      <c r="H1979" s="9">
        <f t="shared" si="214"/>
        <v>-6.107258889999391E-4</v>
      </c>
      <c r="I1979" s="9">
        <f t="shared" si="215"/>
        <v>-6.5484058678528487E-6</v>
      </c>
      <c r="J1979" s="9">
        <f t="shared" si="216"/>
        <v>16.640043141383931</v>
      </c>
    </row>
    <row r="1980" spans="2:10" x14ac:dyDescent="0.25">
      <c r="B1980" s="1">
        <v>41409</v>
      </c>
      <c r="C1980" s="13">
        <v>15.316000000000001</v>
      </c>
      <c r="D1980" s="6">
        <f t="shared" si="210"/>
        <v>-3.3812768104970914E-2</v>
      </c>
      <c r="E1980" s="14">
        <f t="shared" si="211"/>
        <v>4.9386592391772988E-4</v>
      </c>
      <c r="F1980" s="9">
        <f t="shared" si="212"/>
        <v>16.665829704112468</v>
      </c>
      <c r="G1980" s="9">
        <f t="shared" si="213"/>
        <v>-0.14036630827589569</v>
      </c>
      <c r="H1980" s="9">
        <f t="shared" si="214"/>
        <v>-1.4047474456862722E-3</v>
      </c>
      <c r="I1980" s="9">
        <f t="shared" si="215"/>
        <v>-4.8795528043954501E-3</v>
      </c>
      <c r="J1980" s="9">
        <f t="shared" si="216"/>
        <v>16.519179095586491</v>
      </c>
    </row>
    <row r="1981" spans="2:10" x14ac:dyDescent="0.25">
      <c r="B1981" s="1">
        <v>41408</v>
      </c>
      <c r="C1981" s="13">
        <v>15.852</v>
      </c>
      <c r="D1981" s="6">
        <f t="shared" si="210"/>
        <v>-2.3951727110399612E-2</v>
      </c>
      <c r="E1981" s="14">
        <f t="shared" si="211"/>
        <v>5.3049272892370365E-4</v>
      </c>
      <c r="F1981" s="9">
        <f t="shared" si="212"/>
        <v>16.594287523510367</v>
      </c>
      <c r="G1981" s="9">
        <f t="shared" si="213"/>
        <v>-1.1873100071309686</v>
      </c>
      <c r="H1981" s="9">
        <f t="shared" si="214"/>
        <v>-0.18488613708953752</v>
      </c>
      <c r="I1981" s="9">
        <f t="shared" si="215"/>
        <v>-2.3263837413091579</v>
      </c>
      <c r="J1981" s="9">
        <f t="shared" si="216"/>
        <v>12.895707637980705</v>
      </c>
    </row>
    <row r="1982" spans="2:10" x14ac:dyDescent="0.25">
      <c r="B1982" s="1">
        <v>41407</v>
      </c>
      <c r="C1982" s="13">
        <v>16.241</v>
      </c>
      <c r="D1982" s="6">
        <f t="shared" si="210"/>
        <v>3.8941772777845163E-3</v>
      </c>
      <c r="E1982" s="14">
        <f t="shared" si="211"/>
        <v>5.2632739694702196E-4</v>
      </c>
      <c r="F1982" s="9">
        <f t="shared" si="212"/>
        <v>16.602170328622968</v>
      </c>
      <c r="G1982" s="9">
        <f t="shared" si="213"/>
        <v>-0.62340028569233608</v>
      </c>
      <c r="H1982" s="9">
        <f t="shared" si="214"/>
        <v>1.2089942276493661E-2</v>
      </c>
      <c r="I1982" s="9">
        <f t="shared" si="215"/>
        <v>-3.1482489657578827E-2</v>
      </c>
      <c r="J1982" s="9">
        <f t="shared" si="216"/>
        <v>15.959377495549546</v>
      </c>
    </row>
    <row r="1983" spans="2:10" x14ac:dyDescent="0.25">
      <c r="B1983" s="1">
        <v>41404</v>
      </c>
      <c r="C1983" s="13">
        <v>16.178000000000001</v>
      </c>
      <c r="D1983" s="6">
        <f t="shared" si="210"/>
        <v>-8.2756084104700367E-3</v>
      </c>
      <c r="E1983" s="14">
        <f t="shared" si="211"/>
        <v>5.294362539447566E-4</v>
      </c>
      <c r="F1983" s="9">
        <f t="shared" si="212"/>
        <v>16.596281006745357</v>
      </c>
      <c r="G1983" s="9">
        <f t="shared" si="213"/>
        <v>-4.8671744500681409E-3</v>
      </c>
      <c r="H1983" s="9">
        <f t="shared" si="214"/>
        <v>1.237823031044557E-3</v>
      </c>
      <c r="I1983" s="9">
        <f t="shared" si="215"/>
        <v>-1.6060794703592972E-2</v>
      </c>
      <c r="J1983" s="9">
        <f t="shared" si="216"/>
        <v>16.576590860622741</v>
      </c>
    </row>
    <row r="1984" spans="2:10" x14ac:dyDescent="0.25">
      <c r="B1984" s="1">
        <v>41403</v>
      </c>
      <c r="C1984" s="13">
        <v>16.312999999999999</v>
      </c>
      <c r="D1984" s="6">
        <f t="shared" si="210"/>
        <v>-1.5272244355909681E-2</v>
      </c>
      <c r="E1984" s="14">
        <f t="shared" si="211"/>
        <v>5.2983643579362103E-4</v>
      </c>
      <c r="F1984" s="9">
        <f t="shared" si="212"/>
        <v>16.595525428183237</v>
      </c>
      <c r="G1984" s="9">
        <f t="shared" si="213"/>
        <v>-9.2819934420319217E-2</v>
      </c>
      <c r="H1984" s="9">
        <f t="shared" si="214"/>
        <v>-1.6600477380399245E-3</v>
      </c>
      <c r="I1984" s="9">
        <f t="shared" si="215"/>
        <v>-1.8364704148568695E-4</v>
      </c>
      <c r="J1984" s="9">
        <f t="shared" si="216"/>
        <v>16.500861798983394</v>
      </c>
    </row>
    <row r="1985" spans="2:10" x14ac:dyDescent="0.25">
      <c r="B1985" s="1">
        <v>41402</v>
      </c>
      <c r="C1985" s="13">
        <v>16.565999999999999</v>
      </c>
      <c r="D1985" s="6">
        <f t="shared" si="210"/>
        <v>1.1293571821012094E-2</v>
      </c>
      <c r="E1985" s="14">
        <f t="shared" si="211"/>
        <v>5.2817345834376079E-4</v>
      </c>
      <c r="F1985" s="9">
        <f t="shared" si="212"/>
        <v>16.598669026042888</v>
      </c>
      <c r="G1985" s="9">
        <f t="shared" si="213"/>
        <v>-0.27116223077216062</v>
      </c>
      <c r="H1985" s="9">
        <f t="shared" si="214"/>
        <v>2.0393794076475793E-3</v>
      </c>
      <c r="I1985" s="9">
        <f t="shared" si="215"/>
        <v>-5.270355840111666E-3</v>
      </c>
      <c r="J1985" s="9">
        <f t="shared" si="216"/>
        <v>16.324275818838267</v>
      </c>
    </row>
    <row r="1986" spans="2:10" x14ac:dyDescent="0.25">
      <c r="B1986" s="1">
        <v>41401</v>
      </c>
      <c r="C1986" s="13">
        <v>16.381</v>
      </c>
      <c r="D1986" s="6">
        <f t="shared" si="210"/>
        <v>-4.4366111583810097E-3</v>
      </c>
      <c r="E1986" s="14">
        <f t="shared" si="211"/>
        <v>5.2725639176944429E-4</v>
      </c>
      <c r="F1986" s="9">
        <f t="shared" si="212"/>
        <v>16.600406833259562</v>
      </c>
      <c r="G1986" s="9">
        <f t="shared" si="213"/>
        <v>-8.8867925114314628E-2</v>
      </c>
      <c r="H1986" s="9">
        <f t="shared" si="214"/>
        <v>-1.5736055734458747E-4</v>
      </c>
      <c r="I1986" s="9">
        <f t="shared" si="215"/>
        <v>-1.7118312675493458E-3</v>
      </c>
      <c r="J1986" s="9">
        <f t="shared" si="216"/>
        <v>16.509669716320353</v>
      </c>
    </row>
    <row r="1987" spans="2:10" x14ac:dyDescent="0.25">
      <c r="B1987" s="1">
        <v>41400</v>
      </c>
      <c r="C1987" s="13">
        <v>16.454000000000001</v>
      </c>
      <c r="D1987" s="6">
        <f t="shared" si="210"/>
        <v>2.3831746624354277E-2</v>
      </c>
      <c r="E1987" s="14">
        <f t="shared" si="211"/>
        <v>5.2999653578631183E-4</v>
      </c>
      <c r="F1987" s="9">
        <f t="shared" si="212"/>
        <v>16.595223305116296</v>
      </c>
      <c r="G1987" s="9">
        <f t="shared" si="213"/>
        <v>-3.4793081308885351E-2</v>
      </c>
      <c r="H1987" s="9">
        <f t="shared" si="214"/>
        <v>-2.9958454461602121E-3</v>
      </c>
      <c r="I1987" s="9">
        <f t="shared" si="215"/>
        <v>-1.2372502275244886E-2</v>
      </c>
      <c r="J1987" s="9">
        <f t="shared" si="216"/>
        <v>16.545061876086006</v>
      </c>
    </row>
    <row r="1988" spans="2:10" x14ac:dyDescent="0.25">
      <c r="B1988" s="1">
        <v>41397</v>
      </c>
      <c r="C1988" s="13">
        <v>16.071000000000002</v>
      </c>
      <c r="D1988" s="6">
        <f t="shared" si="210"/>
        <v>1.0055936144805599E-2</v>
      </c>
      <c r="E1988" s="14">
        <f t="shared" si="211"/>
        <v>5.3500116621794025E-4</v>
      </c>
      <c r="F1988" s="9">
        <f t="shared" si="212"/>
        <v>16.585824848648613</v>
      </c>
      <c r="G1988" s="9">
        <f t="shared" si="213"/>
        <v>-0.46214317393523713</v>
      </c>
      <c r="H1988" s="9">
        <f t="shared" si="214"/>
        <v>1.7816686409054251E-2</v>
      </c>
      <c r="I1988" s="9">
        <f t="shared" si="215"/>
        <v>-4.1805964114679184E-2</v>
      </c>
      <c r="J1988" s="9">
        <f t="shared" si="216"/>
        <v>16.09969239700775</v>
      </c>
    </row>
    <row r="1989" spans="2:10" x14ac:dyDescent="0.25">
      <c r="B1989" s="1">
        <v>41396</v>
      </c>
      <c r="C1989" s="13">
        <v>15.911</v>
      </c>
      <c r="D1989" s="6">
        <f t="shared" si="210"/>
        <v>1.4150041430301519E-2</v>
      </c>
      <c r="E1989" s="14">
        <f t="shared" si="211"/>
        <v>5.4777667439186324E-4</v>
      </c>
      <c r="F1989" s="9">
        <f t="shared" si="212"/>
        <v>16.562226099985146</v>
      </c>
      <c r="G1989" s="9">
        <f t="shared" si="213"/>
        <v>-6.503682326318945E-2</v>
      </c>
      <c r="H1989" s="9">
        <f t="shared" si="214"/>
        <v>1.5446614177803596E-2</v>
      </c>
      <c r="I1989" s="9">
        <f t="shared" si="215"/>
        <v>-0.27073635404081925</v>
      </c>
      <c r="J1989" s="9">
        <f t="shared" si="216"/>
        <v>16.241899536858941</v>
      </c>
    </row>
    <row r="1990" spans="2:10" x14ac:dyDescent="0.25">
      <c r="B1990" s="1">
        <v>41395</v>
      </c>
      <c r="C1990" s="13">
        <v>15.689</v>
      </c>
      <c r="D1990" s="6">
        <f t="shared" si="210"/>
        <v>-7.9043885165043237E-3</v>
      </c>
      <c r="E1990" s="14">
        <f t="shared" si="211"/>
        <v>5.4560829016346948E-4</v>
      </c>
      <c r="F1990" s="9">
        <f t="shared" si="212"/>
        <v>16.566192474393908</v>
      </c>
      <c r="G1990" s="9">
        <f t="shared" si="213"/>
        <v>-0.14413443601043788</v>
      </c>
      <c r="H1990" s="9">
        <f t="shared" si="214"/>
        <v>-2.3206349267226437E-3</v>
      </c>
      <c r="I1990" s="9">
        <f t="shared" si="215"/>
        <v>-8.725702891704783E-3</v>
      </c>
      <c r="J1990" s="9">
        <f t="shared" si="216"/>
        <v>16.411011700565041</v>
      </c>
    </row>
    <row r="1991" spans="2:10" x14ac:dyDescent="0.25">
      <c r="B1991" s="1">
        <v>41394</v>
      </c>
      <c r="C1991" s="13">
        <v>15.814</v>
      </c>
      <c r="D1991" s="6">
        <f t="shared" si="210"/>
        <v>2.9490267560705608E-2</v>
      </c>
      <c r="E1991" s="14">
        <f t="shared" si="211"/>
        <v>5.4732918271336141E-4</v>
      </c>
      <c r="F1991" s="9">
        <f t="shared" si="212"/>
        <v>16.563043357422874</v>
      </c>
      <c r="G1991" s="9">
        <f t="shared" si="213"/>
        <v>-8.3243206075737389E-2</v>
      </c>
      <c r="H1991" s="9">
        <f t="shared" si="214"/>
        <v>-3.2474447758071082E-3</v>
      </c>
      <c r="I1991" s="9">
        <f t="shared" si="215"/>
        <v>-4.4094574653964144E-3</v>
      </c>
      <c r="J1991" s="9">
        <f t="shared" si="216"/>
        <v>16.472143249105933</v>
      </c>
    </row>
    <row r="1992" spans="2:10" x14ac:dyDescent="0.25">
      <c r="B1992" s="1">
        <v>41393</v>
      </c>
      <c r="C1992" s="13">
        <v>15.361000000000001</v>
      </c>
      <c r="D1992" s="6">
        <f t="shared" si="210"/>
        <v>3.0939597315436274E-2</v>
      </c>
      <c r="E1992" s="14">
        <f t="shared" si="211"/>
        <v>5.4694935774490241E-4</v>
      </c>
      <c r="F1992" s="9">
        <f t="shared" si="212"/>
        <v>16.563737559072031</v>
      </c>
      <c r="G1992" s="9">
        <f t="shared" si="213"/>
        <v>-0.71180227649262562</v>
      </c>
      <c r="H1992" s="9">
        <f t="shared" si="214"/>
        <v>1.5864275043472131E-3</v>
      </c>
      <c r="I1992" s="9">
        <f t="shared" si="215"/>
        <v>-3.9530309913291586E-4</v>
      </c>
      <c r="J1992" s="9">
        <f t="shared" si="216"/>
        <v>15.853126406984622</v>
      </c>
    </row>
    <row r="1993" spans="2:10" x14ac:dyDescent="0.25">
      <c r="B1993" s="1">
        <v>41390</v>
      </c>
      <c r="C1993" s="13">
        <v>14.9</v>
      </c>
      <c r="D1993" s="6">
        <f t="shared" si="210"/>
        <v>2.1597531710661588E-2</v>
      </c>
      <c r="E1993" s="14">
        <f t="shared" si="211"/>
        <v>5.3778460264266594E-4</v>
      </c>
      <c r="F1993" s="9">
        <f t="shared" si="212"/>
        <v>16.58063566223047</v>
      </c>
      <c r="G1993" s="9">
        <f t="shared" si="213"/>
        <v>-0.80120412448437439</v>
      </c>
      <c r="H1993" s="9">
        <f t="shared" si="214"/>
        <v>-3.3708339948695598E-2</v>
      </c>
      <c r="I1993" s="9">
        <f t="shared" si="215"/>
        <v>-0.14709303263301693</v>
      </c>
      <c r="J1993" s="9">
        <f t="shared" si="216"/>
        <v>15.598630165164383</v>
      </c>
    </row>
    <row r="1994" spans="2:10" x14ac:dyDescent="0.25">
      <c r="B1994" s="1">
        <v>41389</v>
      </c>
      <c r="C1994" s="13">
        <v>14.585000000000001</v>
      </c>
      <c r="D1994" s="6">
        <f t="shared" si="210"/>
        <v>7.1818244596368874E-3</v>
      </c>
      <c r="E1994" s="14">
        <f t="shared" si="211"/>
        <v>5.3393388206120218E-4</v>
      </c>
      <c r="F1994" s="9">
        <f t="shared" si="212"/>
        <v>16.587821760459335</v>
      </c>
      <c r="G1994" s="9">
        <f t="shared" si="213"/>
        <v>-0.37456731364409612</v>
      </c>
      <c r="H1994" s="9">
        <f t="shared" si="214"/>
        <v>-8.4343444522455204E-3</v>
      </c>
      <c r="I1994" s="9">
        <f t="shared" si="215"/>
        <v>-2.6765504345612652E-2</v>
      </c>
      <c r="J1994" s="9">
        <f t="shared" si="216"/>
        <v>16.178054598017383</v>
      </c>
    </row>
    <row r="1995" spans="2:10" x14ac:dyDescent="0.25">
      <c r="B1995" s="1">
        <v>41388</v>
      </c>
      <c r="C1995" s="13">
        <v>14.481</v>
      </c>
      <c r="D1995" s="6">
        <f t="shared" si="210"/>
        <v>-1.6546018614271851E-3</v>
      </c>
      <c r="E1995" s="14">
        <f t="shared" si="211"/>
        <v>5.3337249951718657E-4</v>
      </c>
      <c r="F1995" s="9">
        <f t="shared" si="212"/>
        <v>16.58887372193071</v>
      </c>
      <c r="G1995" s="9">
        <f t="shared" si="213"/>
        <v>-2.9007398895735434E-2</v>
      </c>
      <c r="H1995" s="9">
        <f t="shared" si="214"/>
        <v>1.8450011422365675E-4</v>
      </c>
      <c r="I1995" s="9">
        <f t="shared" si="215"/>
        <v>-7.1582000384962801E-4</v>
      </c>
      <c r="J1995" s="9">
        <f t="shared" si="216"/>
        <v>16.559335003145346</v>
      </c>
    </row>
    <row r="1996" spans="2:10" x14ac:dyDescent="0.25">
      <c r="B1996" s="1">
        <v>41387</v>
      </c>
      <c r="C1996" s="13">
        <v>14.505000000000001</v>
      </c>
      <c r="D1996" s="6">
        <f t="shared" si="210"/>
        <v>1.8752633796881746E-2</v>
      </c>
      <c r="E1996" s="14">
        <f t="shared" si="211"/>
        <v>5.3398670607837293E-4</v>
      </c>
      <c r="F1996" s="9">
        <f t="shared" si="212"/>
        <v>16.587722831722871</v>
      </c>
      <c r="G1996" s="9">
        <f t="shared" si="213"/>
        <v>-1.0115489988260075E-2</v>
      </c>
      <c r="H1996" s="9">
        <f t="shared" si="214"/>
        <v>-6.4314816912849405E-4</v>
      </c>
      <c r="I1996" s="9">
        <f t="shared" si="215"/>
        <v>-4.890879000454E-4</v>
      </c>
      <c r="J1996" s="9">
        <f t="shared" si="216"/>
        <v>16.576475105665438</v>
      </c>
    </row>
    <row r="1997" spans="2:10" x14ac:dyDescent="0.25">
      <c r="B1997" s="1">
        <v>41386</v>
      </c>
      <c r="C1997" s="13">
        <v>14.238</v>
      </c>
      <c r="D1997" s="6">
        <f t="shared" si="210"/>
        <v>2.0791511327788781E-2</v>
      </c>
      <c r="E1997" s="14">
        <f t="shared" si="211"/>
        <v>5.3061803690654071E-4</v>
      </c>
      <c r="F1997" s="9">
        <f t="shared" si="212"/>
        <v>16.594051340846963</v>
      </c>
      <c r="G1997" s="9">
        <f t="shared" si="213"/>
        <v>-0.2771704192059446</v>
      </c>
      <c r="H1997" s="9">
        <f t="shared" si="214"/>
        <v>-6.1276226186453677E-3</v>
      </c>
      <c r="I1997" s="9">
        <f t="shared" si="215"/>
        <v>-2.0669616812227419E-2</v>
      </c>
      <c r="J1997" s="9">
        <f t="shared" si="216"/>
        <v>16.290083682210145</v>
      </c>
    </row>
    <row r="1998" spans="2:10" x14ac:dyDescent="0.25">
      <c r="B1998" s="1">
        <v>41383</v>
      </c>
      <c r="C1998" s="13">
        <v>13.948</v>
      </c>
      <c r="D1998" s="6">
        <f t="shared" si="210"/>
        <v>-3.8565919154406325E-3</v>
      </c>
      <c r="E1998" s="14">
        <f t="shared" si="211"/>
        <v>5.3274757568827946E-4</v>
      </c>
      <c r="F1998" s="9">
        <f t="shared" si="212"/>
        <v>16.590046054982142</v>
      </c>
      <c r="G1998" s="9">
        <f t="shared" si="213"/>
        <v>-0.34570963255161608</v>
      </c>
      <c r="H1998" s="9">
        <f t="shared" si="214"/>
        <v>7.7948533994905232E-3</v>
      </c>
      <c r="I1998" s="9">
        <f t="shared" si="215"/>
        <v>-7.2808398011924022E-3</v>
      </c>
      <c r="J1998" s="9">
        <f t="shared" si="216"/>
        <v>16.244850436028823</v>
      </c>
    </row>
    <row r="1999" spans="2:10" x14ac:dyDescent="0.25">
      <c r="B1999" s="1">
        <v>41382</v>
      </c>
      <c r="C1999" s="13">
        <v>14.002000000000001</v>
      </c>
      <c r="D1999" s="6">
        <f t="shared" si="210"/>
        <v>-2.6692617822883236E-2</v>
      </c>
      <c r="E1999" s="14">
        <f t="shared" si="211"/>
        <v>5.4831073134821732E-4</v>
      </c>
      <c r="F1999" s="9">
        <f t="shared" si="212"/>
        <v>16.561251621132786</v>
      </c>
      <c r="G1999" s="9">
        <f t="shared" si="213"/>
        <v>-2.7505024095555147E-2</v>
      </c>
      <c r="H1999" s="9">
        <f t="shared" si="214"/>
        <v>-1.2101902547899127E-2</v>
      </c>
      <c r="I1999" s="9">
        <f t="shared" si="215"/>
        <v>-0.40253623874152089</v>
      </c>
      <c r="J1999" s="9">
        <f t="shared" si="216"/>
        <v>16.11910845574781</v>
      </c>
    </row>
    <row r="2000" spans="2:10" x14ac:dyDescent="0.25">
      <c r="B2000" s="1">
        <v>41381</v>
      </c>
      <c r="C2000" s="13">
        <v>14.385999999999999</v>
      </c>
      <c r="D2000" s="6">
        <f t="shared" ref="D2000:D2063" si="217">C2000/C2001-1</f>
        <v>-5.4982592130329189E-2</v>
      </c>
      <c r="E2000" s="14">
        <f t="shared" ref="E2000:E2063" si="218">_xlfn.VAR.S(D2000:D2120)</f>
        <v>5.5265975074225043E-4</v>
      </c>
      <c r="F2000" s="9">
        <f t="shared" si="212"/>
        <v>16.553351242175403</v>
      </c>
      <c r="G2000" s="9">
        <f t="shared" si="213"/>
        <v>-0.72774781453229453</v>
      </c>
      <c r="H2000" s="9">
        <f t="shared" si="214"/>
        <v>-1.9513577278940493E-2</v>
      </c>
      <c r="I2000" s="9">
        <f t="shared" si="215"/>
        <v>-2.9988852811850018E-2</v>
      </c>
      <c r="J2000" s="9">
        <f t="shared" si="216"/>
        <v>15.776100997552316</v>
      </c>
    </row>
    <row r="2001" spans="2:10" x14ac:dyDescent="0.25">
      <c r="B2001" s="1">
        <v>41380</v>
      </c>
      <c r="C2001" s="13">
        <v>15.223000000000001</v>
      </c>
      <c r="D2001" s="6">
        <f t="shared" si="217"/>
        <v>1.52050683561189E-2</v>
      </c>
      <c r="E2001" s="14">
        <f t="shared" si="218"/>
        <v>5.3234551044560011E-4</v>
      </c>
      <c r="F2001" s="9">
        <f t="shared" ref="F2001:F2064" si="219">LN(2*PI())-LN($C$6)-LN(E2001)-0.5*LN(1-POWER($C$7,2))</f>
        <v>16.590801041127506</v>
      </c>
      <c r="G2001" s="9">
        <f t="shared" ref="G2001:G2064" si="220">-POWER(D2000-1-$C$3,2)/(2*E2001*(1-POWER($C$7,2)))</f>
        <v>-3.0188746454800826</v>
      </c>
      <c r="H2001" s="9">
        <f t="shared" ref="H2001:H2064" si="221">$C$7*(D2000-1-$C$3)*(E2000-E2001-$C$5*$C$4)/(E2001*$C$6*(1-POWER($C$7,2)))</f>
        <v>0.15343460358085947</v>
      </c>
      <c r="I2001" s="9">
        <f t="shared" ref="I2001:I2064" si="222">-POWER(E2000-E2001-$C$5*$C$4+$C$4*E2001,2)/(2*POWER($C$6,2)*E2001*(1-POWER($C$7,2)))</f>
        <v>-0.72176650069451076</v>
      </c>
      <c r="J2001" s="9">
        <f t="shared" ref="J2001:J2064" si="223">SUM(F2001:I2001)</f>
        <v>13.003594498533772</v>
      </c>
    </row>
    <row r="2002" spans="2:10" x14ac:dyDescent="0.25">
      <c r="B2002" s="1">
        <v>41379</v>
      </c>
      <c r="C2002" s="13">
        <v>14.994999999999999</v>
      </c>
      <c r="D2002" s="6">
        <f t="shared" si="217"/>
        <v>-2.3127035830618925E-2</v>
      </c>
      <c r="E2002" s="14">
        <f t="shared" si="218"/>
        <v>5.2969711836236915E-4</v>
      </c>
      <c r="F2002" s="9">
        <f t="shared" si="219"/>
        <v>16.595788406984632</v>
      </c>
      <c r="G2002" s="9">
        <f t="shared" si="220"/>
        <v>-0.17453371378150601</v>
      </c>
      <c r="H2002" s="9">
        <f t="shared" si="221"/>
        <v>-3.5015190359427659E-3</v>
      </c>
      <c r="I2002" s="9">
        <f t="shared" si="222"/>
        <v>-1.2939200570319886E-2</v>
      </c>
      <c r="J2002" s="9">
        <f t="shared" si="223"/>
        <v>16.404813973596863</v>
      </c>
    </row>
    <row r="2003" spans="2:10" x14ac:dyDescent="0.25">
      <c r="B2003" s="1">
        <v>41376</v>
      </c>
      <c r="C2003" s="13">
        <v>15.35</v>
      </c>
      <c r="D2003" s="6">
        <f t="shared" si="217"/>
        <v>-1.0443527591542101E-2</v>
      </c>
      <c r="E2003" s="14">
        <f t="shared" si="218"/>
        <v>5.3236721909396471E-4</v>
      </c>
      <c r="F2003" s="9">
        <f t="shared" si="219"/>
        <v>16.590760262713264</v>
      </c>
      <c r="G2003" s="9">
        <f t="shared" si="220"/>
        <v>-0.57722646696180957</v>
      </c>
      <c r="H2003" s="9">
        <f t="shared" si="221"/>
        <v>-1.1934398288842008E-2</v>
      </c>
      <c r="I2003" s="9">
        <f t="shared" si="222"/>
        <v>-1.1642978893716486E-2</v>
      </c>
      <c r="J2003" s="9">
        <f t="shared" si="223"/>
        <v>15.989956418568896</v>
      </c>
    </row>
    <row r="2004" spans="2:10" x14ac:dyDescent="0.25">
      <c r="B2004" s="1">
        <v>41375</v>
      </c>
      <c r="C2004" s="13">
        <v>15.512</v>
      </c>
      <c r="D2004" s="6">
        <f t="shared" si="217"/>
        <v>-3.0848329048843715E-3</v>
      </c>
      <c r="E2004" s="14">
        <f t="shared" si="218"/>
        <v>5.328751713592157E-4</v>
      </c>
      <c r="F2004" s="9">
        <f t="shared" si="219"/>
        <v>16.589806578728655</v>
      </c>
      <c r="G2004" s="9">
        <f t="shared" si="220"/>
        <v>-0.13712144861300943</v>
      </c>
      <c r="H2004" s="9">
        <f t="shared" si="221"/>
        <v>-2.1924330106803617E-3</v>
      </c>
      <c r="I2004" s="9">
        <f t="shared" si="222"/>
        <v>-3.1651430021800491E-4</v>
      </c>
      <c r="J2004" s="9">
        <f t="shared" si="223"/>
        <v>16.45017618280475</v>
      </c>
    </row>
    <row r="2005" spans="2:10" x14ac:dyDescent="0.25">
      <c r="B2005" s="1">
        <v>41374</v>
      </c>
      <c r="C2005" s="13">
        <v>15.56</v>
      </c>
      <c r="D2005" s="6">
        <f t="shared" si="217"/>
        <v>2.039477998557282E-2</v>
      </c>
      <c r="E2005" s="14">
        <f t="shared" si="218"/>
        <v>5.3311359798276811E-4</v>
      </c>
      <c r="F2005" s="9">
        <f t="shared" si="219"/>
        <v>16.589359244508287</v>
      </c>
      <c r="G2005" s="9">
        <f t="shared" si="220"/>
        <v>-2.0887072340917915E-2</v>
      </c>
      <c r="H2005" s="9">
        <f t="shared" si="221"/>
        <v>-6.7933493385257705E-4</v>
      </c>
      <c r="I2005" s="9">
        <f t="shared" si="222"/>
        <v>-4.2911957271999831E-5</v>
      </c>
      <c r="J2005" s="9">
        <f t="shared" si="223"/>
        <v>16.567749925276242</v>
      </c>
    </row>
    <row r="2006" spans="2:10" x14ac:dyDescent="0.25">
      <c r="B2006" s="1">
        <v>41373</v>
      </c>
      <c r="C2006" s="13">
        <v>15.249000000000001</v>
      </c>
      <c r="D2006" s="6">
        <f t="shared" si="217"/>
        <v>1.7737485218762838E-3</v>
      </c>
      <c r="E2006" s="14">
        <f t="shared" si="218"/>
        <v>5.3102001505906597E-4</v>
      </c>
      <c r="F2006" s="9">
        <f t="shared" si="219"/>
        <v>16.59329406171404</v>
      </c>
      <c r="G2006" s="9">
        <f t="shared" si="220"/>
        <v>-0.3326228231983272</v>
      </c>
      <c r="H2006" s="9">
        <f t="shared" si="221"/>
        <v>-3.3779416584428538E-3</v>
      </c>
      <c r="I2006" s="9">
        <f t="shared" si="222"/>
        <v>-8.2009724709313711E-3</v>
      </c>
      <c r="J2006" s="9">
        <f t="shared" si="223"/>
        <v>16.249092324386339</v>
      </c>
    </row>
    <row r="2007" spans="2:10" x14ac:dyDescent="0.25">
      <c r="B2007" s="1">
        <v>41372</v>
      </c>
      <c r="C2007" s="13">
        <v>15.222</v>
      </c>
      <c r="D2007" s="6">
        <f t="shared" si="217"/>
        <v>7.1456927352122612E-3</v>
      </c>
      <c r="E2007" s="14">
        <f t="shared" si="218"/>
        <v>5.3183894687152333E-4</v>
      </c>
      <c r="F2007" s="9">
        <f t="shared" si="219"/>
        <v>16.591753063324134</v>
      </c>
      <c r="G2007" s="9">
        <f t="shared" si="220"/>
        <v>-2.0209408275655369E-5</v>
      </c>
      <c r="H2007" s="9">
        <f t="shared" si="221"/>
        <v>3.2972133030645238E-5</v>
      </c>
      <c r="I2007" s="9">
        <f t="shared" si="222"/>
        <v>-9.5113560592648778E-4</v>
      </c>
      <c r="J2007" s="9">
        <f t="shared" si="223"/>
        <v>16.590814690442961</v>
      </c>
    </row>
    <row r="2008" spans="2:10" x14ac:dyDescent="0.25">
      <c r="B2008" s="1">
        <v>41369</v>
      </c>
      <c r="C2008" s="13">
        <v>15.114000000000001</v>
      </c>
      <c r="D2008" s="6">
        <f t="shared" si="217"/>
        <v>-1.060487038491742E-2</v>
      </c>
      <c r="E2008" s="14">
        <f t="shared" si="218"/>
        <v>5.3097086559284249E-4</v>
      </c>
      <c r="F2008" s="9">
        <f t="shared" si="219"/>
        <v>16.593386622708969</v>
      </c>
      <c r="G2008" s="9">
        <f t="shared" si="220"/>
        <v>-2.8760743481650523E-2</v>
      </c>
      <c r="H2008" s="9">
        <f t="shared" si="221"/>
        <v>-5.1562796299865916E-5</v>
      </c>
      <c r="I2008" s="9">
        <f t="shared" si="222"/>
        <v>-1.5557029291857758E-3</v>
      </c>
      <c r="J2008" s="9">
        <f t="shared" si="223"/>
        <v>16.563018613501832</v>
      </c>
    </row>
    <row r="2009" spans="2:10" x14ac:dyDescent="0.25">
      <c r="B2009" s="1">
        <v>41368</v>
      </c>
      <c r="C2009" s="13">
        <v>15.276</v>
      </c>
      <c r="D2009" s="6">
        <f t="shared" si="217"/>
        <v>-9.8522167487685719E-3</v>
      </c>
      <c r="E2009" s="14">
        <f t="shared" si="218"/>
        <v>5.3349559445921464E-4</v>
      </c>
      <c r="F2009" s="9">
        <f t="shared" si="219"/>
        <v>16.588642962489558</v>
      </c>
      <c r="G2009" s="9">
        <f t="shared" si="220"/>
        <v>-0.14064780024482407</v>
      </c>
      <c r="H2009" s="9">
        <f t="shared" si="221"/>
        <v>-5.6383710410512688E-3</v>
      </c>
      <c r="I2009" s="9">
        <f t="shared" si="222"/>
        <v>-1.0335050718656216E-2</v>
      </c>
      <c r="J2009" s="9">
        <f t="shared" si="223"/>
        <v>16.432021740485027</v>
      </c>
    </row>
    <row r="2010" spans="2:10" x14ac:dyDescent="0.25">
      <c r="B2010" s="1">
        <v>41367</v>
      </c>
      <c r="C2010" s="13">
        <v>15.428000000000001</v>
      </c>
      <c r="D2010" s="6">
        <f t="shared" si="217"/>
        <v>5.0814332247557381E-3</v>
      </c>
      <c r="E2010" s="14">
        <f t="shared" si="218"/>
        <v>5.3584186204427712E-4</v>
      </c>
      <c r="F2010" s="9">
        <f t="shared" si="219"/>
        <v>16.584254691348487</v>
      </c>
      <c r="G2010" s="9">
        <f t="shared" si="220"/>
        <v>-0.12332966100843996</v>
      </c>
      <c r="H2010" s="9">
        <f t="shared" si="221"/>
        <v>-4.9855693203447468E-3</v>
      </c>
      <c r="I2010" s="9">
        <f t="shared" si="222"/>
        <v>-8.8111001072962818E-3</v>
      </c>
      <c r="J2010" s="9">
        <f t="shared" si="223"/>
        <v>16.447128360912409</v>
      </c>
    </row>
    <row r="2011" spans="2:10" x14ac:dyDescent="0.25">
      <c r="B2011" s="1">
        <v>41366</v>
      </c>
      <c r="C2011" s="13">
        <v>15.35</v>
      </c>
      <c r="D2011" s="6">
        <f t="shared" si="217"/>
        <v>2.0890455673063801E-3</v>
      </c>
      <c r="E2011" s="14">
        <f t="shared" si="218"/>
        <v>5.3535380765649932E-4</v>
      </c>
      <c r="F2011" s="9">
        <f t="shared" si="219"/>
        <v>16.585165924347937</v>
      </c>
      <c r="G2011" s="9">
        <f t="shared" si="220"/>
        <v>-1.1175790999171112E-2</v>
      </c>
      <c r="H2011" s="9">
        <f t="shared" si="221"/>
        <v>1.4929091787175191E-4</v>
      </c>
      <c r="I2011" s="9">
        <f t="shared" si="222"/>
        <v>-5.6621842816924534E-4</v>
      </c>
      <c r="J2011" s="9">
        <f t="shared" si="223"/>
        <v>16.573573205838468</v>
      </c>
    </row>
    <row r="2012" spans="2:10" x14ac:dyDescent="0.25">
      <c r="B2012" s="1">
        <v>41365</v>
      </c>
      <c r="C2012" s="13">
        <v>15.318</v>
      </c>
      <c r="D2012" s="6">
        <f t="shared" si="217"/>
        <v>-3.1058257954329815E-2</v>
      </c>
      <c r="E2012" s="14">
        <f t="shared" si="218"/>
        <v>5.3801536938135935E-4</v>
      </c>
      <c r="F2012" s="9">
        <f t="shared" si="219"/>
        <v>16.580206648011778</v>
      </c>
      <c r="G2012" s="9">
        <f t="shared" si="220"/>
        <v>-1.9868827748670281E-4</v>
      </c>
      <c r="H2012" s="9">
        <f t="shared" si="221"/>
        <v>2.1971117442817415E-4</v>
      </c>
      <c r="I2012" s="9">
        <f t="shared" si="222"/>
        <v>-1.1362213713087129E-2</v>
      </c>
      <c r="J2012" s="9">
        <f t="shared" si="223"/>
        <v>16.568865457195631</v>
      </c>
    </row>
    <row r="2013" spans="2:10" x14ac:dyDescent="0.25">
      <c r="B2013" s="1">
        <v>41361</v>
      </c>
      <c r="C2013" s="13">
        <v>15.808999999999999</v>
      </c>
      <c r="D2013" s="6">
        <f t="shared" si="217"/>
        <v>-2.0872042611173147E-2</v>
      </c>
      <c r="E2013" s="14">
        <f t="shared" si="218"/>
        <v>5.3183414501464809E-4</v>
      </c>
      <c r="F2013" s="9">
        <f t="shared" si="219"/>
        <v>16.591762092144947</v>
      </c>
      <c r="G2013" s="9">
        <f t="shared" si="220"/>
        <v>-1.0073726563435486</v>
      </c>
      <c r="H2013" s="9">
        <f t="shared" si="221"/>
        <v>2.4449864987963803E-2</v>
      </c>
      <c r="I2013" s="9">
        <f t="shared" si="222"/>
        <v>-6.8073819298000215E-2</v>
      </c>
      <c r="J2013" s="9">
        <f t="shared" si="223"/>
        <v>15.540765481491363</v>
      </c>
    </row>
    <row r="2014" spans="2:10" x14ac:dyDescent="0.25">
      <c r="B2014" s="1">
        <v>41360</v>
      </c>
      <c r="C2014" s="13">
        <v>16.146000000000001</v>
      </c>
      <c r="D2014" s="6">
        <f t="shared" si="217"/>
        <v>-1.9612605501244773E-2</v>
      </c>
      <c r="E2014" s="14">
        <f t="shared" si="218"/>
        <v>5.2977757384446548E-4</v>
      </c>
      <c r="F2014" s="9">
        <f t="shared" si="219"/>
        <v>16.595636528921204</v>
      </c>
      <c r="G2014" s="9">
        <f t="shared" si="220"/>
        <v>-0.47918282579772592</v>
      </c>
      <c r="H2014" s="9">
        <f t="shared" si="221"/>
        <v>3.9429246896558563E-3</v>
      </c>
      <c r="I2014" s="9">
        <f t="shared" si="222"/>
        <v>-7.9270445410764816E-3</v>
      </c>
      <c r="J2014" s="9">
        <f t="shared" si="223"/>
        <v>16.112469583272059</v>
      </c>
    </row>
    <row r="2015" spans="2:10" x14ac:dyDescent="0.25">
      <c r="B2015" s="1">
        <v>41359</v>
      </c>
      <c r="C2015" s="13">
        <v>16.469000000000001</v>
      </c>
      <c r="D2015" s="6">
        <f t="shared" si="217"/>
        <v>-5.2548924861077762E-3</v>
      </c>
      <c r="E2015" s="14">
        <f t="shared" si="218"/>
        <v>5.3014207809899531E-4</v>
      </c>
      <c r="F2015" s="9">
        <f t="shared" si="219"/>
        <v>16.594948732882646</v>
      </c>
      <c r="G2015" s="9">
        <f t="shared" si="220"/>
        <v>-0.42674471597802105</v>
      </c>
      <c r="H2015" s="9">
        <f t="shared" si="221"/>
        <v>-3.4527387894382673E-3</v>
      </c>
      <c r="I2015" s="9">
        <f t="shared" si="222"/>
        <v>-1.4489646876556674E-4</v>
      </c>
      <c r="J2015" s="9">
        <f t="shared" si="223"/>
        <v>16.164606381646422</v>
      </c>
    </row>
    <row r="2016" spans="2:10" x14ac:dyDescent="0.25">
      <c r="B2016" s="1">
        <v>41358</v>
      </c>
      <c r="C2016" s="13">
        <v>16.556000000000001</v>
      </c>
      <c r="D2016" s="6">
        <f t="shared" si="217"/>
        <v>3.5764078317270798E-3</v>
      </c>
      <c r="E2016" s="14">
        <f t="shared" si="218"/>
        <v>5.3622201011364044E-4</v>
      </c>
      <c r="F2016" s="9">
        <f t="shared" si="219"/>
        <v>16.583545502101153</v>
      </c>
      <c r="G2016" s="9">
        <f t="shared" si="220"/>
        <v>-4.4296399348013542E-2</v>
      </c>
      <c r="H2016" s="9">
        <f t="shared" si="221"/>
        <v>-6.5301925854597464E-3</v>
      </c>
      <c r="I2016" s="9">
        <f t="shared" si="222"/>
        <v>-6.189184505907093E-2</v>
      </c>
      <c r="J2016" s="9">
        <f t="shared" si="223"/>
        <v>16.470827065108608</v>
      </c>
    </row>
    <row r="2017" spans="2:10" x14ac:dyDescent="0.25">
      <c r="B2017" s="1">
        <v>41355</v>
      </c>
      <c r="C2017" s="13">
        <v>16.497</v>
      </c>
      <c r="D2017" s="6">
        <f t="shared" si="217"/>
        <v>2.0285731956212416E-2</v>
      </c>
      <c r="E2017" s="14">
        <f t="shared" si="218"/>
        <v>5.3666265029347871E-4</v>
      </c>
      <c r="F2017" s="9">
        <f t="shared" si="219"/>
        <v>16.582724090031661</v>
      </c>
      <c r="G2017" s="9">
        <f t="shared" si="220"/>
        <v>-3.5497836433203149E-3</v>
      </c>
      <c r="H2017" s="9">
        <f t="shared" si="221"/>
        <v>3.3343278443718918E-4</v>
      </c>
      <c r="I2017" s="9">
        <f t="shared" si="222"/>
        <v>-2.1536147409731868E-4</v>
      </c>
      <c r="J2017" s="9">
        <f t="shared" si="223"/>
        <v>16.579292377698682</v>
      </c>
    </row>
    <row r="2018" spans="2:10" x14ac:dyDescent="0.25">
      <c r="B2018" s="1">
        <v>41354</v>
      </c>
      <c r="C2018" s="13">
        <v>16.169</v>
      </c>
      <c r="D2018" s="6">
        <f t="shared" si="217"/>
        <v>1.4245014245013454E-3</v>
      </c>
      <c r="E2018" s="14">
        <f t="shared" si="218"/>
        <v>5.3614472899585067E-4</v>
      </c>
      <c r="F2018" s="9">
        <f t="shared" si="219"/>
        <v>16.583689633982726</v>
      </c>
      <c r="G2018" s="9">
        <f t="shared" si="220"/>
        <v>-0.32562612840400595</v>
      </c>
      <c r="H2018" s="9">
        <f t="shared" si="221"/>
        <v>7.2839895105228304E-4</v>
      </c>
      <c r="I2018" s="9">
        <f t="shared" si="222"/>
        <v>-6.2859901043937059E-4</v>
      </c>
      <c r="J2018" s="9">
        <f t="shared" si="223"/>
        <v>16.258163305519332</v>
      </c>
    </row>
    <row r="2019" spans="2:10" x14ac:dyDescent="0.25">
      <c r="B2019" s="1">
        <v>41353</v>
      </c>
      <c r="C2019" s="13">
        <v>16.146000000000001</v>
      </c>
      <c r="D2019" s="6">
        <f t="shared" si="217"/>
        <v>-5.2981764415968025E-3</v>
      </c>
      <c r="E2019" s="14">
        <f t="shared" si="218"/>
        <v>5.3679437384752645E-4</v>
      </c>
      <c r="F2019" s="9">
        <f t="shared" si="219"/>
        <v>16.582478670696286</v>
      </c>
      <c r="G2019" s="9">
        <f t="shared" si="220"/>
        <v>-3.8440066630465351E-5</v>
      </c>
      <c r="H2019" s="9">
        <f t="shared" si="221"/>
        <v>-4.0533328891995181E-5</v>
      </c>
      <c r="I2019" s="9">
        <f t="shared" si="222"/>
        <v>-5.4451552262221273E-4</v>
      </c>
      <c r="J2019" s="9">
        <f t="shared" si="223"/>
        <v>16.581855181778138</v>
      </c>
    </row>
    <row r="2020" spans="2:10" x14ac:dyDescent="0.25">
      <c r="B2020" s="1">
        <v>41352</v>
      </c>
      <c r="C2020" s="13">
        <v>16.231999999999999</v>
      </c>
      <c r="D2020" s="6">
        <f t="shared" si="217"/>
        <v>-2.7033669206193434E-3</v>
      </c>
      <c r="E2020" s="14">
        <f t="shared" si="218"/>
        <v>5.3699278192683385E-4</v>
      </c>
      <c r="F2020" s="9">
        <f t="shared" si="219"/>
        <v>16.582109122447367</v>
      </c>
      <c r="G2020" s="9">
        <f t="shared" si="220"/>
        <v>-4.479094836246706E-2</v>
      </c>
      <c r="H2020" s="9">
        <f t="shared" si="221"/>
        <v>-9.5304784127576872E-4</v>
      </c>
      <c r="I2020" s="9">
        <f t="shared" si="222"/>
        <v>-2.1168831077116805E-5</v>
      </c>
      <c r="J2020" s="9">
        <f t="shared" si="223"/>
        <v>16.536343957412548</v>
      </c>
    </row>
    <row r="2021" spans="2:10" x14ac:dyDescent="0.25">
      <c r="B2021" s="1">
        <v>41351</v>
      </c>
      <c r="C2021" s="13">
        <v>16.276</v>
      </c>
      <c r="D2021" s="6">
        <f t="shared" si="217"/>
        <v>2.7201009782265695E-2</v>
      </c>
      <c r="E2021" s="14">
        <f t="shared" si="218"/>
        <v>5.3700972626819431E-4</v>
      </c>
      <c r="F2021" s="9">
        <f t="shared" si="219"/>
        <v>16.582077568812746</v>
      </c>
      <c r="G2021" s="9">
        <f t="shared" si="220"/>
        <v>-1.7514206856292076E-2</v>
      </c>
      <c r="H2021" s="9">
        <f t="shared" si="221"/>
        <v>-4.8773882418264687E-4</v>
      </c>
      <c r="I2021" s="9">
        <f t="shared" si="222"/>
        <v>-8.5657903138539906E-6</v>
      </c>
      <c r="J2021" s="9">
        <f t="shared" si="223"/>
        <v>16.564067057341958</v>
      </c>
    </row>
    <row r="2022" spans="2:10" x14ac:dyDescent="0.25">
      <c r="B2022" s="1">
        <v>41348</v>
      </c>
      <c r="C2022" s="13">
        <v>15.845000000000001</v>
      </c>
      <c r="D2022" s="6">
        <f t="shared" si="217"/>
        <v>2.5831930596918351E-2</v>
      </c>
      <c r="E2022" s="14">
        <f t="shared" si="218"/>
        <v>5.293165987054621E-4</v>
      </c>
      <c r="F2022" s="9">
        <f t="shared" si="219"/>
        <v>16.596507037285921</v>
      </c>
      <c r="G2022" s="9">
        <f t="shared" si="220"/>
        <v>-0.61961734442328142</v>
      </c>
      <c r="H2022" s="9">
        <f t="shared" si="221"/>
        <v>-2.462216062779559E-2</v>
      </c>
      <c r="I2022" s="9">
        <f t="shared" si="222"/>
        <v>-0.10531172135011069</v>
      </c>
      <c r="J2022" s="9">
        <f t="shared" si="223"/>
        <v>15.846955810884733</v>
      </c>
    </row>
    <row r="2023" spans="2:10" x14ac:dyDescent="0.25">
      <c r="B2023" s="1">
        <v>41347</v>
      </c>
      <c r="C2023" s="13">
        <v>15.446</v>
      </c>
      <c r="D2023" s="6">
        <f t="shared" si="217"/>
        <v>9.6744672506210438E-3</v>
      </c>
      <c r="E2023" s="14">
        <f t="shared" si="218"/>
        <v>5.224613566556011E-4</v>
      </c>
      <c r="F2023" s="9">
        <f t="shared" si="219"/>
        <v>16.609542752838838</v>
      </c>
      <c r="G2023" s="9">
        <f t="shared" si="220"/>
        <v>-0.56233389915551035</v>
      </c>
      <c r="H2023" s="9">
        <f t="shared" si="221"/>
        <v>-2.0739524291432641E-2</v>
      </c>
      <c r="I2023" s="9">
        <f t="shared" si="222"/>
        <v>-8.4640151145547904E-2</v>
      </c>
      <c r="J2023" s="9">
        <f t="shared" si="223"/>
        <v>15.941829178246346</v>
      </c>
    </row>
    <row r="2024" spans="2:10" x14ac:dyDescent="0.25">
      <c r="B2024" s="1">
        <v>41346</v>
      </c>
      <c r="C2024" s="13">
        <v>15.298</v>
      </c>
      <c r="D2024" s="6">
        <f t="shared" si="217"/>
        <v>-1.960656166263286E-4</v>
      </c>
      <c r="E2024" s="14">
        <f t="shared" si="218"/>
        <v>5.2309652363480481E-4</v>
      </c>
      <c r="F2024" s="9">
        <f t="shared" si="219"/>
        <v>16.608327770733471</v>
      </c>
      <c r="G2024" s="9">
        <f t="shared" si="220"/>
        <v>-6.2080073962461527E-2</v>
      </c>
      <c r="H2024" s="9">
        <f t="shared" si="221"/>
        <v>1.6336280000566401E-3</v>
      </c>
      <c r="I2024" s="9">
        <f t="shared" si="222"/>
        <v>-5.7515529554785826E-4</v>
      </c>
      <c r="J2024" s="9">
        <f t="shared" si="223"/>
        <v>16.547306169475519</v>
      </c>
    </row>
    <row r="2025" spans="2:10" x14ac:dyDescent="0.25">
      <c r="B2025" s="1">
        <v>41345</v>
      </c>
      <c r="C2025" s="13">
        <v>15.301</v>
      </c>
      <c r="D2025" s="6">
        <f t="shared" si="217"/>
        <v>-2.1550070341475824E-2</v>
      </c>
      <c r="E2025" s="14">
        <f t="shared" si="218"/>
        <v>5.2508069801637737E-4</v>
      </c>
      <c r="F2025" s="9">
        <f t="shared" si="219"/>
        <v>16.604541814102102</v>
      </c>
      <c r="G2025" s="9">
        <f t="shared" si="220"/>
        <v>-3.1753967053024684E-3</v>
      </c>
      <c r="H2025" s="9">
        <f t="shared" si="221"/>
        <v>-7.1516082484852721E-4</v>
      </c>
      <c r="I2025" s="9">
        <f t="shared" si="222"/>
        <v>-6.461475982989651E-3</v>
      </c>
      <c r="J2025" s="9">
        <f t="shared" si="223"/>
        <v>16.594189780588962</v>
      </c>
    </row>
    <row r="2026" spans="2:10" x14ac:dyDescent="0.25">
      <c r="B2026" s="1">
        <v>41344</v>
      </c>
      <c r="C2026" s="13">
        <v>15.638</v>
      </c>
      <c r="D2026" s="6">
        <f t="shared" si="217"/>
        <v>1.420325572345793E-2</v>
      </c>
      <c r="E2026" s="14">
        <f t="shared" si="218"/>
        <v>5.2678578149184746E-4</v>
      </c>
      <c r="F2026" s="9">
        <f t="shared" si="219"/>
        <v>16.601299796218363</v>
      </c>
      <c r="G2026" s="9">
        <f t="shared" si="220"/>
        <v>-0.51138663934495743</v>
      </c>
      <c r="H2026" s="9">
        <f t="shared" si="221"/>
        <v>-8.1530157435956672E-3</v>
      </c>
      <c r="I2026" s="9">
        <f t="shared" si="222"/>
        <v>-4.6850596123616407E-3</v>
      </c>
      <c r="J2026" s="9">
        <f t="shared" si="223"/>
        <v>16.077075081517446</v>
      </c>
    </row>
    <row r="2027" spans="2:10" x14ac:dyDescent="0.25">
      <c r="B2027" s="1">
        <v>41341</v>
      </c>
      <c r="C2027" s="13">
        <v>15.419</v>
      </c>
      <c r="D2027" s="6">
        <f t="shared" si="217"/>
        <v>2.666146442970474E-3</v>
      </c>
      <c r="E2027" s="14">
        <f t="shared" si="218"/>
        <v>5.2669907044769146E-4</v>
      </c>
      <c r="F2027" s="9">
        <f t="shared" si="219"/>
        <v>16.601464413762113</v>
      </c>
      <c r="G2027" s="9">
        <f t="shared" si="220"/>
        <v>-0.15058071280998594</v>
      </c>
      <c r="H2027" s="9">
        <f t="shared" si="221"/>
        <v>1.2610593473736658E-3</v>
      </c>
      <c r="I2027" s="9">
        <f t="shared" si="222"/>
        <v>-4.3321791772329186E-5</v>
      </c>
      <c r="J2027" s="9">
        <f t="shared" si="223"/>
        <v>16.452101438507729</v>
      </c>
    </row>
    <row r="2028" spans="2:10" x14ac:dyDescent="0.25">
      <c r="B2028" s="1">
        <v>41340</v>
      </c>
      <c r="C2028" s="13">
        <v>15.378</v>
      </c>
      <c r="D2028" s="6">
        <f t="shared" si="217"/>
        <v>1.1577424023154759E-2</v>
      </c>
      <c r="E2028" s="14">
        <f t="shared" si="218"/>
        <v>5.2640572339874648E-4</v>
      </c>
      <c r="F2028" s="9">
        <f t="shared" si="219"/>
        <v>16.602021522718879</v>
      </c>
      <c r="G2028" s="9">
        <f t="shared" si="220"/>
        <v>-1.0280034569041601E-3</v>
      </c>
      <c r="H2028" s="9">
        <f t="shared" si="221"/>
        <v>7.4072699284366366E-5</v>
      </c>
      <c r="I2028" s="9">
        <f t="shared" si="222"/>
        <v>-2.3164351799979683E-4</v>
      </c>
      <c r="J2028" s="9">
        <f t="shared" si="223"/>
        <v>16.600835948443258</v>
      </c>
    </row>
    <row r="2029" spans="2:10" x14ac:dyDescent="0.25">
      <c r="B2029" s="1">
        <v>41339</v>
      </c>
      <c r="C2029" s="13">
        <v>15.202</v>
      </c>
      <c r="D2029" s="6">
        <f t="shared" si="217"/>
        <v>-1.2728925834523896E-2</v>
      </c>
      <c r="E2029" s="14">
        <f t="shared" si="218"/>
        <v>5.2876607068783011E-4</v>
      </c>
      <c r="F2029" s="9">
        <f t="shared" si="219"/>
        <v>16.597547651754404</v>
      </c>
      <c r="G2029" s="9">
        <f t="shared" si="220"/>
        <v>-9.3894989922129732E-2</v>
      </c>
      <c r="H2029" s="9">
        <f t="shared" si="221"/>
        <v>4.3987297293579548E-3</v>
      </c>
      <c r="I2029" s="9">
        <f t="shared" si="222"/>
        <v>-9.1338680482122136E-3</v>
      </c>
      <c r="J2029" s="9">
        <f t="shared" si="223"/>
        <v>16.49891752351342</v>
      </c>
    </row>
    <row r="2030" spans="2:10" x14ac:dyDescent="0.25">
      <c r="B2030" s="1">
        <v>41338</v>
      </c>
      <c r="C2030" s="13">
        <v>15.398</v>
      </c>
      <c r="D2030" s="6">
        <f t="shared" si="217"/>
        <v>2.6396480469270678E-2</v>
      </c>
      <c r="E2030" s="14">
        <f t="shared" si="218"/>
        <v>5.2883632348828041E-4</v>
      </c>
      <c r="F2030" s="9">
        <f t="shared" si="219"/>
        <v>16.597414798801459</v>
      </c>
      <c r="G2030" s="9">
        <f t="shared" si="220"/>
        <v>-0.19544092560621043</v>
      </c>
      <c r="H2030" s="9">
        <f t="shared" si="221"/>
        <v>-1.7488446461861242E-3</v>
      </c>
      <c r="I2030" s="9">
        <f t="shared" si="222"/>
        <v>-2.4335707633660652E-8</v>
      </c>
      <c r="J2030" s="9">
        <f t="shared" si="223"/>
        <v>16.400225004213354</v>
      </c>
    </row>
    <row r="2031" spans="2:10" x14ac:dyDescent="0.25">
      <c r="B2031" s="1">
        <v>41337</v>
      </c>
      <c r="C2031" s="13">
        <v>15.002000000000001</v>
      </c>
      <c r="D2031" s="6">
        <f t="shared" si="217"/>
        <v>-2.419669572004679E-2</v>
      </c>
      <c r="E2031" s="14">
        <f t="shared" si="218"/>
        <v>5.2268978494523263E-4</v>
      </c>
      <c r="F2031" s="9">
        <f t="shared" si="219"/>
        <v>16.609105632724479</v>
      </c>
      <c r="G2031" s="9">
        <f t="shared" si="220"/>
        <v>-0.58861431909582584</v>
      </c>
      <c r="H2031" s="9">
        <f t="shared" si="221"/>
        <v>-1.8730699052658867E-2</v>
      </c>
      <c r="I2031" s="9">
        <f t="shared" si="222"/>
        <v>-6.8166794603947423E-2</v>
      </c>
      <c r="J2031" s="9">
        <f t="shared" si="223"/>
        <v>15.933593819972049</v>
      </c>
    </row>
    <row r="2032" spans="2:10" x14ac:dyDescent="0.25">
      <c r="B2032" s="1">
        <v>41334</v>
      </c>
      <c r="C2032" s="13">
        <v>15.374000000000001</v>
      </c>
      <c r="D2032" s="6">
        <f t="shared" si="217"/>
        <v>-2.47399137274803E-2</v>
      </c>
      <c r="E2032" s="14">
        <f t="shared" si="218"/>
        <v>5.1922828013173221E-4</v>
      </c>
      <c r="F2032" s="9">
        <f t="shared" si="219"/>
        <v>16.615750142815681</v>
      </c>
      <c r="G2032" s="9">
        <f t="shared" si="220"/>
        <v>-0.64408540378362211</v>
      </c>
      <c r="H2032" s="9">
        <f t="shared" si="221"/>
        <v>9.7842383423921275E-3</v>
      </c>
      <c r="I2032" s="9">
        <f t="shared" si="222"/>
        <v>-2.2039959024356858E-2</v>
      </c>
      <c r="J2032" s="9">
        <f t="shared" si="223"/>
        <v>15.959409018350096</v>
      </c>
    </row>
    <row r="2033" spans="2:10" x14ac:dyDescent="0.25">
      <c r="B2033" s="1">
        <v>41333</v>
      </c>
      <c r="C2033" s="13">
        <v>15.763999999999999</v>
      </c>
      <c r="D2033" s="6">
        <f t="shared" si="217"/>
        <v>-7.1797455598942017E-3</v>
      </c>
      <c r="E2033" s="14">
        <f t="shared" si="218"/>
        <v>5.1805959300884165E-4</v>
      </c>
      <c r="F2033" s="9">
        <f t="shared" si="219"/>
        <v>16.618003495327866</v>
      </c>
      <c r="G2033" s="9">
        <f t="shared" si="220"/>
        <v>-0.67298229518274411</v>
      </c>
      <c r="H2033" s="9">
        <f t="shared" si="221"/>
        <v>1.3838114724961127E-3</v>
      </c>
      <c r="I2033" s="9">
        <f t="shared" si="222"/>
        <v>-2.6752513799134601E-3</v>
      </c>
      <c r="J2033" s="9">
        <f t="shared" si="223"/>
        <v>15.943729760237705</v>
      </c>
    </row>
    <row r="2034" spans="2:10" x14ac:dyDescent="0.25">
      <c r="B2034" s="1">
        <v>41332</v>
      </c>
      <c r="C2034" s="13">
        <v>15.878</v>
      </c>
      <c r="D2034" s="6">
        <f t="shared" si="217"/>
        <v>-9.7910820081072991E-3</v>
      </c>
      <c r="E2034" s="14">
        <f t="shared" si="218"/>
        <v>5.18140945513836E-4</v>
      </c>
      <c r="F2034" s="9">
        <f t="shared" si="219"/>
        <v>16.617846474554113</v>
      </c>
      <c r="G2034" s="9">
        <f t="shared" si="220"/>
        <v>-7.5070733349724167E-2</v>
      </c>
      <c r="H2034" s="9">
        <f t="shared" si="221"/>
        <v>-1.1089539775976098E-3</v>
      </c>
      <c r="I2034" s="9">
        <f t="shared" si="222"/>
        <v>-1.1199580052607467E-6</v>
      </c>
      <c r="J2034" s="9">
        <f t="shared" si="223"/>
        <v>16.541665667268791</v>
      </c>
    </row>
    <row r="2035" spans="2:10" x14ac:dyDescent="0.25">
      <c r="B2035" s="1">
        <v>41331</v>
      </c>
      <c r="C2035" s="13">
        <v>16.035</v>
      </c>
      <c r="D2035" s="6">
        <f t="shared" si="217"/>
        <v>1.3974958897179812E-2</v>
      </c>
      <c r="E2035" s="14">
        <f t="shared" si="218"/>
        <v>5.1880077780092581E-4</v>
      </c>
      <c r="F2035" s="9">
        <f t="shared" si="219"/>
        <v>16.616573823716923</v>
      </c>
      <c r="G2035" s="9">
        <f t="shared" si="220"/>
        <v>-0.12602755281646261</v>
      </c>
      <c r="H2035" s="9">
        <f t="shared" si="221"/>
        <v>-2.3773652911248931E-3</v>
      </c>
      <c r="I2035" s="9">
        <f t="shared" si="222"/>
        <v>-6.4628945752818155E-4</v>
      </c>
      <c r="J2035" s="9">
        <f t="shared" si="223"/>
        <v>16.487522616151807</v>
      </c>
    </row>
    <row r="2036" spans="2:10" x14ac:dyDescent="0.25">
      <c r="B2036" s="1">
        <v>41330</v>
      </c>
      <c r="C2036" s="13">
        <v>15.814</v>
      </c>
      <c r="D2036" s="6">
        <f t="shared" si="217"/>
        <v>-1.776397515527961E-2</v>
      </c>
      <c r="E2036" s="14">
        <f t="shared" si="218"/>
        <v>5.1636840447421661E-4</v>
      </c>
      <c r="F2036" s="9">
        <f t="shared" si="219"/>
        <v>16.621273302497698</v>
      </c>
      <c r="G2036" s="9">
        <f t="shared" si="220"/>
        <v>-0.14806739144376749</v>
      </c>
      <c r="H2036" s="9">
        <f t="shared" si="221"/>
        <v>-2.8845315043345829E-3</v>
      </c>
      <c r="I2036" s="9">
        <f t="shared" si="222"/>
        <v>-1.105433043994623E-2</v>
      </c>
      <c r="J2036" s="9">
        <f t="shared" si="223"/>
        <v>16.459267049109648</v>
      </c>
    </row>
    <row r="2037" spans="2:10" x14ac:dyDescent="0.25">
      <c r="B2037" s="1">
        <v>41327</v>
      </c>
      <c r="C2037" s="13">
        <v>16.100000000000001</v>
      </c>
      <c r="D2037" s="6">
        <f t="shared" si="217"/>
        <v>1.0608248069801096E-2</v>
      </c>
      <c r="E2037" s="14">
        <f t="shared" si="218"/>
        <v>5.1461675821200161E-4</v>
      </c>
      <c r="F2037" s="9">
        <f t="shared" si="219"/>
        <v>16.62467131056038</v>
      </c>
      <c r="G2037" s="9">
        <f t="shared" si="220"/>
        <v>-0.3664243038775542</v>
      </c>
      <c r="H2037" s="9">
        <f t="shared" si="221"/>
        <v>2.648769619623223E-3</v>
      </c>
      <c r="I2037" s="9">
        <f t="shared" si="222"/>
        <v>-5.8298902593378697E-3</v>
      </c>
      <c r="J2037" s="9">
        <f t="shared" si="223"/>
        <v>16.255065886043109</v>
      </c>
    </row>
    <row r="2038" spans="2:10" x14ac:dyDescent="0.25">
      <c r="B2038" s="1">
        <v>41326</v>
      </c>
      <c r="C2038" s="13">
        <v>15.931000000000001</v>
      </c>
      <c r="D2038" s="6">
        <f t="shared" si="217"/>
        <v>-6.1759201497192384E-3</v>
      </c>
      <c r="E2038" s="14">
        <f t="shared" si="218"/>
        <v>5.1701983360065591E-4</v>
      </c>
      <c r="F2038" s="9">
        <f t="shared" si="219"/>
        <v>16.620012538752331</v>
      </c>
      <c r="G2038" s="9">
        <f t="shared" si="220"/>
        <v>-7.8232231571889521E-2</v>
      </c>
      <c r="H2038" s="9">
        <f t="shared" si="221"/>
        <v>4.1153584028795452E-3</v>
      </c>
      <c r="I2038" s="9">
        <f t="shared" si="222"/>
        <v>-9.8562141360384343E-3</v>
      </c>
      <c r="J2038" s="9">
        <f t="shared" si="223"/>
        <v>16.536039451447284</v>
      </c>
    </row>
    <row r="2039" spans="2:10" x14ac:dyDescent="0.25">
      <c r="B2039" s="1">
        <v>41325</v>
      </c>
      <c r="C2039" s="13">
        <v>16.03</v>
      </c>
      <c r="D2039" s="6">
        <f t="shared" si="217"/>
        <v>-2.422692963233497E-2</v>
      </c>
      <c r="E2039" s="14">
        <f t="shared" si="218"/>
        <v>5.1706233207096143E-4</v>
      </c>
      <c r="F2039" s="9">
        <f t="shared" si="219"/>
        <v>16.619930343213639</v>
      </c>
      <c r="G2039" s="9">
        <f t="shared" si="220"/>
        <v>-5.9055931442050055E-2</v>
      </c>
      <c r="H2039" s="9">
        <f t="shared" si="221"/>
        <v>-9.4124846067508196E-4</v>
      </c>
      <c r="I2039" s="9">
        <f t="shared" si="222"/>
        <v>-2.575559928762549E-7</v>
      </c>
      <c r="J2039" s="9">
        <f t="shared" si="223"/>
        <v>16.559932905754923</v>
      </c>
    </row>
    <row r="2040" spans="2:10" x14ac:dyDescent="0.25">
      <c r="B2040" s="1">
        <v>41324</v>
      </c>
      <c r="C2040" s="13">
        <v>16.428000000000001</v>
      </c>
      <c r="D2040" s="6">
        <f t="shared" si="217"/>
        <v>-3.6509675063889357E-4</v>
      </c>
      <c r="E2040" s="14">
        <f t="shared" si="218"/>
        <v>5.1361490914257743E-4</v>
      </c>
      <c r="F2040" s="9">
        <f t="shared" si="219"/>
        <v>16.626619994730039</v>
      </c>
      <c r="G2040" s="9">
        <f t="shared" si="220"/>
        <v>-0.65265022729108468</v>
      </c>
      <c r="H2040" s="9">
        <f t="shared" si="221"/>
        <v>9.8503376006380278E-3</v>
      </c>
      <c r="I2040" s="9">
        <f t="shared" si="222"/>
        <v>-2.1985939668474327E-2</v>
      </c>
      <c r="J2040" s="9">
        <f t="shared" si="223"/>
        <v>15.961834165371117</v>
      </c>
    </row>
    <row r="2041" spans="2:10" x14ac:dyDescent="0.25">
      <c r="B2041" s="1">
        <v>41320</v>
      </c>
      <c r="C2041" s="13">
        <v>16.434000000000001</v>
      </c>
      <c r="D2041" s="6">
        <f t="shared" si="217"/>
        <v>-1.3802208353336565E-2</v>
      </c>
      <c r="E2041" s="14">
        <f t="shared" si="218"/>
        <v>5.1769370295895554E-4</v>
      </c>
      <c r="F2041" s="9">
        <f t="shared" si="219"/>
        <v>16.61871001504937</v>
      </c>
      <c r="G2041" s="9">
        <f t="shared" si="220"/>
        <v>-3.8455044339361978E-3</v>
      </c>
      <c r="H2041" s="9">
        <f t="shared" si="221"/>
        <v>-1.3886989494648102E-3</v>
      </c>
      <c r="I2041" s="9">
        <f t="shared" si="222"/>
        <v>-2.8884447418955621E-2</v>
      </c>
      <c r="J2041" s="9">
        <f t="shared" si="223"/>
        <v>16.584591364247011</v>
      </c>
    </row>
    <row r="2042" spans="2:10" x14ac:dyDescent="0.25">
      <c r="B2042" s="1">
        <v>41319</v>
      </c>
      <c r="C2042" s="13">
        <v>16.664000000000001</v>
      </c>
      <c r="D2042" s="6">
        <f t="shared" si="217"/>
        <v>-8.9933449247536768E-4</v>
      </c>
      <c r="E2042" s="14">
        <f t="shared" si="218"/>
        <v>5.1766367208948933E-4</v>
      </c>
      <c r="F2042" s="9">
        <f t="shared" si="219"/>
        <v>16.618768025684535</v>
      </c>
      <c r="G2042" s="9">
        <f t="shared" si="220"/>
        <v>-0.23062825169005663</v>
      </c>
      <c r="H2042" s="9">
        <f t="shared" si="221"/>
        <v>-1.6991366154881886E-3</v>
      </c>
      <c r="I2042" s="9">
        <f t="shared" si="222"/>
        <v>-1.3055119618598311E-5</v>
      </c>
      <c r="J2042" s="9">
        <f t="shared" si="223"/>
        <v>16.386427582259369</v>
      </c>
    </row>
    <row r="2043" spans="2:10" x14ac:dyDescent="0.25">
      <c r="B2043" s="1">
        <v>41318</v>
      </c>
      <c r="C2043" s="13">
        <v>16.678999999999998</v>
      </c>
      <c r="D2043" s="6">
        <f t="shared" si="217"/>
        <v>-1.9149063491114005E-3</v>
      </c>
      <c r="E2043" s="14">
        <f t="shared" si="218"/>
        <v>5.2456187600564551E-4</v>
      </c>
      <c r="F2043" s="9">
        <f t="shared" si="219"/>
        <v>16.60553038309849</v>
      </c>
      <c r="G2043" s="9">
        <f t="shared" si="220"/>
        <v>-6.1032079540304686E-3</v>
      </c>
      <c r="H2043" s="9">
        <f t="shared" si="221"/>
        <v>-2.742164336999526E-3</v>
      </c>
      <c r="I2043" s="9">
        <f t="shared" si="222"/>
        <v>-8.2185078175396303E-2</v>
      </c>
      <c r="J2043" s="9">
        <f t="shared" si="223"/>
        <v>16.514499932632063</v>
      </c>
    </row>
    <row r="2044" spans="2:10" x14ac:dyDescent="0.25">
      <c r="B2044" s="1">
        <v>41317</v>
      </c>
      <c r="C2044" s="13">
        <v>16.710999999999999</v>
      </c>
      <c r="D2044" s="6">
        <f t="shared" si="217"/>
        <v>-2.502917152858819E-2</v>
      </c>
      <c r="E2044" s="14">
        <f t="shared" si="218"/>
        <v>5.2819340653028908E-4</v>
      </c>
      <c r="F2044" s="9">
        <f t="shared" si="219"/>
        <v>16.598631258507396</v>
      </c>
      <c r="G2044" s="9">
        <f t="shared" si="220"/>
        <v>-1.1912968098071661E-2</v>
      </c>
      <c r="H2044" s="9">
        <f t="shared" si="221"/>
        <v>-2.1980193528539516E-3</v>
      </c>
      <c r="I2044" s="9">
        <f t="shared" si="222"/>
        <v>-2.2148877413867993E-2</v>
      </c>
      <c r="J2044" s="9">
        <f t="shared" si="223"/>
        <v>16.5623713936426</v>
      </c>
    </row>
    <row r="2045" spans="2:10" x14ac:dyDescent="0.25">
      <c r="B2045" s="1">
        <v>41316</v>
      </c>
      <c r="C2045" s="13">
        <v>17.14</v>
      </c>
      <c r="D2045" s="6">
        <f t="shared" si="217"/>
        <v>1.037491157745829E-2</v>
      </c>
      <c r="E2045" s="14">
        <f t="shared" si="218"/>
        <v>5.2480163139506663E-4</v>
      </c>
      <c r="F2045" s="9">
        <f t="shared" si="219"/>
        <v>16.605073429160409</v>
      </c>
      <c r="G2045" s="9">
        <f t="shared" si="220"/>
        <v>-0.6789925516616212</v>
      </c>
      <c r="H2045" s="9">
        <f t="shared" si="221"/>
        <v>9.7304992151467529E-3</v>
      </c>
      <c r="I2045" s="9">
        <f t="shared" si="222"/>
        <v>-2.1062572195073188E-2</v>
      </c>
      <c r="J2045" s="9">
        <f t="shared" si="223"/>
        <v>15.914748804518863</v>
      </c>
    </row>
    <row r="2046" spans="2:10" x14ac:dyDescent="0.25">
      <c r="B2046" s="1">
        <v>41313</v>
      </c>
      <c r="C2046" s="13">
        <v>16.963999999999999</v>
      </c>
      <c r="D2046" s="6">
        <f t="shared" si="217"/>
        <v>1.4471953115655856E-2</v>
      </c>
      <c r="E2046" s="14">
        <f t="shared" si="218"/>
        <v>5.2352138109314531E-4</v>
      </c>
      <c r="F2046" s="9">
        <f t="shared" si="219"/>
        <v>16.607515903327499</v>
      </c>
      <c r="G2046" s="9">
        <f t="shared" si="220"/>
        <v>-7.3298145021052127E-2</v>
      </c>
      <c r="H2046" s="9">
        <f t="shared" si="221"/>
        <v>-5.9213927146293025E-4</v>
      </c>
      <c r="I2046" s="9">
        <f t="shared" si="222"/>
        <v>-3.1943285832116276E-3</v>
      </c>
      <c r="J2046" s="9">
        <f t="shared" si="223"/>
        <v>16.530431290451773</v>
      </c>
    </row>
    <row r="2047" spans="2:10" x14ac:dyDescent="0.25">
      <c r="B2047" s="1">
        <v>41312</v>
      </c>
      <c r="C2047" s="13">
        <v>16.722000000000001</v>
      </c>
      <c r="D2047" s="6">
        <f t="shared" si="217"/>
        <v>2.3754132484388402E-2</v>
      </c>
      <c r="E2047" s="14">
        <f t="shared" si="218"/>
        <v>5.2141479719440401E-4</v>
      </c>
      <c r="F2047" s="9">
        <f t="shared" si="219"/>
        <v>16.611547894556054</v>
      </c>
      <c r="G2047" s="9">
        <f t="shared" si="220"/>
        <v>-0.15867604976837013</v>
      </c>
      <c r="H2047" s="9">
        <f t="shared" si="221"/>
        <v>-2.378164541961267E-3</v>
      </c>
      <c r="I2047" s="9">
        <f t="shared" si="222"/>
        <v>-8.3298187883738325E-3</v>
      </c>
      <c r="J2047" s="9">
        <f t="shared" si="223"/>
        <v>16.442163861457345</v>
      </c>
    </row>
    <row r="2048" spans="2:10" x14ac:dyDescent="0.25">
      <c r="B2048" s="1">
        <v>41311</v>
      </c>
      <c r="C2048" s="13">
        <v>16.334</v>
      </c>
      <c r="D2048" s="6">
        <f t="shared" si="217"/>
        <v>-1.1007827788650504E-3</v>
      </c>
      <c r="E2048" s="14">
        <f t="shared" si="218"/>
        <v>5.1780633322272957E-4</v>
      </c>
      <c r="F2048" s="9">
        <f t="shared" si="219"/>
        <v>16.618492477125116</v>
      </c>
      <c r="G2048" s="9">
        <f t="shared" si="220"/>
        <v>-0.47415735786725571</v>
      </c>
      <c r="H2048" s="9">
        <f t="shared" si="221"/>
        <v>-8.8707847153825879E-3</v>
      </c>
      <c r="I2048" s="9">
        <f t="shared" si="222"/>
        <v>-2.3953837369673176E-2</v>
      </c>
      <c r="J2048" s="9">
        <f t="shared" si="223"/>
        <v>16.111510497172802</v>
      </c>
    </row>
    <row r="2049" spans="2:10" x14ac:dyDescent="0.25">
      <c r="B2049" s="1">
        <v>41310</v>
      </c>
      <c r="C2049" s="13">
        <v>16.352</v>
      </c>
      <c r="D2049" s="6">
        <f t="shared" si="217"/>
        <v>3.5133253149332022E-2</v>
      </c>
      <c r="E2049" s="14">
        <f t="shared" si="218"/>
        <v>5.179179901168248E-4</v>
      </c>
      <c r="F2049" s="9">
        <f t="shared" si="219"/>
        <v>16.618276865901141</v>
      </c>
      <c r="G2049" s="9">
        <f t="shared" si="220"/>
        <v>-7.2064753091037699E-3</v>
      </c>
      <c r="H2049" s="9">
        <f t="shared" si="221"/>
        <v>-3.5546658208504165E-4</v>
      </c>
      <c r="I2049" s="9">
        <f t="shared" si="222"/>
        <v>-5.5411349224434332E-6</v>
      </c>
      <c r="J2049" s="9">
        <f t="shared" si="223"/>
        <v>16.610709382875029</v>
      </c>
    </row>
    <row r="2050" spans="2:10" x14ac:dyDescent="0.25">
      <c r="B2050" s="1">
        <v>41309</v>
      </c>
      <c r="C2050" s="13">
        <v>15.797000000000001</v>
      </c>
      <c r="D2050" s="6">
        <f t="shared" si="217"/>
        <v>-2.4936732300475328E-2</v>
      </c>
      <c r="E2050" s="14">
        <f t="shared" si="218"/>
        <v>5.0630469892736375E-4</v>
      </c>
      <c r="F2050" s="9">
        <f t="shared" si="219"/>
        <v>16.640955115540869</v>
      </c>
      <c r="G2050" s="9">
        <f t="shared" si="220"/>
        <v>-1.1119467829673741</v>
      </c>
      <c r="H2050" s="9">
        <f t="shared" si="221"/>
        <v>-5.2908106650968595E-2</v>
      </c>
      <c r="I2050" s="9">
        <f t="shared" si="222"/>
        <v>-0.24764173893371716</v>
      </c>
      <c r="J2050" s="9">
        <f t="shared" si="223"/>
        <v>15.228458486988808</v>
      </c>
    </row>
    <row r="2051" spans="2:10" x14ac:dyDescent="0.25">
      <c r="B2051" s="1">
        <v>41306</v>
      </c>
      <c r="C2051" s="13">
        <v>16.201000000000001</v>
      </c>
      <c r="D2051" s="6">
        <f t="shared" si="217"/>
        <v>-4.1185148758298151E-3</v>
      </c>
      <c r="E2051" s="14">
        <f t="shared" si="218"/>
        <v>5.0208883819704317E-4</v>
      </c>
      <c r="F2051" s="9">
        <f t="shared" si="219"/>
        <v>16.649316702834206</v>
      </c>
      <c r="G2051" s="9">
        <f t="shared" si="220"/>
        <v>-0.70479416605981893</v>
      </c>
      <c r="H2051" s="9">
        <f t="shared" si="221"/>
        <v>1.3359300131881729E-2</v>
      </c>
      <c r="I2051" s="9">
        <f t="shared" si="222"/>
        <v>-3.3165002799834781E-2</v>
      </c>
      <c r="J2051" s="9">
        <f t="shared" si="223"/>
        <v>15.924716834106432</v>
      </c>
    </row>
    <row r="2052" spans="2:10" x14ac:dyDescent="0.25">
      <c r="B2052" s="1">
        <v>41305</v>
      </c>
      <c r="C2052" s="13">
        <v>16.268000000000001</v>
      </c>
      <c r="D2052" s="6">
        <f t="shared" si="217"/>
        <v>-2.8807845540913535E-3</v>
      </c>
      <c r="E2052" s="14">
        <f t="shared" si="218"/>
        <v>5.0206284703597983E-4</v>
      </c>
      <c r="F2052" s="9">
        <f t="shared" si="219"/>
        <v>16.649368470234393</v>
      </c>
      <c r="G2052" s="9">
        <f t="shared" si="220"/>
        <v>-3.297659605603858E-2</v>
      </c>
      <c r="H2052" s="9">
        <f t="shared" si="221"/>
        <v>-6.5582727218482925E-4</v>
      </c>
      <c r="I2052" s="9">
        <f t="shared" si="222"/>
        <v>-5.7044220229461312E-6</v>
      </c>
      <c r="J2052" s="9">
        <f t="shared" si="223"/>
        <v>16.615730342484149</v>
      </c>
    </row>
    <row r="2053" spans="2:10" x14ac:dyDescent="0.25">
      <c r="B2053" s="1">
        <v>41304</v>
      </c>
      <c r="C2053" s="13">
        <v>16.315000000000001</v>
      </c>
      <c r="D2053" s="6">
        <f t="shared" si="217"/>
        <v>-3.1771247021444848E-3</v>
      </c>
      <c r="E2053" s="14">
        <f t="shared" si="218"/>
        <v>5.0355793189378975E-4</v>
      </c>
      <c r="F2053" s="9">
        <f t="shared" si="219"/>
        <v>16.646395011470027</v>
      </c>
      <c r="G2053" s="9">
        <f t="shared" si="220"/>
        <v>-2.0239386357627068E-2</v>
      </c>
      <c r="H2053" s="9">
        <f t="shared" si="221"/>
        <v>-1.5199409461963277E-3</v>
      </c>
      <c r="I2053" s="9">
        <f t="shared" si="222"/>
        <v>-3.9262482566290047E-3</v>
      </c>
      <c r="J2053" s="9">
        <f t="shared" si="223"/>
        <v>16.620709435909575</v>
      </c>
    </row>
    <row r="2054" spans="2:10" x14ac:dyDescent="0.25">
      <c r="B2054" s="1">
        <v>41303</v>
      </c>
      <c r="C2054" s="13">
        <v>16.367000000000001</v>
      </c>
      <c r="D2054" s="6">
        <f t="shared" si="217"/>
        <v>1.8798630563336527E-2</v>
      </c>
      <c r="E2054" s="14">
        <f t="shared" si="218"/>
        <v>5.0545739542945747E-4</v>
      </c>
      <c r="F2054" s="9">
        <f t="shared" si="219"/>
        <v>16.642630022518926</v>
      </c>
      <c r="G2054" s="9">
        <f t="shared" si="220"/>
        <v>-2.2901309875941463E-2</v>
      </c>
      <c r="H2054" s="9">
        <f t="shared" si="221"/>
        <v>-1.8979793399861316E-3</v>
      </c>
      <c r="I2054" s="9">
        <f t="shared" si="222"/>
        <v>-6.3513431344544282E-3</v>
      </c>
      <c r="J2054" s="9">
        <f t="shared" si="223"/>
        <v>16.611479390168544</v>
      </c>
    </row>
    <row r="2055" spans="2:10" x14ac:dyDescent="0.25">
      <c r="B2055" s="1">
        <v>41302</v>
      </c>
      <c r="C2055" s="13">
        <v>16.065000000000001</v>
      </c>
      <c r="D2055" s="6">
        <f t="shared" si="217"/>
        <v>2.2597071928707857E-2</v>
      </c>
      <c r="E2055" s="14">
        <f t="shared" si="218"/>
        <v>5.0191962741343607E-4</v>
      </c>
      <c r="F2055" s="9">
        <f t="shared" si="219"/>
        <v>16.649653773269378</v>
      </c>
      <c r="G2055" s="9">
        <f t="shared" si="220"/>
        <v>-0.29459442379785178</v>
      </c>
      <c r="H2055" s="9">
        <f t="shared" si="221"/>
        <v>-6.9231461577681256E-3</v>
      </c>
      <c r="I2055" s="9">
        <f t="shared" si="222"/>
        <v>-2.3421220755489684E-2</v>
      </c>
      <c r="J2055" s="9">
        <f t="shared" si="223"/>
        <v>16.32471498255827</v>
      </c>
    </row>
    <row r="2056" spans="2:10" x14ac:dyDescent="0.25">
      <c r="B2056" s="1">
        <v>41299</v>
      </c>
      <c r="C2056" s="13">
        <v>15.71</v>
      </c>
      <c r="D2056" s="6">
        <f t="shared" si="217"/>
        <v>-2.3556467151469862E-2</v>
      </c>
      <c r="E2056" s="14">
        <f t="shared" si="218"/>
        <v>4.9688062431036935E-4</v>
      </c>
      <c r="F2056" s="9">
        <f t="shared" si="219"/>
        <v>16.659743970677546</v>
      </c>
      <c r="G2056" s="9">
        <f t="shared" si="220"/>
        <v>-0.44379928955892278</v>
      </c>
      <c r="H2056" s="9">
        <f t="shared" si="221"/>
        <v>-1.3225070410578953E-2</v>
      </c>
      <c r="I2056" s="9">
        <f t="shared" si="222"/>
        <v>-4.7605069741197228E-2</v>
      </c>
      <c r="J2056" s="9">
        <f t="shared" si="223"/>
        <v>16.155114540966849</v>
      </c>
    </row>
    <row r="2057" spans="2:10" x14ac:dyDescent="0.25">
      <c r="B2057" s="1">
        <v>41298</v>
      </c>
      <c r="C2057" s="13">
        <v>16.088999999999999</v>
      </c>
      <c r="D2057" s="6">
        <f t="shared" si="217"/>
        <v>-0.12354959960777911</v>
      </c>
      <c r="E2057" s="14">
        <f t="shared" si="218"/>
        <v>4.9996011751212766E-4</v>
      </c>
      <c r="F2057" s="9">
        <f t="shared" si="219"/>
        <v>16.65356544512381</v>
      </c>
      <c r="G2057" s="9">
        <f t="shared" si="220"/>
        <v>-0.63615212830344781</v>
      </c>
      <c r="H2057" s="9">
        <f t="shared" si="221"/>
        <v>-1.4453259252287706E-2</v>
      </c>
      <c r="I2057" s="9">
        <f t="shared" si="222"/>
        <v>-1.7225952335304419E-2</v>
      </c>
      <c r="J2057" s="9">
        <f t="shared" si="223"/>
        <v>15.985734105232771</v>
      </c>
    </row>
    <row r="2058" spans="2:10" x14ac:dyDescent="0.25">
      <c r="B2058" s="1">
        <v>41297</v>
      </c>
      <c r="C2058" s="13">
        <v>18.356999999999999</v>
      </c>
      <c r="D2058" s="6">
        <f t="shared" si="217"/>
        <v>1.8249389838029817E-2</v>
      </c>
      <c r="E2058" s="14">
        <f t="shared" si="218"/>
        <v>3.7854504759086364E-4</v>
      </c>
      <c r="F2058" s="9">
        <f t="shared" si="219"/>
        <v>16.931758693501102</v>
      </c>
      <c r="G2058" s="9">
        <f t="shared" si="220"/>
        <v>-20.757948180378378</v>
      </c>
      <c r="H2058" s="9">
        <f t="shared" si="221"/>
        <v>2.9491664503439683</v>
      </c>
      <c r="I2058" s="9">
        <f t="shared" si="222"/>
        <v>-35.872468597539147</v>
      </c>
      <c r="J2058" s="9">
        <f t="shared" si="223"/>
        <v>-36.749491634072456</v>
      </c>
    </row>
    <row r="2059" spans="2:10" x14ac:dyDescent="0.25">
      <c r="B2059" s="1">
        <v>41296</v>
      </c>
      <c r="C2059" s="13">
        <v>18.027999999999999</v>
      </c>
      <c r="D2059" s="6">
        <f t="shared" si="217"/>
        <v>9.5760766086128157E-3</v>
      </c>
      <c r="E2059" s="14">
        <f t="shared" si="218"/>
        <v>3.7844219692981956E-4</v>
      </c>
      <c r="F2059" s="9">
        <f t="shared" si="219"/>
        <v>16.932030430343225</v>
      </c>
      <c r="G2059" s="9">
        <f t="shared" si="220"/>
        <v>-0.36611912624891724</v>
      </c>
      <c r="H2059" s="9">
        <f t="shared" si="221"/>
        <v>2.2673456471746581E-3</v>
      </c>
      <c r="I2059" s="9">
        <f t="shared" si="222"/>
        <v>-1.2652507913005574E-5</v>
      </c>
      <c r="J2059" s="9">
        <f t="shared" si="223"/>
        <v>16.568165997233567</v>
      </c>
    </row>
    <row r="2060" spans="2:10" x14ac:dyDescent="0.25">
      <c r="B2060" s="1">
        <v>41292</v>
      </c>
      <c r="C2060" s="13">
        <v>17.856999999999999</v>
      </c>
      <c r="D2060" s="6">
        <f t="shared" si="217"/>
        <v>-5.3472957165933144E-3</v>
      </c>
      <c r="E2060" s="14">
        <f t="shared" si="218"/>
        <v>3.7752742121380364E-4</v>
      </c>
      <c r="F2060" s="9">
        <f t="shared" si="219"/>
        <v>16.934450570360902</v>
      </c>
      <c r="G2060" s="9">
        <f t="shared" si="220"/>
        <v>-8.3926675645354609E-2</v>
      </c>
      <c r="H2060" s="9">
        <f t="shared" si="221"/>
        <v>-1.771550985478011E-4</v>
      </c>
      <c r="I2060" s="9">
        <f t="shared" si="222"/>
        <v>-1.3342576747811911E-3</v>
      </c>
      <c r="J2060" s="9">
        <f t="shared" si="223"/>
        <v>16.849012481942218</v>
      </c>
    </row>
    <row r="2061" spans="2:10" x14ac:dyDescent="0.25">
      <c r="B2061" s="1">
        <v>41291</v>
      </c>
      <c r="C2061" s="13">
        <v>17.952999999999999</v>
      </c>
      <c r="D2061" s="6">
        <f t="shared" si="217"/>
        <v>-6.749654218533907E-3</v>
      </c>
      <c r="E2061" s="14">
        <f t="shared" si="218"/>
        <v>3.9209605664403753E-4</v>
      </c>
      <c r="F2061" s="9">
        <f t="shared" si="219"/>
        <v>16.89658692315712</v>
      </c>
      <c r="G2061" s="9">
        <f t="shared" si="220"/>
        <v>-6.2216410764011569E-2</v>
      </c>
      <c r="H2061" s="9">
        <f t="shared" si="221"/>
        <v>-2.0215625599434173E-2</v>
      </c>
      <c r="I2061" s="9">
        <f t="shared" si="222"/>
        <v>-0.51057526816180798</v>
      </c>
      <c r="J2061" s="9">
        <f t="shared" si="223"/>
        <v>16.303579618631865</v>
      </c>
    </row>
    <row r="2062" spans="2:10" x14ac:dyDescent="0.25">
      <c r="B2062" s="1">
        <v>41290</v>
      </c>
      <c r="C2062" s="13">
        <v>18.074999999999999</v>
      </c>
      <c r="D2062" s="6">
        <f t="shared" si="217"/>
        <v>4.1546617494525817E-2</v>
      </c>
      <c r="E2062" s="14">
        <f t="shared" si="218"/>
        <v>3.9195106077638358E-4</v>
      </c>
      <c r="F2062" s="9">
        <f t="shared" si="219"/>
        <v>16.896956788350384</v>
      </c>
      <c r="G2062" s="9">
        <f t="shared" si="220"/>
        <v>-8.9783963338940787E-2</v>
      </c>
      <c r="H2062" s="9">
        <f t="shared" si="221"/>
        <v>-1.0366863379287861E-3</v>
      </c>
      <c r="I2062" s="9">
        <f t="shared" si="222"/>
        <v>-1.3251126140305645E-7</v>
      </c>
      <c r="J2062" s="9">
        <f t="shared" si="223"/>
        <v>16.806136006162252</v>
      </c>
    </row>
    <row r="2063" spans="2:10" x14ac:dyDescent="0.25">
      <c r="B2063" s="1">
        <v>41289</v>
      </c>
      <c r="C2063" s="13">
        <v>17.353999999999999</v>
      </c>
      <c r="D2063" s="6">
        <f t="shared" si="217"/>
        <v>-3.1584821428571552E-2</v>
      </c>
      <c r="E2063" s="14">
        <f t="shared" si="218"/>
        <v>3.765569129921843E-4</v>
      </c>
      <c r="F2063" s="9">
        <f t="shared" si="219"/>
        <v>16.937024576247083</v>
      </c>
      <c r="G2063" s="9">
        <f t="shared" si="220"/>
        <v>-2.1222072810337247</v>
      </c>
      <c r="H2063" s="9">
        <f t="shared" si="221"/>
        <v>-0.11439205657130144</v>
      </c>
      <c r="I2063" s="9">
        <f t="shared" si="222"/>
        <v>-0.56802181873572688</v>
      </c>
      <c r="J2063" s="9">
        <f t="shared" si="223"/>
        <v>14.132403419906332</v>
      </c>
    </row>
    <row r="2064" spans="2:10" x14ac:dyDescent="0.25">
      <c r="B2064" s="1">
        <v>41288</v>
      </c>
      <c r="C2064" s="13">
        <v>17.920000000000002</v>
      </c>
      <c r="D2064" s="6">
        <f t="shared" ref="D2064:D2127" si="224">C2064/C2065-1</f>
        <v>-3.5625874502206334E-2</v>
      </c>
      <c r="E2064" s="14">
        <f t="shared" ref="E2064:E2127" si="225">_xlfn.VAR.S(D2064:D2184)</f>
        <v>3.708568418007917E-4</v>
      </c>
      <c r="F2064" s="9">
        <f t="shared" si="219"/>
        <v>16.952277658405755</v>
      </c>
      <c r="G2064" s="9">
        <f t="shared" si="220"/>
        <v>-1.4915626071338235</v>
      </c>
      <c r="H2064" s="9">
        <f t="shared" si="221"/>
        <v>3.2441474067743059E-2</v>
      </c>
      <c r="I2064" s="9">
        <f t="shared" si="222"/>
        <v>-7.570121656942605E-2</v>
      </c>
      <c r="J2064" s="9">
        <f t="shared" si="223"/>
        <v>15.417455308770249</v>
      </c>
    </row>
    <row r="2065" spans="2:10" x14ac:dyDescent="0.25">
      <c r="B2065" s="1">
        <v>41285</v>
      </c>
      <c r="C2065" s="13">
        <v>18.582000000000001</v>
      </c>
      <c r="D2065" s="6">
        <f t="shared" si="224"/>
        <v>-6.1507193667432736E-3</v>
      </c>
      <c r="E2065" s="14">
        <f t="shared" si="225"/>
        <v>3.6280245505783783E-4</v>
      </c>
      <c r="F2065" s="9">
        <f t="shared" ref="F2065:F2128" si="226">LN(2*PI())-LN($C$6)-LN(E2065)-0.5*LN(1-POWER($C$7,2))</f>
        <v>16.974235290197683</v>
      </c>
      <c r="G2065" s="9">
        <f t="shared" ref="G2065:G2128" si="227">-POWER(D2064-1-$C$3,2)/(2*E2065*(1-POWER($C$7,2)))</f>
        <v>-1.9182745562223726</v>
      </c>
      <c r="H2065" s="9">
        <f t="shared" ref="H2065:H2128" si="228">$C$7*(D2064-1-$C$3)*(E2064-E2065-$C$5*$C$4)/(E2065*$C$6*(1-POWER($C$7,2)))</f>
        <v>5.5071877901510809E-2</v>
      </c>
      <c r="I2065" s="9">
        <f t="shared" ref="I2065:I2128" si="229">-POWER(E2064-E2065-$C$5*$C$4+$C$4*E2065,2)/(2*POWER($C$6,2)*E2065*(1-POWER($C$7,2)))</f>
        <v>-0.15705753258377897</v>
      </c>
      <c r="J2065" s="9">
        <f t="shared" ref="J2065:J2128" si="230">SUM(F2065:I2065)</f>
        <v>14.953975079293041</v>
      </c>
    </row>
    <row r="2066" spans="2:10" x14ac:dyDescent="0.25">
      <c r="B2066" s="1">
        <v>41284</v>
      </c>
      <c r="C2066" s="13">
        <v>18.696999999999999</v>
      </c>
      <c r="D2066" s="6">
        <f t="shared" si="224"/>
        <v>1.2399826727311991E-2</v>
      </c>
      <c r="E2066" s="14">
        <f t="shared" si="225"/>
        <v>3.6258668578798096E-4</v>
      </c>
      <c r="F2066" s="9">
        <f t="shared" si="226"/>
        <v>16.974830196473697</v>
      </c>
      <c r="G2066" s="9">
        <f t="shared" si="227"/>
        <v>-8.3672917104508332E-2</v>
      </c>
      <c r="H2066" s="9">
        <f t="shared" si="228"/>
        <v>-9.2826017482955424E-4</v>
      </c>
      <c r="I2066" s="9">
        <f t="shared" si="229"/>
        <v>-5.4992067782767121E-7</v>
      </c>
      <c r="J2066" s="9">
        <f t="shared" si="230"/>
        <v>16.89022846927368</v>
      </c>
    </row>
    <row r="2067" spans="2:10" x14ac:dyDescent="0.25">
      <c r="B2067" s="1">
        <v>41283</v>
      </c>
      <c r="C2067" s="13">
        <v>18.468</v>
      </c>
      <c r="D2067" s="6">
        <f t="shared" si="224"/>
        <v>-1.5617504397420157E-2</v>
      </c>
      <c r="E2067" s="14">
        <f t="shared" si="225"/>
        <v>3.6108051168224465E-4</v>
      </c>
      <c r="F2067" s="9">
        <f t="shared" si="226"/>
        <v>16.978992817871607</v>
      </c>
      <c r="G2067" s="9">
        <f t="shared" si="227"/>
        <v>-0.16116860548921821</v>
      </c>
      <c r="H2067" s="9">
        <f t="shared" si="228"/>
        <v>-1.5556508995218767E-3</v>
      </c>
      <c r="I2067" s="9">
        <f t="shared" si="229"/>
        <v>-4.3411529540148663E-3</v>
      </c>
      <c r="J2067" s="9">
        <f t="shared" si="230"/>
        <v>16.811927408528849</v>
      </c>
    </row>
    <row r="2068" spans="2:10" x14ac:dyDescent="0.25">
      <c r="B2068" s="1">
        <v>41282</v>
      </c>
      <c r="C2068" s="13">
        <v>18.760999999999999</v>
      </c>
      <c r="D2068" s="6">
        <f t="shared" si="224"/>
        <v>2.6722248944470728E-3</v>
      </c>
      <c r="E2068" s="14">
        <f t="shared" si="225"/>
        <v>3.5946703070048001E-4</v>
      </c>
      <c r="F2068" s="9">
        <f t="shared" si="226"/>
        <v>16.983471311194101</v>
      </c>
      <c r="G2068" s="9">
        <f t="shared" si="227"/>
        <v>-0.41487112738017257</v>
      </c>
      <c r="H2068" s="9">
        <f t="shared" si="228"/>
        <v>2.8821499821294859E-3</v>
      </c>
      <c r="I2068" s="9">
        <f t="shared" si="229"/>
        <v>-5.0893511329397397E-3</v>
      </c>
      <c r="J2068" s="9">
        <f t="shared" si="230"/>
        <v>16.566392982663118</v>
      </c>
    </row>
    <row r="2069" spans="2:10" x14ac:dyDescent="0.25">
      <c r="B2069" s="1">
        <v>41281</v>
      </c>
      <c r="C2069" s="13">
        <v>18.710999999999999</v>
      </c>
      <c r="D2069" s="6">
        <f t="shared" si="224"/>
        <v>-5.8445353594390737E-3</v>
      </c>
      <c r="E2069" s="14">
        <f t="shared" si="225"/>
        <v>3.6038446219415881E-4</v>
      </c>
      <c r="F2069" s="9">
        <f t="shared" si="226"/>
        <v>16.980922363252873</v>
      </c>
      <c r="G2069" s="9">
        <f t="shared" si="227"/>
        <v>-1.5192064462906903E-3</v>
      </c>
      <c r="H2069" s="9">
        <f t="shared" si="228"/>
        <v>3.6840152073107189E-4</v>
      </c>
      <c r="I2069" s="9">
        <f t="shared" si="229"/>
        <v>-3.2279158475963543E-3</v>
      </c>
      <c r="J2069" s="9">
        <f t="shared" si="230"/>
        <v>16.976543642479719</v>
      </c>
    </row>
    <row r="2070" spans="2:10" x14ac:dyDescent="0.25">
      <c r="B2070" s="1">
        <v>41278</v>
      </c>
      <c r="C2070" s="13">
        <v>18.821000000000002</v>
      </c>
      <c r="D2070" s="6">
        <f t="shared" si="224"/>
        <v>-2.7891121326377721E-2</v>
      </c>
      <c r="E2070" s="14">
        <f t="shared" si="225"/>
        <v>3.6074875739545965E-4</v>
      </c>
      <c r="F2070" s="9">
        <f t="shared" si="226"/>
        <v>16.979912022244044</v>
      </c>
      <c r="G2070" s="9">
        <f t="shared" si="227"/>
        <v>-7.7608392762824246E-2</v>
      </c>
      <c r="H2070" s="9">
        <f t="shared" si="228"/>
        <v>-1.7846366284881153E-3</v>
      </c>
      <c r="I2070" s="9">
        <f t="shared" si="229"/>
        <v>-8.273870729759036E-4</v>
      </c>
      <c r="J2070" s="9">
        <f t="shared" si="230"/>
        <v>16.899691605779754</v>
      </c>
    </row>
    <row r="2071" spans="2:10" x14ac:dyDescent="0.25">
      <c r="B2071" s="1">
        <v>41277</v>
      </c>
      <c r="C2071" s="13">
        <v>19.361000000000001</v>
      </c>
      <c r="D2071" s="6">
        <f t="shared" si="224"/>
        <v>-1.2596899224806224E-2</v>
      </c>
      <c r="E2071" s="14">
        <f t="shared" si="225"/>
        <v>3.5490015866500502E-4</v>
      </c>
      <c r="F2071" s="9">
        <f t="shared" si="226"/>
        <v>16.996257268666898</v>
      </c>
      <c r="G2071" s="9">
        <f t="shared" si="227"/>
        <v>-1.2312174706265839</v>
      </c>
      <c r="H2071" s="9">
        <f t="shared" si="228"/>
        <v>3.1043330032696947E-2</v>
      </c>
      <c r="I2071" s="9">
        <f t="shared" si="229"/>
        <v>-8.2648596743187017E-2</v>
      </c>
      <c r="J2071" s="9">
        <f t="shared" si="230"/>
        <v>15.713434531329824</v>
      </c>
    </row>
    <row r="2072" spans="2:10" x14ac:dyDescent="0.25">
      <c r="B2072" s="1">
        <v>41276</v>
      </c>
      <c r="C2072" s="13">
        <v>19.608000000000001</v>
      </c>
      <c r="D2072" s="6">
        <f t="shared" si="224"/>
        <v>3.167420814479649E-2</v>
      </c>
      <c r="E2072" s="14">
        <f t="shared" si="225"/>
        <v>3.543345127701274E-4</v>
      </c>
      <c r="F2072" s="9">
        <f t="shared" si="226"/>
        <v>16.997852357112489</v>
      </c>
      <c r="G2072" s="9">
        <f t="shared" si="227"/>
        <v>-0.28635083242136405</v>
      </c>
      <c r="H2072" s="9">
        <f t="shared" si="228"/>
        <v>-6.985586222270294E-4</v>
      </c>
      <c r="I2072" s="9">
        <f t="shared" si="229"/>
        <v>-3.2105079933676071E-4</v>
      </c>
      <c r="J2072" s="9">
        <f t="shared" si="230"/>
        <v>16.710481915269565</v>
      </c>
    </row>
    <row r="2073" spans="2:10" x14ac:dyDescent="0.25">
      <c r="B2073" s="1">
        <v>41274</v>
      </c>
      <c r="C2073" s="13">
        <v>19.006</v>
      </c>
      <c r="D2073" s="6">
        <f t="shared" si="224"/>
        <v>4.4285714285714262E-2</v>
      </c>
      <c r="E2073" s="14">
        <f t="shared" si="225"/>
        <v>3.4717654904167355E-4</v>
      </c>
      <c r="F2073" s="9">
        <f t="shared" si="226"/>
        <v>17.018260337966542</v>
      </c>
      <c r="G2073" s="9">
        <f t="shared" si="227"/>
        <v>-1.304070462045084</v>
      </c>
      <c r="H2073" s="9">
        <f t="shared" si="228"/>
        <v>-4.0681221280350961E-2</v>
      </c>
      <c r="I2073" s="9">
        <f t="shared" si="229"/>
        <v>-0.12784224076228548</v>
      </c>
      <c r="J2073" s="9">
        <f t="shared" si="230"/>
        <v>15.54566641387882</v>
      </c>
    </row>
    <row r="2074" spans="2:10" x14ac:dyDescent="0.25">
      <c r="B2074" s="1">
        <v>41271</v>
      </c>
      <c r="C2074" s="13">
        <v>18.2</v>
      </c>
      <c r="D2074" s="6">
        <f t="shared" si="224"/>
        <v>-1.0600706713780883E-2</v>
      </c>
      <c r="E2074" s="14">
        <f t="shared" si="225"/>
        <v>3.3025987124617125E-4</v>
      </c>
      <c r="F2074" s="9">
        <f t="shared" si="226"/>
        <v>17.068213942210051</v>
      </c>
      <c r="G2074" s="9">
        <f t="shared" si="227"/>
        <v>-2.7631590654378253</v>
      </c>
      <c r="H2074" s="9">
        <f t="shared" si="228"/>
        <v>-0.1539188715272419</v>
      </c>
      <c r="I2074" s="9">
        <f t="shared" si="229"/>
        <v>-0.77658424146632543</v>
      </c>
      <c r="J2074" s="9">
        <f t="shared" si="230"/>
        <v>13.374551763778657</v>
      </c>
    </row>
    <row r="2075" spans="2:10" x14ac:dyDescent="0.25">
      <c r="B2075" s="1">
        <v>41270</v>
      </c>
      <c r="C2075" s="13">
        <v>18.395</v>
      </c>
      <c r="D2075" s="6">
        <f t="shared" si="224"/>
        <v>4.0390808361987496E-3</v>
      </c>
      <c r="E2075" s="14">
        <f t="shared" si="225"/>
        <v>3.3245923964069429E-4</v>
      </c>
      <c r="F2075" s="9">
        <f t="shared" si="226"/>
        <v>17.061576510354204</v>
      </c>
      <c r="G2075" s="9">
        <f t="shared" si="227"/>
        <v>-0.22554316409670336</v>
      </c>
      <c r="H2075" s="9">
        <f t="shared" si="228"/>
        <v>-8.1599171043192295E-3</v>
      </c>
      <c r="I2075" s="9">
        <f t="shared" si="229"/>
        <v>-1.6683288197280582E-2</v>
      </c>
      <c r="J2075" s="9">
        <f t="shared" si="230"/>
        <v>16.811190140955901</v>
      </c>
    </row>
    <row r="2076" spans="2:10" x14ac:dyDescent="0.25">
      <c r="B2076" s="1">
        <v>41269</v>
      </c>
      <c r="C2076" s="13">
        <v>18.321000000000002</v>
      </c>
      <c r="D2076" s="6">
        <f t="shared" si="224"/>
        <v>-1.3780481240243114E-2</v>
      </c>
      <c r="E2076" s="14">
        <f t="shared" si="225"/>
        <v>3.3359302708145934E-4</v>
      </c>
      <c r="F2076" s="9">
        <f t="shared" si="226"/>
        <v>17.058172007156713</v>
      </c>
      <c r="G2076" s="9">
        <f t="shared" si="227"/>
        <v>-8.7436831256742266E-3</v>
      </c>
      <c r="H2076" s="9">
        <f t="shared" si="228"/>
        <v>1.0342755381981962E-3</v>
      </c>
      <c r="I2076" s="9">
        <f t="shared" si="229"/>
        <v>-5.295517712498035E-3</v>
      </c>
      <c r="J2076" s="9">
        <f t="shared" si="230"/>
        <v>17.045167081856739</v>
      </c>
    </row>
    <row r="2077" spans="2:10" x14ac:dyDescent="0.25">
      <c r="B2077" s="1">
        <v>41267</v>
      </c>
      <c r="C2077" s="13">
        <v>18.576999999999998</v>
      </c>
      <c r="D2077" s="6">
        <f t="shared" si="224"/>
        <v>1.5635108906619788E-3</v>
      </c>
      <c r="E2077" s="14">
        <f t="shared" si="225"/>
        <v>3.3420971169625588E-4</v>
      </c>
      <c r="F2077" s="9">
        <f t="shared" si="226"/>
        <v>17.056325100115806</v>
      </c>
      <c r="G2077" s="9">
        <f t="shared" si="227"/>
        <v>-0.35621906978560919</v>
      </c>
      <c r="H2077" s="9">
        <f t="shared" si="228"/>
        <v>-4.8327201724784096E-3</v>
      </c>
      <c r="I2077" s="9">
        <f t="shared" si="229"/>
        <v>-2.0668489438091043E-3</v>
      </c>
      <c r="J2077" s="9">
        <f t="shared" si="230"/>
        <v>16.693206461213911</v>
      </c>
    </row>
    <row r="2078" spans="2:10" x14ac:dyDescent="0.25">
      <c r="B2078" s="1">
        <v>41264</v>
      </c>
      <c r="C2078" s="13">
        <v>18.548000000000002</v>
      </c>
      <c r="D2078" s="6">
        <f t="shared" si="224"/>
        <v>-4.5617989588363494E-3</v>
      </c>
      <c r="E2078" s="14">
        <f t="shared" si="225"/>
        <v>3.4022616553854262E-4</v>
      </c>
      <c r="F2078" s="9">
        <f t="shared" si="226"/>
        <v>17.038483186160875</v>
      </c>
      <c r="G2078" s="9">
        <f t="shared" si="227"/>
        <v>-6.0067971304033378E-6</v>
      </c>
      <c r="H2078" s="9">
        <f t="shared" si="228"/>
        <v>-9.4585954702059423E-5</v>
      </c>
      <c r="I2078" s="9">
        <f t="shared" si="229"/>
        <v>-0.10621979460746557</v>
      </c>
      <c r="J2078" s="9">
        <f t="shared" si="230"/>
        <v>16.932162798801578</v>
      </c>
    </row>
    <row r="2079" spans="2:10" x14ac:dyDescent="0.25">
      <c r="B2079" s="1">
        <v>41263</v>
      </c>
      <c r="C2079" s="13">
        <v>18.632999999999999</v>
      </c>
      <c r="D2079" s="6">
        <f t="shared" si="224"/>
        <v>-8.7247965100815117E-3</v>
      </c>
      <c r="E2079" s="14">
        <f t="shared" si="225"/>
        <v>3.4075549294348848E-4</v>
      </c>
      <c r="F2079" s="9">
        <f t="shared" si="226"/>
        <v>17.036928584785173</v>
      </c>
      <c r="G2079" s="9">
        <f t="shared" si="227"/>
        <v>-5.6373124962355969E-2</v>
      </c>
      <c r="H2079" s="9">
        <f t="shared" si="228"/>
        <v>-1.7866349043011373E-3</v>
      </c>
      <c r="I2079" s="9">
        <f t="shared" si="229"/>
        <v>-1.5929213514269242E-3</v>
      </c>
      <c r="J2079" s="9">
        <f t="shared" si="230"/>
        <v>16.977175903567087</v>
      </c>
    </row>
    <row r="2080" spans="2:10" x14ac:dyDescent="0.25">
      <c r="B2080" s="1">
        <v>41262</v>
      </c>
      <c r="C2080" s="13">
        <v>18.797000000000001</v>
      </c>
      <c r="D2080" s="6">
        <f t="shared" si="224"/>
        <v>-1.4212292846654151E-2</v>
      </c>
      <c r="E2080" s="14">
        <f t="shared" si="225"/>
        <v>3.4040418453025386E-4</v>
      </c>
      <c r="F2080" s="9">
        <f t="shared" si="226"/>
        <v>17.037960085785606</v>
      </c>
      <c r="G2080" s="9">
        <f t="shared" si="227"/>
        <v>-0.15787708585340909</v>
      </c>
      <c r="H2080" s="9">
        <f t="shared" si="228"/>
        <v>-1.0111821397843393E-3</v>
      </c>
      <c r="I2080" s="9">
        <f t="shared" si="229"/>
        <v>-3.4978767818666486E-5</v>
      </c>
      <c r="J2080" s="9">
        <f t="shared" si="230"/>
        <v>16.879036839024593</v>
      </c>
    </row>
    <row r="2081" spans="2:10" x14ac:dyDescent="0.25">
      <c r="B2081" s="1">
        <v>41261</v>
      </c>
      <c r="C2081" s="13">
        <v>19.068000000000001</v>
      </c>
      <c r="D2081" s="6">
        <f t="shared" si="224"/>
        <v>2.9033998920669157E-2</v>
      </c>
      <c r="E2081" s="14">
        <f t="shared" si="225"/>
        <v>3.3888494262312242E-4</v>
      </c>
      <c r="F2081" s="9">
        <f t="shared" si="226"/>
        <v>17.04243312791008</v>
      </c>
      <c r="G2081" s="9">
        <f t="shared" si="227"/>
        <v>-0.37127157793111298</v>
      </c>
      <c r="H2081" s="9">
        <f t="shared" si="228"/>
        <v>2.4823777374073188E-3</v>
      </c>
      <c r="I2081" s="9">
        <f t="shared" si="229"/>
        <v>-4.4590094030594963E-3</v>
      </c>
      <c r="J2081" s="9">
        <f t="shared" si="230"/>
        <v>16.669184918313313</v>
      </c>
    </row>
    <row r="2082" spans="2:10" x14ac:dyDescent="0.25">
      <c r="B2082" s="1">
        <v>41260</v>
      </c>
      <c r="C2082" s="13">
        <v>18.53</v>
      </c>
      <c r="D2082" s="6">
        <f t="shared" si="224"/>
        <v>1.7740429505135324E-2</v>
      </c>
      <c r="E2082" s="14">
        <f t="shared" si="225"/>
        <v>3.3455107855677338E-4</v>
      </c>
      <c r="F2082" s="9">
        <f t="shared" si="226"/>
        <v>17.055304206262157</v>
      </c>
      <c r="G2082" s="9">
        <f t="shared" si="227"/>
        <v>-1.1259075948227886</v>
      </c>
      <c r="H2082" s="9">
        <f t="shared" si="228"/>
        <v>-2.1400152142665559E-2</v>
      </c>
      <c r="I2082" s="9">
        <f t="shared" si="229"/>
        <v>-4.6110903300309751E-2</v>
      </c>
      <c r="J2082" s="9">
        <f t="shared" si="230"/>
        <v>15.861885555996393</v>
      </c>
    </row>
    <row r="2083" spans="2:10" x14ac:dyDescent="0.25">
      <c r="B2083" s="1">
        <v>41257</v>
      </c>
      <c r="C2083" s="13">
        <v>18.207000000000001</v>
      </c>
      <c r="D2083" s="6">
        <f t="shared" si="224"/>
        <v>-3.7583254043767722E-2</v>
      </c>
      <c r="E2083" s="14">
        <f t="shared" si="225"/>
        <v>3.3227840868589674E-4</v>
      </c>
      <c r="F2083" s="9">
        <f t="shared" si="226"/>
        <v>17.062120577505247</v>
      </c>
      <c r="G2083" s="9">
        <f t="shared" si="227"/>
        <v>-0.39183959108778199</v>
      </c>
      <c r="H2083" s="9">
        <f t="shared" si="228"/>
        <v>-5.2769867056309807E-3</v>
      </c>
      <c r="I2083" s="9">
        <f t="shared" si="229"/>
        <v>-1.1360736676732978E-2</v>
      </c>
      <c r="J2083" s="9">
        <f t="shared" si="230"/>
        <v>16.653643263035104</v>
      </c>
    </row>
    <row r="2084" spans="2:10" x14ac:dyDescent="0.25">
      <c r="B2084" s="1">
        <v>41256</v>
      </c>
      <c r="C2084" s="13">
        <v>18.917999999999999</v>
      </c>
      <c r="D2084" s="6">
        <f t="shared" si="224"/>
        <v>-1.7246753246753288E-2</v>
      </c>
      <c r="E2084" s="14">
        <f t="shared" si="225"/>
        <v>3.2239227143248376E-4</v>
      </c>
      <c r="F2084" s="9">
        <f t="shared" si="226"/>
        <v>17.092324737027333</v>
      </c>
      <c r="G2084" s="9">
        <f t="shared" si="227"/>
        <v>-2.391529206437875</v>
      </c>
      <c r="H2084" s="9">
        <f t="shared" si="228"/>
        <v>8.170443138956604E-2</v>
      </c>
      <c r="I2084" s="9">
        <f t="shared" si="229"/>
        <v>-0.26510588539781987</v>
      </c>
      <c r="J2084" s="9">
        <f t="shared" si="230"/>
        <v>14.517394076581205</v>
      </c>
    </row>
    <row r="2085" spans="2:10" x14ac:dyDescent="0.25">
      <c r="B2085" s="1">
        <v>41255</v>
      </c>
      <c r="C2085" s="13">
        <v>19.25</v>
      </c>
      <c r="D2085" s="6">
        <f t="shared" si="224"/>
        <v>-4.3961727437290543E-3</v>
      </c>
      <c r="E2085" s="14">
        <f t="shared" si="225"/>
        <v>3.2012819236308844E-4</v>
      </c>
      <c r="F2085" s="9">
        <f t="shared" si="226"/>
        <v>17.099372258679651</v>
      </c>
      <c r="G2085" s="9">
        <f t="shared" si="227"/>
        <v>-0.55803565402977096</v>
      </c>
      <c r="H2085" s="9">
        <f t="shared" si="228"/>
        <v>6.3783646263195441E-3</v>
      </c>
      <c r="I2085" s="9">
        <f t="shared" si="229"/>
        <v>-1.1459537970702096E-2</v>
      </c>
      <c r="J2085" s="9">
        <f t="shared" si="230"/>
        <v>16.536255431305499</v>
      </c>
    </row>
    <row r="2086" spans="2:10" x14ac:dyDescent="0.25">
      <c r="B2086" s="1">
        <v>41254</v>
      </c>
      <c r="C2086" s="13">
        <v>19.335000000000001</v>
      </c>
      <c r="D2086" s="6">
        <f t="shared" si="224"/>
        <v>2.1826445407462147E-2</v>
      </c>
      <c r="E2086" s="14">
        <f t="shared" si="225"/>
        <v>3.2009354894966624E-4</v>
      </c>
      <c r="F2086" s="9">
        <f t="shared" si="226"/>
        <v>17.099480481850531</v>
      </c>
      <c r="G2086" s="9">
        <f t="shared" si="227"/>
        <v>-5.6843038857721483E-2</v>
      </c>
      <c r="H2086" s="9">
        <f t="shared" si="228"/>
        <v>-1.0663258167422755E-3</v>
      </c>
      <c r="I2086" s="9">
        <f t="shared" si="229"/>
        <v>-1.617524603242552E-4</v>
      </c>
      <c r="J2086" s="9">
        <f t="shared" si="230"/>
        <v>17.04140936471574</v>
      </c>
    </row>
    <row r="2087" spans="2:10" x14ac:dyDescent="0.25">
      <c r="B2087" s="1">
        <v>41253</v>
      </c>
      <c r="C2087" s="13">
        <v>18.922000000000001</v>
      </c>
      <c r="D2087" s="6">
        <f t="shared" si="224"/>
        <v>-6.4583880283539674E-3</v>
      </c>
      <c r="E2087" s="14">
        <f t="shared" si="225"/>
        <v>3.1954074706367751E-4</v>
      </c>
      <c r="F2087" s="9">
        <f t="shared" si="226"/>
        <v>17.101208975857396</v>
      </c>
      <c r="G2087" s="9">
        <f t="shared" si="227"/>
        <v>-0.64031093455231058</v>
      </c>
      <c r="H2087" s="9">
        <f t="shared" si="228"/>
        <v>1.1600345092295868E-3</v>
      </c>
      <c r="I2087" s="9">
        <f t="shared" si="229"/>
        <v>-2.2747581540415223E-4</v>
      </c>
      <c r="J2087" s="9">
        <f t="shared" si="230"/>
        <v>16.461830599998912</v>
      </c>
    </row>
    <row r="2088" spans="2:10" x14ac:dyDescent="0.25">
      <c r="B2088" s="1">
        <v>41250</v>
      </c>
      <c r="C2088" s="13">
        <v>19.045000000000002</v>
      </c>
      <c r="D2088" s="6">
        <f t="shared" si="224"/>
        <v>-2.5532132623823145E-2</v>
      </c>
      <c r="E2088" s="14">
        <f t="shared" si="225"/>
        <v>3.1945050385762775E-4</v>
      </c>
      <c r="F2088" s="9">
        <f t="shared" si="226"/>
        <v>17.10149143107574</v>
      </c>
      <c r="G2088" s="9">
        <f t="shared" si="227"/>
        <v>-0.10263344326524551</v>
      </c>
      <c r="H2088" s="9">
        <f t="shared" si="228"/>
        <v>-1.330214950916008E-3</v>
      </c>
      <c r="I2088" s="9">
        <f t="shared" si="229"/>
        <v>-9.6005814523514934E-5</v>
      </c>
      <c r="J2088" s="9">
        <f t="shared" si="230"/>
        <v>16.997431767045057</v>
      </c>
    </row>
    <row r="2089" spans="2:10" x14ac:dyDescent="0.25">
      <c r="B2089" s="1">
        <v>41249</v>
      </c>
      <c r="C2089" s="13">
        <v>19.544</v>
      </c>
      <c r="D2089" s="6">
        <f t="shared" si="224"/>
        <v>1.5642051655147426E-2</v>
      </c>
      <c r="E2089" s="14">
        <f t="shared" si="225"/>
        <v>3.1415531062402611E-4</v>
      </c>
      <c r="F2089" s="9">
        <f t="shared" si="226"/>
        <v>17.118206291942933</v>
      </c>
      <c r="G2089" s="9">
        <f t="shared" si="227"/>
        <v>-1.1774753212960378</v>
      </c>
      <c r="H2089" s="9">
        <f t="shared" si="228"/>
        <v>2.872928416899136E-2</v>
      </c>
      <c r="I2089" s="9">
        <f t="shared" si="229"/>
        <v>-7.3927456284418561E-2</v>
      </c>
      <c r="J2089" s="9">
        <f t="shared" si="230"/>
        <v>15.895532798531466</v>
      </c>
    </row>
    <row r="2090" spans="2:10" x14ac:dyDescent="0.25">
      <c r="B2090" s="1">
        <v>41248</v>
      </c>
      <c r="C2090" s="13">
        <v>19.242999999999999</v>
      </c>
      <c r="D2090" s="6">
        <f t="shared" si="224"/>
        <v>-6.4329475833900585E-2</v>
      </c>
      <c r="E2090" s="14">
        <f t="shared" si="225"/>
        <v>3.1240388653873375E-4</v>
      </c>
      <c r="F2090" s="9">
        <f t="shared" si="226"/>
        <v>17.12379691659568</v>
      </c>
      <c r="G2090" s="9">
        <f t="shared" si="227"/>
        <v>-0.31528596014492177</v>
      </c>
      <c r="H2090" s="9">
        <f t="shared" si="228"/>
        <v>-3.1527287360831745E-3</v>
      </c>
      <c r="I2090" s="9">
        <f t="shared" si="229"/>
        <v>-6.3667256365707737E-3</v>
      </c>
      <c r="J2090" s="9">
        <f t="shared" si="230"/>
        <v>16.798991502078103</v>
      </c>
    </row>
    <row r="2091" spans="2:10" x14ac:dyDescent="0.25">
      <c r="B2091" s="1">
        <v>41247</v>
      </c>
      <c r="C2091" s="13">
        <v>20.565999999999999</v>
      </c>
      <c r="D2091" s="6">
        <f t="shared" si="224"/>
        <v>-1.7625985192261773E-2</v>
      </c>
      <c r="E2091" s="14">
        <f t="shared" si="225"/>
        <v>2.7867050520155042E-4</v>
      </c>
      <c r="F2091" s="9">
        <f t="shared" si="226"/>
        <v>17.238063676420428</v>
      </c>
      <c r="G2091" s="9">
        <f t="shared" si="227"/>
        <v>-7.8285574988572595</v>
      </c>
      <c r="H2091" s="9">
        <f t="shared" si="228"/>
        <v>0.57635032595359914</v>
      </c>
      <c r="I2091" s="9">
        <f t="shared" si="229"/>
        <v>-3.6967156644614154</v>
      </c>
      <c r="J2091" s="9">
        <f t="shared" si="230"/>
        <v>6.2891408390553529</v>
      </c>
    </row>
    <row r="2092" spans="2:10" x14ac:dyDescent="0.25">
      <c r="B2092" s="1">
        <v>41246</v>
      </c>
      <c r="C2092" s="13">
        <v>20.934999999999999</v>
      </c>
      <c r="D2092" s="6">
        <f t="shared" si="224"/>
        <v>1.5308807348226594E-3</v>
      </c>
      <c r="E2092" s="14">
        <f t="shared" si="225"/>
        <v>2.7814934353279953E-4</v>
      </c>
      <c r="F2092" s="9">
        <f t="shared" si="226"/>
        <v>17.239935598989703</v>
      </c>
      <c r="G2092" s="9">
        <f t="shared" si="227"/>
        <v>-0.66832410058087666</v>
      </c>
      <c r="H2092" s="9">
        <f t="shared" si="228"/>
        <v>-1.4322043072688155E-3</v>
      </c>
      <c r="I2092" s="9">
        <f t="shared" si="229"/>
        <v>-1.0806528821409246E-4</v>
      </c>
      <c r="J2092" s="9">
        <f t="shared" si="230"/>
        <v>16.570071228813347</v>
      </c>
    </row>
    <row r="2093" spans="2:10" x14ac:dyDescent="0.25">
      <c r="B2093" s="1">
        <v>41243</v>
      </c>
      <c r="C2093" s="13">
        <v>20.902999999999999</v>
      </c>
      <c r="D2093" s="6">
        <f t="shared" si="224"/>
        <v>-6.9361964938952081E-3</v>
      </c>
      <c r="E2093" s="14">
        <f t="shared" si="225"/>
        <v>2.7995140770030279E-4</v>
      </c>
      <c r="F2093" s="9">
        <f t="shared" si="226"/>
        <v>17.233477731207593</v>
      </c>
      <c r="G2093" s="9">
        <f t="shared" si="227"/>
        <v>-1.6670084970476359E-5</v>
      </c>
      <c r="H2093" s="9">
        <f t="shared" si="228"/>
        <v>-6.6325057750803759E-5</v>
      </c>
      <c r="I2093" s="9">
        <f t="shared" si="229"/>
        <v>-1.5110320231002039E-2</v>
      </c>
      <c r="J2093" s="9">
        <f t="shared" si="230"/>
        <v>17.218284415833867</v>
      </c>
    </row>
    <row r="2094" spans="2:10" x14ac:dyDescent="0.25">
      <c r="B2094" s="1">
        <v>41242</v>
      </c>
      <c r="C2094" s="13">
        <v>21.048999999999999</v>
      </c>
      <c r="D2094" s="6">
        <f t="shared" si="224"/>
        <v>1.1047600749315656E-2</v>
      </c>
      <c r="E2094" s="14">
        <f t="shared" si="225"/>
        <v>2.7950759161152558E-4</v>
      </c>
      <c r="F2094" s="9">
        <f t="shared" si="226"/>
        <v>17.235064321761765</v>
      </c>
      <c r="G2094" s="9">
        <f t="shared" si="227"/>
        <v>-0.13157302599815657</v>
      </c>
      <c r="H2094" s="9">
        <f t="shared" si="228"/>
        <v>-8.0914633964952677E-4</v>
      </c>
      <c r="I2094" s="9">
        <f t="shared" si="229"/>
        <v>-3.6635470111266834E-5</v>
      </c>
      <c r="J2094" s="9">
        <f t="shared" si="230"/>
        <v>17.102645513953849</v>
      </c>
    </row>
    <row r="2095" spans="2:10" x14ac:dyDescent="0.25">
      <c r="B2095" s="1">
        <v>41241</v>
      </c>
      <c r="C2095" s="13">
        <v>20.818999999999999</v>
      </c>
      <c r="D2095" s="6">
        <f t="shared" si="224"/>
        <v>-3.1601627962654089E-3</v>
      </c>
      <c r="E2095" s="14">
        <f t="shared" si="225"/>
        <v>2.8041774640053099E-4</v>
      </c>
      <c r="F2095" s="9">
        <f t="shared" si="226"/>
        <v>17.231813332642929</v>
      </c>
      <c r="G2095" s="9">
        <f t="shared" si="227"/>
        <v>-0.15869849695588975</v>
      </c>
      <c r="H2095" s="9">
        <f t="shared" si="228"/>
        <v>4.2504681104374997E-3</v>
      </c>
      <c r="I2095" s="9">
        <f t="shared" si="229"/>
        <v>-5.1243498216339755E-3</v>
      </c>
      <c r="J2095" s="9">
        <f t="shared" si="230"/>
        <v>17.072240953975843</v>
      </c>
    </row>
    <row r="2096" spans="2:10" x14ac:dyDescent="0.25">
      <c r="B2096" s="1">
        <v>41240</v>
      </c>
      <c r="C2096" s="13">
        <v>20.885000000000002</v>
      </c>
      <c r="D2096" s="6">
        <f t="shared" si="224"/>
        <v>-8.0740916646876437E-3</v>
      </c>
      <c r="E2096" s="14">
        <f t="shared" si="225"/>
        <v>2.8038583883314614E-4</v>
      </c>
      <c r="F2096" s="9">
        <f t="shared" si="226"/>
        <v>17.231927124951891</v>
      </c>
      <c r="G2096" s="9">
        <f t="shared" si="227"/>
        <v>-4.0993677093612776E-2</v>
      </c>
      <c r="H2096" s="9">
        <f t="shared" si="228"/>
        <v>-9.7099684122412184E-4</v>
      </c>
      <c r="I2096" s="9">
        <f t="shared" si="229"/>
        <v>-3.0684603961079527E-4</v>
      </c>
      <c r="J2096" s="9">
        <f t="shared" si="230"/>
        <v>17.189655604977442</v>
      </c>
    </row>
    <row r="2097" spans="2:10" x14ac:dyDescent="0.25">
      <c r="B2097" s="1">
        <v>41239</v>
      </c>
      <c r="C2097" s="13">
        <v>21.055</v>
      </c>
      <c r="D2097" s="6">
        <f t="shared" si="224"/>
        <v>3.1551614325608712E-2</v>
      </c>
      <c r="E2097" s="14">
        <f t="shared" si="225"/>
        <v>2.8001732824405577E-4</v>
      </c>
      <c r="F2097" s="9">
        <f t="shared" si="226"/>
        <v>17.233242287548592</v>
      </c>
      <c r="G2097" s="9">
        <f t="shared" si="227"/>
        <v>-0.16855467828287676</v>
      </c>
      <c r="H2097" s="9">
        <f t="shared" si="228"/>
        <v>-1.1079121972689433E-3</v>
      </c>
      <c r="I2097" s="9">
        <f t="shared" si="229"/>
        <v>-3.1337979326245632E-6</v>
      </c>
      <c r="J2097" s="9">
        <f t="shared" si="230"/>
        <v>17.063576563270512</v>
      </c>
    </row>
    <row r="2098" spans="2:10" x14ac:dyDescent="0.25">
      <c r="B2098" s="1">
        <v>41236</v>
      </c>
      <c r="C2098" s="13">
        <v>20.411000000000001</v>
      </c>
      <c r="D2098" s="6">
        <f t="shared" si="224"/>
        <v>1.7446787298738942E-2</v>
      </c>
      <c r="E2098" s="14">
        <f t="shared" si="225"/>
        <v>2.7902287990466852E-4</v>
      </c>
      <c r="F2098" s="9">
        <f t="shared" si="226"/>
        <v>17.236799990103101</v>
      </c>
      <c r="G2098" s="9">
        <f t="shared" si="227"/>
        <v>-1.6093868721153197</v>
      </c>
      <c r="H2098" s="9">
        <f t="shared" si="228"/>
        <v>-1.5341885288996666E-3</v>
      </c>
      <c r="I2098" s="9">
        <f t="shared" si="229"/>
        <v>-1.4209418160225739E-3</v>
      </c>
      <c r="J2098" s="9">
        <f t="shared" si="230"/>
        <v>15.62445798764286</v>
      </c>
    </row>
    <row r="2099" spans="2:10" x14ac:dyDescent="0.25">
      <c r="B2099" s="1">
        <v>41234</v>
      </c>
      <c r="C2099" s="13">
        <v>20.061</v>
      </c>
      <c r="D2099" s="6">
        <f t="shared" si="224"/>
        <v>1.3976938052213672E-3</v>
      </c>
      <c r="E2099" s="14">
        <f t="shared" si="225"/>
        <v>2.7652770079902167E-4</v>
      </c>
      <c r="F2099" s="9">
        <f t="shared" si="226"/>
        <v>17.24578277572293</v>
      </c>
      <c r="G2099" s="9">
        <f t="shared" si="227"/>
        <v>-0.45383371682483781</v>
      </c>
      <c r="H2099" s="9">
        <f t="shared" si="228"/>
        <v>-7.1665522175342732E-3</v>
      </c>
      <c r="I2099" s="9">
        <f t="shared" si="229"/>
        <v>-1.5467318708251713E-2</v>
      </c>
      <c r="J2099" s="9">
        <f t="shared" si="230"/>
        <v>16.769315187972307</v>
      </c>
    </row>
    <row r="2100" spans="2:10" x14ac:dyDescent="0.25">
      <c r="B2100" s="1">
        <v>41233</v>
      </c>
      <c r="C2100" s="13">
        <v>20.033000000000001</v>
      </c>
      <c r="D2100" s="6">
        <f t="shared" si="224"/>
        <v>-8.5127443702052163E-3</v>
      </c>
      <c r="E2100" s="14">
        <f t="shared" si="225"/>
        <v>2.7774140088779401E-4</v>
      </c>
      <c r="F2100" s="9">
        <f t="shared" si="226"/>
        <v>17.241403307248319</v>
      </c>
      <c r="G2100" s="9">
        <f t="shared" si="227"/>
        <v>-9.5227956891915831E-5</v>
      </c>
      <c r="H2100" s="9">
        <f t="shared" si="228"/>
        <v>-1.2317901865202709E-4</v>
      </c>
      <c r="I2100" s="9">
        <f t="shared" si="229"/>
        <v>-8.0443591015714189E-3</v>
      </c>
      <c r="J2100" s="9">
        <f t="shared" si="230"/>
        <v>17.233140541171206</v>
      </c>
    </row>
    <row r="2101" spans="2:10" x14ac:dyDescent="0.25">
      <c r="B2101" s="1">
        <v>41232</v>
      </c>
      <c r="C2101" s="13">
        <v>20.204999999999998</v>
      </c>
      <c r="D2101" s="6">
        <f t="shared" si="224"/>
        <v>7.2110792741165053E-2</v>
      </c>
      <c r="E2101" s="14">
        <f t="shared" si="225"/>
        <v>2.7972114700819146E-4</v>
      </c>
      <c r="F2101" s="9">
        <f t="shared" si="226"/>
        <v>17.234300572003217</v>
      </c>
      <c r="G2101" s="9">
        <f t="shared" si="227"/>
        <v>-0.18433672323614875</v>
      </c>
      <c r="H2101" s="9">
        <f t="shared" si="228"/>
        <v>-7.453666793358845E-3</v>
      </c>
      <c r="I2101" s="9">
        <f t="shared" si="229"/>
        <v>-1.7744271396179331E-2</v>
      </c>
      <c r="J2101" s="9">
        <f t="shared" si="230"/>
        <v>17.024765910577528</v>
      </c>
    </row>
    <row r="2102" spans="2:10" x14ac:dyDescent="0.25">
      <c r="B2102" s="1">
        <v>41229</v>
      </c>
      <c r="C2102" s="13">
        <v>18.846</v>
      </c>
      <c r="D2102" s="6">
        <f t="shared" si="224"/>
        <v>3.9420413381632269E-3</v>
      </c>
      <c r="E2102" s="14">
        <f t="shared" si="225"/>
        <v>2.3645714486144614E-4</v>
      </c>
      <c r="F2102" s="9">
        <f t="shared" si="226"/>
        <v>17.402326789536449</v>
      </c>
      <c r="G2102" s="9">
        <f t="shared" si="227"/>
        <v>-10.535983051665436</v>
      </c>
      <c r="H2102" s="9">
        <f t="shared" si="228"/>
        <v>-0.93592273448607</v>
      </c>
      <c r="I2102" s="9">
        <f t="shared" si="229"/>
        <v>-7.1749571445824962</v>
      </c>
      <c r="J2102" s="9">
        <f t="shared" si="230"/>
        <v>-1.2445361411975533</v>
      </c>
    </row>
    <row r="2103" spans="2:10" x14ac:dyDescent="0.25">
      <c r="B2103" s="1">
        <v>41228</v>
      </c>
      <c r="C2103" s="13">
        <v>18.771999999999998</v>
      </c>
      <c r="D2103" s="6">
        <f t="shared" si="224"/>
        <v>-2.0965891311150564E-2</v>
      </c>
      <c r="E2103" s="14">
        <f t="shared" si="225"/>
        <v>2.369189309928471E-4</v>
      </c>
      <c r="F2103" s="9">
        <f t="shared" si="226"/>
        <v>17.400375756092053</v>
      </c>
      <c r="G2103" s="9">
        <f t="shared" si="227"/>
        <v>-1.1340706958081764E-2</v>
      </c>
      <c r="H2103" s="9">
        <f t="shared" si="228"/>
        <v>9.1224683054811316E-4</v>
      </c>
      <c r="I2103" s="9">
        <f t="shared" si="229"/>
        <v>-2.9566835107872544E-3</v>
      </c>
      <c r="J2103" s="9">
        <f t="shared" si="230"/>
        <v>17.386990612453733</v>
      </c>
    </row>
    <row r="2104" spans="2:10" x14ac:dyDescent="0.25">
      <c r="B2104" s="1">
        <v>41227</v>
      </c>
      <c r="C2104" s="13">
        <v>19.173999999999999</v>
      </c>
      <c r="D2104" s="6">
        <f t="shared" si="224"/>
        <v>-1.1088761668987535E-2</v>
      </c>
      <c r="E2104" s="14">
        <f t="shared" si="225"/>
        <v>2.3849114287446759E-4</v>
      </c>
      <c r="F2104" s="9">
        <f t="shared" si="226"/>
        <v>17.393761602544739</v>
      </c>
      <c r="G2104" s="9">
        <f t="shared" si="227"/>
        <v>-1.0733418261217944</v>
      </c>
      <c r="H2104" s="9">
        <f t="shared" si="228"/>
        <v>-1.662395448349269E-2</v>
      </c>
      <c r="I2104" s="9">
        <f t="shared" si="229"/>
        <v>-1.5164616901916153E-2</v>
      </c>
      <c r="J2104" s="9">
        <f t="shared" si="230"/>
        <v>16.288631205037536</v>
      </c>
    </row>
    <row r="2105" spans="2:10" x14ac:dyDescent="0.25">
      <c r="B2105" s="1">
        <v>41226</v>
      </c>
      <c r="C2105" s="13">
        <v>19.388999999999999</v>
      </c>
      <c r="D2105" s="6">
        <f t="shared" si="224"/>
        <v>1.031619126217187E-4</v>
      </c>
      <c r="E2105" s="14">
        <f t="shared" si="225"/>
        <v>2.3796799015039986E-4</v>
      </c>
      <c r="F2105" s="9">
        <f t="shared" si="226"/>
        <v>17.395957605929059</v>
      </c>
      <c r="G2105" s="9">
        <f t="shared" si="227"/>
        <v>-0.34075584515622909</v>
      </c>
      <c r="H2105" s="9">
        <f t="shared" si="228"/>
        <v>-1.09777057166077E-3</v>
      </c>
      <c r="I2105" s="9">
        <f t="shared" si="229"/>
        <v>-5.2139248404303166E-5</v>
      </c>
      <c r="J2105" s="9">
        <f t="shared" si="230"/>
        <v>17.054051850952767</v>
      </c>
    </row>
    <row r="2106" spans="2:10" x14ac:dyDescent="0.25">
      <c r="B2106" s="1">
        <v>41225</v>
      </c>
      <c r="C2106" s="13">
        <v>19.387</v>
      </c>
      <c r="D2106" s="6">
        <f t="shared" si="224"/>
        <v>-7.7285290203705781E-3</v>
      </c>
      <c r="E2106" s="14">
        <f t="shared" si="225"/>
        <v>2.6619455959233534E-4</v>
      </c>
      <c r="F2106" s="9">
        <f t="shared" si="226"/>
        <v>17.283866306930701</v>
      </c>
      <c r="G2106" s="9">
        <f t="shared" si="227"/>
        <v>-4.3765363798932812E-3</v>
      </c>
      <c r="H2106" s="9">
        <f t="shared" si="228"/>
        <v>-1.2289775439625518E-2</v>
      </c>
      <c r="I2106" s="9">
        <f t="shared" si="229"/>
        <v>-2.8361296285700517</v>
      </c>
      <c r="J2106" s="9">
        <f t="shared" si="230"/>
        <v>14.431070366541128</v>
      </c>
    </row>
    <row r="2107" spans="2:10" x14ac:dyDescent="0.25">
      <c r="B2107" s="1">
        <v>41222</v>
      </c>
      <c r="C2107" s="13">
        <v>19.538</v>
      </c>
      <c r="D2107" s="6">
        <f t="shared" si="224"/>
        <v>1.7339234574329732E-2</v>
      </c>
      <c r="E2107" s="14">
        <f t="shared" si="225"/>
        <v>2.6564975039749486E-4</v>
      </c>
      <c r="F2107" s="9">
        <f t="shared" si="226"/>
        <v>17.285915062083937</v>
      </c>
      <c r="G2107" s="9">
        <f t="shared" si="227"/>
        <v>-0.16523914682904151</v>
      </c>
      <c r="H2107" s="9">
        <f t="shared" si="228"/>
        <v>-6.6712354031570563E-4</v>
      </c>
      <c r="I2107" s="9">
        <f t="shared" si="229"/>
        <v>-1.1690263936695994E-4</v>
      </c>
      <c r="J2107" s="9">
        <f t="shared" si="230"/>
        <v>17.119891889075216</v>
      </c>
    </row>
    <row r="2108" spans="2:10" x14ac:dyDescent="0.25">
      <c r="B2108" s="1">
        <v>41221</v>
      </c>
      <c r="C2108" s="13">
        <v>19.204999999999998</v>
      </c>
      <c r="D2108" s="6">
        <f t="shared" si="224"/>
        <v>-3.6328967835817183E-2</v>
      </c>
      <c r="E2108" s="14">
        <f t="shared" si="225"/>
        <v>2.7041723148902924E-4</v>
      </c>
      <c r="F2108" s="9">
        <f t="shared" si="226"/>
        <v>17.268127707329498</v>
      </c>
      <c r="G2108" s="9">
        <f t="shared" si="227"/>
        <v>-0.4577997338399229</v>
      </c>
      <c r="H2108" s="9">
        <f t="shared" si="228"/>
        <v>2.3923456540540088E-2</v>
      </c>
      <c r="I2108" s="9">
        <f t="shared" si="229"/>
        <v>-8.9591882079886165E-2</v>
      </c>
      <c r="J2108" s="9">
        <f t="shared" si="230"/>
        <v>16.744659547950228</v>
      </c>
    </row>
    <row r="2109" spans="2:10" x14ac:dyDescent="0.25">
      <c r="B2109" s="1">
        <v>41220</v>
      </c>
      <c r="C2109" s="13">
        <v>19.928999999999998</v>
      </c>
      <c r="D2109" s="6">
        <f t="shared" si="224"/>
        <v>-4.2611452728670285E-2</v>
      </c>
      <c r="E2109" s="14">
        <f t="shared" si="225"/>
        <v>2.6074476287752421E-4</v>
      </c>
      <c r="F2109" s="9">
        <f t="shared" si="226"/>
        <v>17.304551766551391</v>
      </c>
      <c r="G2109" s="9">
        <f t="shared" si="227"/>
        <v>-2.770803961379793</v>
      </c>
      <c r="H2109" s="9">
        <f t="shared" si="228"/>
        <v>9.5490293240326748E-2</v>
      </c>
      <c r="I2109" s="9">
        <f t="shared" si="229"/>
        <v>-0.30662280761082267</v>
      </c>
      <c r="J2109" s="9">
        <f t="shared" si="230"/>
        <v>14.322615290801101</v>
      </c>
    </row>
    <row r="2110" spans="2:10" x14ac:dyDescent="0.25">
      <c r="B2110" s="1">
        <v>41219</v>
      </c>
      <c r="C2110" s="13">
        <v>20.815999999999999</v>
      </c>
      <c r="D2110" s="6">
        <f t="shared" si="224"/>
        <v>-3.0173858901288986E-3</v>
      </c>
      <c r="E2110" s="14">
        <f t="shared" si="225"/>
        <v>2.4610257506154281E-4</v>
      </c>
      <c r="F2110" s="9">
        <f t="shared" si="226"/>
        <v>17.362345354570188</v>
      </c>
      <c r="G2110" s="9">
        <f t="shared" si="227"/>
        <v>-3.9878959682408861</v>
      </c>
      <c r="H2110" s="9">
        <f t="shared" si="228"/>
        <v>0.18397360494027815</v>
      </c>
      <c r="I2110" s="9">
        <f t="shared" si="229"/>
        <v>-0.76207771476785302</v>
      </c>
      <c r="J2110" s="9">
        <f t="shared" si="230"/>
        <v>12.796345276501725</v>
      </c>
    </row>
    <row r="2111" spans="2:10" x14ac:dyDescent="0.25">
      <c r="B2111" s="1">
        <v>41218</v>
      </c>
      <c r="C2111" s="13">
        <v>20.879000000000001</v>
      </c>
      <c r="D2111" s="6">
        <f t="shared" si="224"/>
        <v>1.3543689320388408E-2</v>
      </c>
      <c r="E2111" s="14">
        <f t="shared" si="225"/>
        <v>2.4799253300859873E-4</v>
      </c>
      <c r="F2111" s="9">
        <f t="shared" si="226"/>
        <v>17.354695138513456</v>
      </c>
      <c r="G2111" s="9">
        <f t="shared" si="227"/>
        <v>-4.3625105745880279E-2</v>
      </c>
      <c r="H2111" s="9">
        <f t="shared" si="228"/>
        <v>-3.7266716129820427E-3</v>
      </c>
      <c r="I2111" s="9">
        <f t="shared" si="229"/>
        <v>-1.9375668553898721E-2</v>
      </c>
      <c r="J2111" s="9">
        <f t="shared" si="230"/>
        <v>17.287967692600695</v>
      </c>
    </row>
    <row r="2112" spans="2:10" x14ac:dyDescent="0.25">
      <c r="B2112" s="1">
        <v>41215</v>
      </c>
      <c r="C2112" s="13">
        <v>20.6</v>
      </c>
      <c r="D2112" s="6">
        <f t="shared" si="224"/>
        <v>-3.3090823750293263E-2</v>
      </c>
      <c r="E2112" s="14">
        <f t="shared" si="225"/>
        <v>2.4693499127200977E-4</v>
      </c>
      <c r="F2112" s="9">
        <f t="shared" si="226"/>
        <v>17.358968666633032</v>
      </c>
      <c r="G2112" s="9">
        <f t="shared" si="227"/>
        <v>-0.28837422939932172</v>
      </c>
      <c r="H2112" s="9">
        <f t="shared" si="228"/>
        <v>-9.1546046364393639E-4</v>
      </c>
      <c r="I2112" s="9">
        <f t="shared" si="229"/>
        <v>-1.6549937569211933E-3</v>
      </c>
      <c r="J2112" s="9">
        <f t="shared" si="230"/>
        <v>17.068023983013145</v>
      </c>
    </row>
    <row r="2113" spans="2:10" x14ac:dyDescent="0.25">
      <c r="B2113" s="1">
        <v>41214</v>
      </c>
      <c r="C2113" s="13">
        <v>21.305</v>
      </c>
      <c r="D2113" s="6">
        <f t="shared" si="224"/>
        <v>2.0695169559288296E-3</v>
      </c>
      <c r="E2113" s="14">
        <f t="shared" si="225"/>
        <v>2.3764422203848603E-4</v>
      </c>
      <c r="F2113" s="9">
        <f t="shared" si="226"/>
        <v>17.397319085527894</v>
      </c>
      <c r="G2113" s="9">
        <f t="shared" si="227"/>
        <v>-2.5435467678682313</v>
      </c>
      <c r="H2113" s="9">
        <f t="shared" si="228"/>
        <v>9.1710858369163803E-2</v>
      </c>
      <c r="I2113" s="9">
        <f t="shared" si="229"/>
        <v>-0.30674214554708784</v>
      </c>
      <c r="J2113" s="9">
        <f t="shared" si="230"/>
        <v>14.638741030481738</v>
      </c>
    </row>
    <row r="2114" spans="2:10" x14ac:dyDescent="0.25">
      <c r="B2114" s="1">
        <v>41213</v>
      </c>
      <c r="C2114" s="13">
        <v>21.260999999999999</v>
      </c>
      <c r="D2114" s="6">
        <f t="shared" si="224"/>
        <v>-1.4371146446618299E-2</v>
      </c>
      <c r="E2114" s="14">
        <f t="shared" si="225"/>
        <v>2.3763724335525564E-4</v>
      </c>
      <c r="F2114" s="9">
        <f t="shared" si="226"/>
        <v>17.397348452055894</v>
      </c>
      <c r="G2114" s="9">
        <f t="shared" si="227"/>
        <v>-4.1258523098554605E-4</v>
      </c>
      <c r="H2114" s="9">
        <f t="shared" si="228"/>
        <v>1.0924231818148867E-4</v>
      </c>
      <c r="I2114" s="9">
        <f t="shared" si="229"/>
        <v>-6.2458381974837016E-4</v>
      </c>
      <c r="J2114" s="9">
        <f t="shared" si="230"/>
        <v>17.396420525323339</v>
      </c>
    </row>
    <row r="2115" spans="2:10" x14ac:dyDescent="0.25">
      <c r="B2115" s="1">
        <v>41208</v>
      </c>
      <c r="C2115" s="13">
        <v>21.571000000000002</v>
      </c>
      <c r="D2115" s="6">
        <f t="shared" si="224"/>
        <v>-9.0955027791812526E-3</v>
      </c>
      <c r="E2115" s="14">
        <f t="shared" si="225"/>
        <v>2.358494964828259E-4</v>
      </c>
      <c r="F2115" s="9">
        <f t="shared" si="226"/>
        <v>17.404899900565148</v>
      </c>
      <c r="G2115" s="9">
        <f t="shared" si="227"/>
        <v>-0.54422262446095626</v>
      </c>
      <c r="H2115" s="9">
        <f t="shared" si="228"/>
        <v>4.9493866360862324E-3</v>
      </c>
      <c r="I2115" s="9">
        <f t="shared" si="229"/>
        <v>-7.4268469299185267E-3</v>
      </c>
      <c r="J2115" s="9">
        <f t="shared" si="230"/>
        <v>16.858199815810359</v>
      </c>
    </row>
    <row r="2116" spans="2:10" x14ac:dyDescent="0.25">
      <c r="B2116" s="1">
        <v>41207</v>
      </c>
      <c r="C2116" s="13">
        <v>21.768999999999998</v>
      </c>
      <c r="D2116" s="6">
        <f t="shared" si="224"/>
        <v>-1.1847480708125357E-2</v>
      </c>
      <c r="E2116" s="14">
        <f t="shared" si="225"/>
        <v>2.3544084163814149E-4</v>
      </c>
      <c r="F2116" s="9">
        <f t="shared" si="226"/>
        <v>17.406634096724275</v>
      </c>
      <c r="G2116" s="9">
        <f t="shared" si="227"/>
        <v>-0.24490184704706933</v>
      </c>
      <c r="H2116" s="9">
        <f t="shared" si="228"/>
        <v>-1.3212156479211097E-3</v>
      </c>
      <c r="I2116" s="9">
        <f t="shared" si="229"/>
        <v>-3.0501938024283638E-8</v>
      </c>
      <c r="J2116" s="9">
        <f t="shared" si="230"/>
        <v>17.160411003527351</v>
      </c>
    </row>
    <row r="2117" spans="2:10" x14ac:dyDescent="0.25">
      <c r="B2117" s="1">
        <v>41206</v>
      </c>
      <c r="C2117" s="13">
        <v>22.03</v>
      </c>
      <c r="D2117" s="6">
        <f t="shared" si="224"/>
        <v>5.6605496211084017E-3</v>
      </c>
      <c r="E2117" s="14">
        <f t="shared" si="225"/>
        <v>2.4119812783573668E-4</v>
      </c>
      <c r="F2117" s="9">
        <f t="shared" si="226"/>
        <v>17.382475072441011</v>
      </c>
      <c r="G2117" s="9">
        <f t="shared" si="227"/>
        <v>-0.37750777268417673</v>
      </c>
      <c r="H2117" s="9">
        <f t="shared" si="228"/>
        <v>-2.7091504652730584E-2</v>
      </c>
      <c r="I2117" s="9">
        <f t="shared" si="229"/>
        <v>-0.14529789998209702</v>
      </c>
      <c r="J2117" s="9">
        <f t="shared" si="230"/>
        <v>16.832577895122007</v>
      </c>
    </row>
    <row r="2118" spans="2:10" x14ac:dyDescent="0.25">
      <c r="B2118" s="1">
        <v>41205</v>
      </c>
      <c r="C2118" s="13">
        <v>21.905999999999999</v>
      </c>
      <c r="D2118" s="6">
        <f t="shared" si="224"/>
        <v>-3.2591414944356134E-2</v>
      </c>
      <c r="E2118" s="14">
        <f t="shared" si="225"/>
        <v>2.4147065602058814E-4</v>
      </c>
      <c r="F2118" s="9">
        <f t="shared" si="226"/>
        <v>17.381345816839953</v>
      </c>
      <c r="G2118" s="9">
        <f t="shared" si="227"/>
        <v>-3.3782252416691312E-2</v>
      </c>
      <c r="H2118" s="9">
        <f t="shared" si="228"/>
        <v>1.3258273936190181E-3</v>
      </c>
      <c r="I2118" s="9">
        <f t="shared" si="229"/>
        <v>-1.7379319554017686E-3</v>
      </c>
      <c r="J2118" s="9">
        <f t="shared" si="230"/>
        <v>17.347151459861479</v>
      </c>
    </row>
    <row r="2119" spans="2:10" x14ac:dyDescent="0.25">
      <c r="B2119" s="1">
        <v>41204</v>
      </c>
      <c r="C2119" s="13">
        <v>22.643999999999998</v>
      </c>
      <c r="D2119" s="6">
        <f t="shared" si="224"/>
        <v>3.9669421487603218E-2</v>
      </c>
      <c r="E2119" s="14">
        <f t="shared" si="225"/>
        <v>2.3255515929375534E-4</v>
      </c>
      <c r="F2119" s="9">
        <f t="shared" si="226"/>
        <v>17.418966334225207</v>
      </c>
      <c r="G2119" s="9">
        <f t="shared" si="227"/>
        <v>-2.5249682648586425</v>
      </c>
      <c r="H2119" s="9">
        <f t="shared" si="228"/>
        <v>8.8286690714112673E-2</v>
      </c>
      <c r="I2119" s="9">
        <f t="shared" si="229"/>
        <v>-0.28696066605517889</v>
      </c>
      <c r="J2119" s="9">
        <f t="shared" si="230"/>
        <v>14.695324094025498</v>
      </c>
    </row>
    <row r="2120" spans="2:10" x14ac:dyDescent="0.25">
      <c r="B2120" s="1">
        <v>41201</v>
      </c>
      <c r="C2120" s="13">
        <v>21.78</v>
      </c>
      <c r="D2120" s="6">
        <f t="shared" si="224"/>
        <v>-3.6027263875365145E-2</v>
      </c>
      <c r="E2120" s="14">
        <f t="shared" si="225"/>
        <v>2.1998472262138116E-4</v>
      </c>
      <c r="F2120" s="9">
        <f t="shared" si="226"/>
        <v>17.474535674077835</v>
      </c>
      <c r="G2120" s="9">
        <f t="shared" si="227"/>
        <v>-3.2990514826353863</v>
      </c>
      <c r="H2120" s="9">
        <f t="shared" si="228"/>
        <v>-0.15049510529702978</v>
      </c>
      <c r="I2120" s="9">
        <f t="shared" si="229"/>
        <v>-0.61824153100325918</v>
      </c>
      <c r="J2120" s="9">
        <f t="shared" si="230"/>
        <v>13.406747555142161</v>
      </c>
    </row>
    <row r="2121" spans="2:10" x14ac:dyDescent="0.25">
      <c r="B2121" s="1">
        <v>41200</v>
      </c>
      <c r="C2121" s="13">
        <v>22.594000000000001</v>
      </c>
      <c r="D2121" s="6">
        <f t="shared" si="224"/>
        <v>-1.8590913039701062E-2</v>
      </c>
      <c r="E2121" s="14">
        <f t="shared" si="225"/>
        <v>2.1744050864640381E-4</v>
      </c>
      <c r="F2121" s="9">
        <f t="shared" si="226"/>
        <v>17.486168485739299</v>
      </c>
      <c r="G2121" s="9">
        <f t="shared" si="227"/>
        <v>-3.2700107953959243</v>
      </c>
      <c r="H2121" s="9">
        <f t="shared" si="228"/>
        <v>2.23216780995493E-2</v>
      </c>
      <c r="I2121" s="9">
        <f t="shared" si="229"/>
        <v>-1.8789608958411138E-2</v>
      </c>
      <c r="J2121" s="9">
        <f t="shared" si="230"/>
        <v>14.219689759484513</v>
      </c>
    </row>
    <row r="2122" spans="2:10" x14ac:dyDescent="0.25">
      <c r="B2122" s="1">
        <v>41199</v>
      </c>
      <c r="C2122" s="13">
        <v>23.021999999999998</v>
      </c>
      <c r="D2122" s="6">
        <f t="shared" si="224"/>
        <v>-7.9717326668679034E-3</v>
      </c>
      <c r="E2122" s="14">
        <f t="shared" si="225"/>
        <v>2.1496035101578175E-4</v>
      </c>
      <c r="F2122" s="9">
        <f t="shared" si="226"/>
        <v>17.497640178147613</v>
      </c>
      <c r="G2122" s="9">
        <f t="shared" si="227"/>
        <v>-0.95363579295621037</v>
      </c>
      <c r="H2122" s="9">
        <f t="shared" si="228"/>
        <v>1.1678188599367813E-2</v>
      </c>
      <c r="I2122" s="9">
        <f t="shared" si="229"/>
        <v>-1.7794334572678743E-2</v>
      </c>
      <c r="J2122" s="9">
        <f t="shared" si="230"/>
        <v>16.537888239218095</v>
      </c>
    </row>
    <row r="2123" spans="2:10" x14ac:dyDescent="0.25">
      <c r="B2123" s="1">
        <v>41198</v>
      </c>
      <c r="C2123" s="13">
        <v>23.207000000000001</v>
      </c>
      <c r="D2123" s="6">
        <f t="shared" si="224"/>
        <v>2.3687692986325448E-2</v>
      </c>
      <c r="E2123" s="14">
        <f t="shared" si="225"/>
        <v>2.1450597581751014E-4</v>
      </c>
      <c r="F2123" s="9">
        <f t="shared" si="226"/>
        <v>17.49975617811976</v>
      </c>
      <c r="G2123" s="9">
        <f t="shared" si="227"/>
        <v>-0.21541365634894466</v>
      </c>
      <c r="H2123" s="9">
        <f t="shared" si="228"/>
        <v>-1.1468972817050961E-3</v>
      </c>
      <c r="I2123" s="9">
        <f t="shared" si="229"/>
        <v>-2.9633902687579981E-7</v>
      </c>
      <c r="J2123" s="9">
        <f t="shared" si="230"/>
        <v>17.283195328150086</v>
      </c>
    </row>
    <row r="2124" spans="2:10" x14ac:dyDescent="0.25">
      <c r="B2124" s="1">
        <v>41197</v>
      </c>
      <c r="C2124" s="13">
        <v>22.67</v>
      </c>
      <c r="D2124" s="6">
        <f t="shared" si="224"/>
        <v>8.0035571365053571E-3</v>
      </c>
      <c r="E2124" s="14">
        <f t="shared" si="225"/>
        <v>2.7450319866198465E-4</v>
      </c>
      <c r="F2124" s="9">
        <f t="shared" si="226"/>
        <v>17.253130861822342</v>
      </c>
      <c r="G2124" s="9">
        <f t="shared" si="227"/>
        <v>-0.88905868845492775</v>
      </c>
      <c r="H2124" s="9">
        <f t="shared" si="228"/>
        <v>0.36128514938333106</v>
      </c>
      <c r="I2124" s="9">
        <f t="shared" si="229"/>
        <v>-12.254778009195267</v>
      </c>
      <c r="J2124" s="9">
        <f t="shared" si="230"/>
        <v>4.4705793135554792</v>
      </c>
    </row>
    <row r="2125" spans="2:10" x14ac:dyDescent="0.25">
      <c r="B2125" s="1">
        <v>41194</v>
      </c>
      <c r="C2125" s="13">
        <v>22.49</v>
      </c>
      <c r="D2125" s="6">
        <f t="shared" si="224"/>
        <v>2.5855920114121744E-3</v>
      </c>
      <c r="E2125" s="14">
        <f t="shared" si="225"/>
        <v>2.7778690869812952E-4</v>
      </c>
      <c r="F2125" s="9">
        <f t="shared" si="226"/>
        <v>17.241239471095774</v>
      </c>
      <c r="G2125" s="9">
        <f t="shared" si="227"/>
        <v>-7.3395003237817419E-2</v>
      </c>
      <c r="H2125" s="9">
        <f t="shared" si="228"/>
        <v>6.9327371582936729E-3</v>
      </c>
      <c r="I2125" s="9">
        <f t="shared" si="229"/>
        <v>-4.3702885790065461E-2</v>
      </c>
      <c r="J2125" s="9">
        <f t="shared" si="230"/>
        <v>17.131074319226187</v>
      </c>
    </row>
    <row r="2126" spans="2:10" x14ac:dyDescent="0.25">
      <c r="B2126" s="1">
        <v>41193</v>
      </c>
      <c r="C2126" s="13">
        <v>22.431999999999999</v>
      </c>
      <c r="D2126" s="6">
        <f t="shared" si="224"/>
        <v>-2.0008737439930147E-2</v>
      </c>
      <c r="E2126" s="14">
        <f t="shared" si="225"/>
        <v>2.7784701788640504E-4</v>
      </c>
      <c r="F2126" s="9">
        <f t="shared" si="226"/>
        <v>17.241023108538936</v>
      </c>
      <c r="G2126" s="9">
        <f t="shared" si="227"/>
        <v>-1.6572919795503243E-3</v>
      </c>
      <c r="H2126" s="9">
        <f t="shared" si="228"/>
        <v>2.1959108402547022E-4</v>
      </c>
      <c r="I2126" s="9">
        <f t="shared" si="229"/>
        <v>-5.3568846185788395E-4</v>
      </c>
      <c r="J2126" s="9">
        <f t="shared" si="230"/>
        <v>17.239049719181551</v>
      </c>
    </row>
    <row r="2127" spans="2:10" x14ac:dyDescent="0.25">
      <c r="B2127" s="1">
        <v>41192</v>
      </c>
      <c r="C2127" s="13">
        <v>22.89</v>
      </c>
      <c r="D2127" s="6">
        <f t="shared" si="224"/>
        <v>7.9704082081994976E-3</v>
      </c>
      <c r="E2127" s="14">
        <f t="shared" si="225"/>
        <v>2.7961862703105108E-4</v>
      </c>
      <c r="F2127" s="9">
        <f t="shared" si="226"/>
        <v>17.23466714696551</v>
      </c>
      <c r="G2127" s="9">
        <f t="shared" si="227"/>
        <v>-0.83954616317432462</v>
      </c>
      <c r="H2127" s="9">
        <f t="shared" si="228"/>
        <v>-1.4718996526808439E-2</v>
      </c>
      <c r="I2127" s="9">
        <f t="shared" si="229"/>
        <v>-1.4708424130773765E-2</v>
      </c>
      <c r="J2127" s="9">
        <f t="shared" si="230"/>
        <v>16.3656935631336</v>
      </c>
    </row>
    <row r="2128" spans="2:10" x14ac:dyDescent="0.25">
      <c r="B2128" s="1">
        <v>41191</v>
      </c>
      <c r="C2128" s="13">
        <v>22.709</v>
      </c>
      <c r="D2128" s="6">
        <f t="shared" ref="D2128:D2191" si="231">C2128/C2129-1</f>
        <v>-3.641628641628758E-3</v>
      </c>
      <c r="E2128" s="14">
        <f t="shared" ref="E2128:E2191" si="232">_xlfn.VAR.S(D2128:D2248)</f>
        <v>2.8939546003514183E-4</v>
      </c>
      <c r="F2128" s="9">
        <f t="shared" si="226"/>
        <v>17.200299648822678</v>
      </c>
      <c r="G2128" s="9">
        <f t="shared" si="227"/>
        <v>-6.9720278850425518E-2</v>
      </c>
      <c r="H2128" s="9">
        <f t="shared" si="228"/>
        <v>1.7143424716709862E-2</v>
      </c>
      <c r="I2128" s="9">
        <f t="shared" si="229"/>
        <v>-0.32557405088049068</v>
      </c>
      <c r="J2128" s="9">
        <f t="shared" si="230"/>
        <v>16.822148743808473</v>
      </c>
    </row>
    <row r="2129" spans="2:10" x14ac:dyDescent="0.25">
      <c r="B2129" s="1">
        <v>41190</v>
      </c>
      <c r="C2129" s="13">
        <v>22.792000000000002</v>
      </c>
      <c r="D2129" s="6">
        <f t="shared" si="231"/>
        <v>-2.2096365898656933E-2</v>
      </c>
      <c r="E2129" s="14">
        <f t="shared" si="232"/>
        <v>2.8931524399696765E-4</v>
      </c>
      <c r="F2129" s="9">
        <f t="shared" ref="F2129:F2192" si="233">LN(2*PI())-LN($C$6)-LN(E2129)-0.5*LN(1-POWER($C$7,2))</f>
        <v>17.200576872098932</v>
      </c>
      <c r="G2129" s="9">
        <f t="shared" ref="G2129:G2192" si="234">-POWER(D2128-1-$C$3,2)/(2*E2129*(1-POWER($C$7,2)))</f>
        <v>-4.8120998968326029E-2</v>
      </c>
      <c r="H2129" s="9">
        <f t="shared" ref="H2129:H2192" si="235">$C$7*(D2128-1-$C$3)*(E2128-E2129-$C$5*$C$4)/(E2129*$C$6*(1-POWER($C$7,2)))</f>
        <v>-9.7061064953479661E-4</v>
      </c>
      <c r="I2129" s="9">
        <f t="shared" ref="I2129:I2192" si="236">-POWER(E2128-E2129-$C$5*$C$4+$C$4*E2129,2)/(2*POWER($C$6,2)*E2129*(1-POWER($C$7,2)))</f>
        <v>-1.8714111625007336E-4</v>
      </c>
      <c r="J2129" s="9">
        <f t="shared" ref="J2129:J2192" si="237">SUM(F2129:I2129)</f>
        <v>17.151298121364821</v>
      </c>
    </row>
    <row r="2130" spans="2:10" x14ac:dyDescent="0.25">
      <c r="B2130" s="1">
        <v>41187</v>
      </c>
      <c r="C2130" s="13">
        <v>23.306999999999999</v>
      </c>
      <c r="D2130" s="6">
        <f t="shared" si="231"/>
        <v>-2.1289997480473777E-2</v>
      </c>
      <c r="E2130" s="14">
        <f t="shared" si="232"/>
        <v>3.0589438324310931E-4</v>
      </c>
      <c r="F2130" s="9">
        <f t="shared" si="233"/>
        <v>17.144853885815714</v>
      </c>
      <c r="G2130" s="9">
        <f t="shared" si="234"/>
        <v>-0.92267160371249657</v>
      </c>
      <c r="H2130" s="9">
        <f t="shared" si="235"/>
        <v>-9.9668634844408258E-2</v>
      </c>
      <c r="I2130" s="9">
        <f t="shared" si="236"/>
        <v>-0.8599031329413539</v>
      </c>
      <c r="J2130" s="9">
        <f t="shared" si="237"/>
        <v>15.262610514317453</v>
      </c>
    </row>
    <row r="2131" spans="2:10" x14ac:dyDescent="0.25">
      <c r="B2131" s="1">
        <v>41186</v>
      </c>
      <c r="C2131" s="13">
        <v>23.814</v>
      </c>
      <c r="D2131" s="6">
        <f t="shared" si="231"/>
        <v>-6.9224353628023483E-3</v>
      </c>
      <c r="E2131" s="14">
        <f t="shared" si="232"/>
        <v>3.167858960446259E-4</v>
      </c>
      <c r="F2131" s="9">
        <f t="shared" si="233"/>
        <v>17.109867636500795</v>
      </c>
      <c r="G2131" s="9">
        <f t="shared" si="234"/>
        <v>-0.83141161749314862</v>
      </c>
      <c r="H2131" s="9">
        <f t="shared" si="235"/>
        <v>-6.2546097715580187E-2</v>
      </c>
      <c r="I2131" s="9">
        <f t="shared" si="236"/>
        <v>-0.36374564901477241</v>
      </c>
      <c r="J2131" s="9">
        <f t="shared" si="237"/>
        <v>15.852164272277294</v>
      </c>
    </row>
    <row r="2132" spans="2:10" x14ac:dyDescent="0.25">
      <c r="B2132" s="1">
        <v>41185</v>
      </c>
      <c r="C2132" s="13">
        <v>23.98</v>
      </c>
      <c r="D2132" s="6">
        <f t="shared" si="231"/>
        <v>1.5327292742823406E-2</v>
      </c>
      <c r="E2132" s="14">
        <f t="shared" si="232"/>
        <v>3.2331660896274788E-4</v>
      </c>
      <c r="F2132" s="9">
        <f t="shared" si="233"/>
        <v>17.089461718754798</v>
      </c>
      <c r="G2132" s="9">
        <f t="shared" si="234"/>
        <v>-0.11337976699030043</v>
      </c>
      <c r="H2132" s="9">
        <f t="shared" si="235"/>
        <v>-1.4335937967482568E-2</v>
      </c>
      <c r="I2132" s="9">
        <f t="shared" si="236"/>
        <v>-0.13199591398961288</v>
      </c>
      <c r="J2132" s="9">
        <f t="shared" si="237"/>
        <v>16.829750099807402</v>
      </c>
    </row>
    <row r="2133" spans="2:10" x14ac:dyDescent="0.25">
      <c r="B2133" s="1">
        <v>41184</v>
      </c>
      <c r="C2133" s="13">
        <v>23.617999999999999</v>
      </c>
      <c r="D2133" s="6">
        <f t="shared" si="231"/>
        <v>2.8874734607218233E-3</v>
      </c>
      <c r="E2133" s="14">
        <f t="shared" si="232"/>
        <v>3.2184746928904236E-4</v>
      </c>
      <c r="F2133" s="9">
        <f t="shared" si="233"/>
        <v>17.094016039934843</v>
      </c>
      <c r="G2133" s="9">
        <f t="shared" si="234"/>
        <v>-0.29244267878055757</v>
      </c>
      <c r="H2133" s="9">
        <f t="shared" si="235"/>
        <v>-2.1030069965160647E-3</v>
      </c>
      <c r="I2133" s="9">
        <f t="shared" si="236"/>
        <v>-4.137830709405689E-3</v>
      </c>
      <c r="J2133" s="9">
        <f t="shared" si="237"/>
        <v>16.795332523448362</v>
      </c>
    </row>
    <row r="2134" spans="2:10" x14ac:dyDescent="0.25">
      <c r="B2134" s="1">
        <v>41183</v>
      </c>
      <c r="C2134" s="13">
        <v>23.55</v>
      </c>
      <c r="D2134" s="6">
        <f t="shared" si="231"/>
        <v>-1.1542497376705096E-2</v>
      </c>
      <c r="E2134" s="14">
        <f t="shared" si="232"/>
        <v>3.2194645355568204E-4</v>
      </c>
      <c r="F2134" s="9">
        <f t="shared" si="233"/>
        <v>17.093708536978053</v>
      </c>
      <c r="G2134" s="9">
        <f t="shared" si="234"/>
        <v>-2.4734130266054035E-3</v>
      </c>
      <c r="H2134" s="9">
        <f t="shared" si="235"/>
        <v>2.604663335016866E-4</v>
      </c>
      <c r="I2134" s="9">
        <f t="shared" si="236"/>
        <v>-3.8712157008419522E-4</v>
      </c>
      <c r="J2134" s="9">
        <f t="shared" si="237"/>
        <v>17.091108468714861</v>
      </c>
    </row>
    <row r="2135" spans="2:10" x14ac:dyDescent="0.25">
      <c r="B2135" s="1">
        <v>41180</v>
      </c>
      <c r="C2135" s="13">
        <v>23.824999999999999</v>
      </c>
      <c r="D2135" s="6">
        <f t="shared" si="231"/>
        <v>-2.0876998315045414E-2</v>
      </c>
      <c r="E2135" s="14">
        <f t="shared" si="232"/>
        <v>3.220992905325241E-4</v>
      </c>
      <c r="F2135" s="9">
        <f t="shared" si="233"/>
        <v>17.093233921685229</v>
      </c>
      <c r="G2135" s="9">
        <f t="shared" si="234"/>
        <v>-0.27003801647522108</v>
      </c>
      <c r="H2135" s="9">
        <f t="shared" si="235"/>
        <v>-2.8837150037404652E-3</v>
      </c>
      <c r="I2135" s="9">
        <f t="shared" si="236"/>
        <v>-5.0810827852620726E-4</v>
      </c>
      <c r="J2135" s="9">
        <f t="shared" si="237"/>
        <v>16.819804081927739</v>
      </c>
    </row>
    <row r="2136" spans="2:10" x14ac:dyDescent="0.25">
      <c r="B2136" s="1">
        <v>41179</v>
      </c>
      <c r="C2136" s="13">
        <v>24.332999999999998</v>
      </c>
      <c r="D2136" s="6">
        <f t="shared" si="231"/>
        <v>2.4288600774541091E-2</v>
      </c>
      <c r="E2136" s="14">
        <f t="shared" si="232"/>
        <v>3.1833374297311588E-4</v>
      </c>
      <c r="F2136" s="9">
        <f t="shared" si="233"/>
        <v>17.104993436750526</v>
      </c>
      <c r="G2136" s="9">
        <f t="shared" si="234"/>
        <v>-0.79781726905910977</v>
      </c>
      <c r="H2136" s="9">
        <f t="shared" si="235"/>
        <v>1.5496690172472884E-2</v>
      </c>
      <c r="I2136" s="9">
        <f t="shared" si="236"/>
        <v>-3.5372354218583438E-2</v>
      </c>
      <c r="J2136" s="9">
        <f t="shared" si="237"/>
        <v>16.287300503645305</v>
      </c>
    </row>
    <row r="2137" spans="2:10" x14ac:dyDescent="0.25">
      <c r="B2137" s="1">
        <v>41178</v>
      </c>
      <c r="C2137" s="13">
        <v>23.756</v>
      </c>
      <c r="D2137" s="6">
        <f t="shared" si="231"/>
        <v>-1.2429848264394083E-2</v>
      </c>
      <c r="E2137" s="14">
        <f t="shared" si="232"/>
        <v>3.1539874706441748E-4</v>
      </c>
      <c r="F2137" s="9">
        <f t="shared" si="233"/>
        <v>17.114256073396611</v>
      </c>
      <c r="G2137" s="9">
        <f t="shared" si="234"/>
        <v>-0.81650924756324772</v>
      </c>
      <c r="H2137" s="9">
        <f t="shared" si="235"/>
        <v>-1.1337445382943822E-2</v>
      </c>
      <c r="I2137" s="9">
        <f t="shared" si="236"/>
        <v>-2.0659963531873472E-2</v>
      </c>
      <c r="J2137" s="9">
        <f t="shared" si="237"/>
        <v>16.265749416918549</v>
      </c>
    </row>
    <row r="2138" spans="2:10" x14ac:dyDescent="0.25">
      <c r="B2138" s="1">
        <v>41177</v>
      </c>
      <c r="C2138" s="13">
        <v>24.055</v>
      </c>
      <c r="D2138" s="6">
        <f t="shared" si="231"/>
        <v>-2.4968586599651399E-2</v>
      </c>
      <c r="E2138" s="14">
        <f t="shared" si="232"/>
        <v>3.1458791470578888E-4</v>
      </c>
      <c r="F2138" s="9">
        <f t="shared" si="233"/>
        <v>17.116830200296612</v>
      </c>
      <c r="G2138" s="9">
        <f t="shared" si="234"/>
        <v>-0.31499865849617525</v>
      </c>
      <c r="H2138" s="9">
        <f t="shared" si="235"/>
        <v>3.25393094273985E-5</v>
      </c>
      <c r="I2138" s="9">
        <f t="shared" si="236"/>
        <v>-8.2594348801557716E-4</v>
      </c>
      <c r="J2138" s="9">
        <f t="shared" si="237"/>
        <v>16.801038137621845</v>
      </c>
    </row>
    <row r="2139" spans="2:10" x14ac:dyDescent="0.25">
      <c r="B2139" s="1">
        <v>41176</v>
      </c>
      <c r="C2139" s="13">
        <v>24.670999999999999</v>
      </c>
      <c r="D2139" s="6">
        <f t="shared" si="231"/>
        <v>-1.3278406591209047E-2</v>
      </c>
      <c r="E2139" s="14">
        <f t="shared" si="232"/>
        <v>3.1125694604518532E-4</v>
      </c>
      <c r="F2139" s="9">
        <f t="shared" si="233"/>
        <v>17.127475011247917</v>
      </c>
      <c r="G2139" s="9">
        <f t="shared" si="234"/>
        <v>-1.1396323248931375</v>
      </c>
      <c r="H2139" s="9">
        <f t="shared" si="235"/>
        <v>1.5984849206982111E-2</v>
      </c>
      <c r="I2139" s="9">
        <f t="shared" si="236"/>
        <v>-2.7518810095519406E-2</v>
      </c>
      <c r="J2139" s="9">
        <f t="shared" si="237"/>
        <v>15.976308725466241</v>
      </c>
    </row>
    <row r="2140" spans="2:10" x14ac:dyDescent="0.25">
      <c r="B2140" s="1">
        <v>41173</v>
      </c>
      <c r="C2140" s="13">
        <v>25.003</v>
      </c>
      <c r="D2140" s="6">
        <f t="shared" si="231"/>
        <v>1.9636130480082947E-3</v>
      </c>
      <c r="E2140" s="14">
        <f t="shared" si="232"/>
        <v>3.1727639582651617E-4</v>
      </c>
      <c r="F2140" s="9">
        <f t="shared" si="233"/>
        <v>17.108320470280624</v>
      </c>
      <c r="G2140" s="9">
        <f t="shared" si="234"/>
        <v>-0.35117491759788949</v>
      </c>
      <c r="H2140" s="9">
        <f t="shared" si="235"/>
        <v>-2.3693144187719523E-2</v>
      </c>
      <c r="I2140" s="9">
        <f t="shared" si="236"/>
        <v>-0.11540006547437315</v>
      </c>
      <c r="J2140" s="9">
        <f t="shared" si="237"/>
        <v>16.618052343020643</v>
      </c>
    </row>
    <row r="2141" spans="2:10" x14ac:dyDescent="0.25">
      <c r="B2141" s="1">
        <v>41172</v>
      </c>
      <c r="C2141" s="13">
        <v>24.954000000000001</v>
      </c>
      <c r="D2141" s="6">
        <f t="shared" si="231"/>
        <v>-4.8255234297107652E-3</v>
      </c>
      <c r="E2141" s="14">
        <f t="shared" si="232"/>
        <v>3.2005031760587373E-4</v>
      </c>
      <c r="F2141" s="9">
        <f t="shared" si="233"/>
        <v>17.099615549438042</v>
      </c>
      <c r="G2141" s="9">
        <f t="shared" si="234"/>
        <v>-1.7717252818286077E-4</v>
      </c>
      <c r="H2141" s="9">
        <f t="shared" si="235"/>
        <v>2.7772917650576974E-4</v>
      </c>
      <c r="I2141" s="9">
        <f t="shared" si="236"/>
        <v>-2.676997457260483E-2</v>
      </c>
      <c r="J2141" s="9">
        <f t="shared" si="237"/>
        <v>17.07294613151376</v>
      </c>
    </row>
    <row r="2142" spans="2:10" x14ac:dyDescent="0.25">
      <c r="B2142" s="1">
        <v>41171</v>
      </c>
      <c r="C2142" s="13">
        <v>25.074999999999999</v>
      </c>
      <c r="D2142" s="6">
        <f t="shared" si="231"/>
        <v>2.7924046593263974E-4</v>
      </c>
      <c r="E2142" s="14">
        <f t="shared" si="232"/>
        <v>3.2133143630879861E-4</v>
      </c>
      <c r="F2142" s="9">
        <f t="shared" si="233"/>
        <v>17.095620673067174</v>
      </c>
      <c r="G2142" s="9">
        <f t="shared" si="234"/>
        <v>-6.4983962508247103E-2</v>
      </c>
      <c r="H2142" s="9">
        <f t="shared" si="235"/>
        <v>-3.0916939410328271E-3</v>
      </c>
      <c r="I2142" s="9">
        <f t="shared" si="236"/>
        <v>-6.9111252631159975E-3</v>
      </c>
      <c r="J2142" s="9">
        <f t="shared" si="237"/>
        <v>17.020633891354777</v>
      </c>
    </row>
    <row r="2143" spans="2:10" x14ac:dyDescent="0.25">
      <c r="B2143" s="1">
        <v>41170</v>
      </c>
      <c r="C2143" s="13">
        <v>25.068000000000001</v>
      </c>
      <c r="D2143" s="6">
        <f t="shared" si="231"/>
        <v>3.0409731113956173E-3</v>
      </c>
      <c r="E2143" s="14">
        <f t="shared" si="232"/>
        <v>3.2144833845931315E-4</v>
      </c>
      <c r="F2143" s="9">
        <f t="shared" si="233"/>
        <v>17.095256933707624</v>
      </c>
      <c r="G2143" s="9">
        <f t="shared" si="234"/>
        <v>-2.8352520838237495E-3</v>
      </c>
      <c r="H2143" s="9">
        <f t="shared" si="235"/>
        <v>-2.8464067682266748E-4</v>
      </c>
      <c r="I2143" s="9">
        <f t="shared" si="236"/>
        <v>-4.2829884114163662E-4</v>
      </c>
      <c r="J2143" s="9">
        <f t="shared" si="237"/>
        <v>17.091708742105833</v>
      </c>
    </row>
    <row r="2144" spans="2:10" x14ac:dyDescent="0.25">
      <c r="B2144" s="1">
        <v>41169</v>
      </c>
      <c r="C2144" s="13">
        <v>24.992000000000001</v>
      </c>
      <c r="D2144" s="6">
        <f t="shared" si="231"/>
        <v>1.2272672040179788E-2</v>
      </c>
      <c r="E2144" s="14">
        <f t="shared" si="232"/>
        <v>3.2244359874307905E-4</v>
      </c>
      <c r="F2144" s="9">
        <f t="shared" si="233"/>
        <v>17.092165542066017</v>
      </c>
      <c r="G2144" s="9">
        <f t="shared" si="234"/>
        <v>-3.1079034564987533E-3</v>
      </c>
      <c r="H2144" s="9">
        <f t="shared" si="235"/>
        <v>5.8229108866901991E-4</v>
      </c>
      <c r="I2144" s="9">
        <f t="shared" si="236"/>
        <v>-4.5684512231476907E-3</v>
      </c>
      <c r="J2144" s="9">
        <f t="shared" si="237"/>
        <v>17.08507147847504</v>
      </c>
    </row>
    <row r="2145" spans="2:10" x14ac:dyDescent="0.25">
      <c r="B2145" s="1">
        <v>41166</v>
      </c>
      <c r="C2145" s="13">
        <v>24.689</v>
      </c>
      <c r="D2145" s="6">
        <f t="shared" si="231"/>
        <v>1.2176123319121102E-2</v>
      </c>
      <c r="E2145" s="14">
        <f t="shared" si="232"/>
        <v>3.2384834141031599E-4</v>
      </c>
      <c r="F2145" s="9">
        <f t="shared" si="233"/>
        <v>17.087818451248069</v>
      </c>
      <c r="G2145" s="9">
        <f t="shared" si="234"/>
        <v>-0.17548067678542062</v>
      </c>
      <c r="H2145" s="9">
        <f t="shared" si="235"/>
        <v>5.3612167224337051E-3</v>
      </c>
      <c r="I2145" s="9">
        <f t="shared" si="236"/>
        <v>-7.954824107796089E-3</v>
      </c>
      <c r="J2145" s="9">
        <f t="shared" si="237"/>
        <v>16.909744167077289</v>
      </c>
    </row>
    <row r="2146" spans="2:10" x14ac:dyDescent="0.25">
      <c r="B2146" s="1">
        <v>41165</v>
      </c>
      <c r="C2146" s="13">
        <v>24.391999999999999</v>
      </c>
      <c r="D2146" s="6">
        <f t="shared" si="231"/>
        <v>1.9689812298816944E-2</v>
      </c>
      <c r="E2146" s="14">
        <f t="shared" si="232"/>
        <v>3.2324744644877766E-4</v>
      </c>
      <c r="F2146" s="9">
        <f t="shared" si="233"/>
        <v>17.089675657385179</v>
      </c>
      <c r="G2146" s="9">
        <f t="shared" si="234"/>
        <v>-0.17263235199485591</v>
      </c>
      <c r="H2146" s="9">
        <f t="shared" si="235"/>
        <v>4.8281971655388139E-4</v>
      </c>
      <c r="I2146" s="9">
        <f t="shared" si="236"/>
        <v>-3.2021180657718128E-4</v>
      </c>
      <c r="J2146" s="9">
        <f t="shared" si="237"/>
        <v>16.917205913300297</v>
      </c>
    </row>
    <row r="2147" spans="2:10" x14ac:dyDescent="0.25">
      <c r="B2147" s="1">
        <v>41164</v>
      </c>
      <c r="C2147" s="13">
        <v>23.920999999999999</v>
      </c>
      <c r="D2147" s="6">
        <f t="shared" si="231"/>
        <v>1.3902428686474844E-2</v>
      </c>
      <c r="E2147" s="14">
        <f t="shared" si="232"/>
        <v>3.2071852240898234E-4</v>
      </c>
      <c r="F2147" s="9">
        <f t="shared" si="233"/>
        <v>17.097529914171162</v>
      </c>
      <c r="G2147" s="9">
        <f t="shared" si="234"/>
        <v>-0.51013273671649439</v>
      </c>
      <c r="H2147" s="9">
        <f t="shared" si="235"/>
        <v>-7.1957494668175919E-3</v>
      </c>
      <c r="I2147" s="9">
        <f t="shared" si="236"/>
        <v>-1.4693625359461908E-2</v>
      </c>
      <c r="J2147" s="9">
        <f t="shared" si="237"/>
        <v>16.565507802628389</v>
      </c>
    </row>
    <row r="2148" spans="2:10" x14ac:dyDescent="0.25">
      <c r="B2148" s="1">
        <v>41163</v>
      </c>
      <c r="C2148" s="13">
        <v>23.593</v>
      </c>
      <c r="D2148" s="6">
        <f t="shared" si="231"/>
        <v>-3.2109510329967339E-3</v>
      </c>
      <c r="E2148" s="14">
        <f t="shared" si="232"/>
        <v>3.1968767235464307E-4</v>
      </c>
      <c r="F2148" s="9">
        <f t="shared" si="233"/>
        <v>17.100749280108303</v>
      </c>
      <c r="G2148" s="9">
        <f t="shared" si="234"/>
        <v>-0.23636111855060593</v>
      </c>
      <c r="H2148" s="9">
        <f t="shared" si="235"/>
        <v>-6.5263063542523149E-4</v>
      </c>
      <c r="I2148" s="9">
        <f t="shared" si="236"/>
        <v>-1.6638232236538455E-3</v>
      </c>
      <c r="J2148" s="9">
        <f t="shared" si="237"/>
        <v>16.862071707698618</v>
      </c>
    </row>
    <row r="2149" spans="2:10" x14ac:dyDescent="0.25">
      <c r="B2149" s="1">
        <v>41162</v>
      </c>
      <c r="C2149" s="13">
        <v>23.669</v>
      </c>
      <c r="D2149" s="6">
        <f t="shared" si="231"/>
        <v>-2.6007160199168711E-2</v>
      </c>
      <c r="E2149" s="14">
        <f t="shared" si="232"/>
        <v>3.199706601808858E-4</v>
      </c>
      <c r="F2149" s="9">
        <f t="shared" si="233"/>
        <v>17.099864470733323</v>
      </c>
      <c r="G2149" s="9">
        <f t="shared" si="234"/>
        <v>-3.6688391591627414E-2</v>
      </c>
      <c r="H2149" s="9">
        <f t="shared" si="235"/>
        <v>-1.2119791289412912E-3</v>
      </c>
      <c r="I2149" s="9">
        <f t="shared" si="236"/>
        <v>-8.8796130425772995E-4</v>
      </c>
      <c r="J2149" s="9">
        <f t="shared" si="237"/>
        <v>17.061076138708493</v>
      </c>
    </row>
    <row r="2150" spans="2:10" x14ac:dyDescent="0.25">
      <c r="B2150" s="1">
        <v>41159</v>
      </c>
      <c r="C2150" s="13">
        <v>24.300999999999998</v>
      </c>
      <c r="D2150" s="6">
        <f t="shared" si="231"/>
        <v>6.1276031962902433E-3</v>
      </c>
      <c r="E2150" s="14">
        <f t="shared" si="232"/>
        <v>3.1916922010620253E-4</v>
      </c>
      <c r="F2150" s="9">
        <f t="shared" si="233"/>
        <v>17.102372342701422</v>
      </c>
      <c r="G2150" s="9">
        <f t="shared" si="234"/>
        <v>-1.1998743658253039</v>
      </c>
      <c r="H2150" s="9">
        <f t="shared" si="235"/>
        <v>2.9188836064659873E-6</v>
      </c>
      <c r="I2150" s="9">
        <f t="shared" si="236"/>
        <v>-8.0853325658224162E-4</v>
      </c>
      <c r="J2150" s="9">
        <f t="shared" si="237"/>
        <v>15.901692362503141</v>
      </c>
    </row>
    <row r="2151" spans="2:10" x14ac:dyDescent="0.25">
      <c r="B2151" s="1">
        <v>41158</v>
      </c>
      <c r="C2151" s="13">
        <v>24.152999999999999</v>
      </c>
      <c r="D2151" s="6">
        <f t="shared" si="231"/>
        <v>9.0236871788442752E-3</v>
      </c>
      <c r="E2151" s="14">
        <f t="shared" si="232"/>
        <v>3.1899650566395829E-4</v>
      </c>
      <c r="F2151" s="9">
        <f t="shared" si="233"/>
        <v>17.102913626695489</v>
      </c>
      <c r="G2151" s="9">
        <f t="shared" si="234"/>
        <v>-3.1837684504639509E-2</v>
      </c>
      <c r="H2151" s="9">
        <f t="shared" si="235"/>
        <v>6.5537779712724622E-4</v>
      </c>
      <c r="I2151" s="9">
        <f t="shared" si="236"/>
        <v>-2.9241078344975849E-5</v>
      </c>
      <c r="J2151" s="9">
        <f t="shared" si="237"/>
        <v>17.071702078909631</v>
      </c>
    </row>
    <row r="2152" spans="2:10" x14ac:dyDescent="0.25">
      <c r="B2152" s="1">
        <v>41157</v>
      </c>
      <c r="C2152" s="13">
        <v>23.937000000000001</v>
      </c>
      <c r="D2152" s="6">
        <f t="shared" si="231"/>
        <v>-7.010702729610907E-3</v>
      </c>
      <c r="E2152" s="14">
        <f t="shared" si="232"/>
        <v>3.1904021189609294E-4</v>
      </c>
      <c r="F2152" s="9">
        <f t="shared" si="233"/>
        <v>17.102776624447813</v>
      </c>
      <c r="G2152" s="9">
        <f t="shared" si="234"/>
        <v>-8.5988701283500377E-2</v>
      </c>
      <c r="H2152" s="9">
        <f t="shared" si="235"/>
        <v>1.447982657849913E-3</v>
      </c>
      <c r="I2152" s="9">
        <f t="shared" si="236"/>
        <v>-2.9066866231243417E-4</v>
      </c>
      <c r="J2152" s="9">
        <f t="shared" si="237"/>
        <v>17.01794523715985</v>
      </c>
    </row>
    <row r="2153" spans="2:10" x14ac:dyDescent="0.25">
      <c r="B2153" s="1">
        <v>41156</v>
      </c>
      <c r="C2153" s="13">
        <v>24.106000000000002</v>
      </c>
      <c r="D2153" s="6">
        <f t="shared" si="231"/>
        <v>1.4604991792583899E-2</v>
      </c>
      <c r="E2153" s="14">
        <f t="shared" si="232"/>
        <v>3.2949298046183322E-4</v>
      </c>
      <c r="F2153" s="9">
        <f t="shared" si="233"/>
        <v>17.070538725279192</v>
      </c>
      <c r="G2153" s="9">
        <f t="shared" si="234"/>
        <v>-0.11356347857811817</v>
      </c>
      <c r="H2153" s="9">
        <f t="shared" si="235"/>
        <v>-2.1815313386624579E-2</v>
      </c>
      <c r="I2153" s="9">
        <f t="shared" si="236"/>
        <v>-0.32151661101611945</v>
      </c>
      <c r="J2153" s="9">
        <f t="shared" si="237"/>
        <v>16.61364332229833</v>
      </c>
    </row>
    <row r="2154" spans="2:10" x14ac:dyDescent="0.25">
      <c r="B2154" s="1">
        <v>41152</v>
      </c>
      <c r="C2154" s="13">
        <v>23.759</v>
      </c>
      <c r="D2154" s="6">
        <f t="shared" si="231"/>
        <v>2.0666385491354688E-3</v>
      </c>
      <c r="E2154" s="14">
        <f t="shared" si="232"/>
        <v>3.34404994301969E-4</v>
      </c>
      <c r="F2154" s="9">
        <f t="shared" si="233"/>
        <v>17.055740959176298</v>
      </c>
      <c r="G2154" s="9">
        <f t="shared" si="234"/>
        <v>-0.25256441595381524</v>
      </c>
      <c r="H2154" s="9">
        <f t="shared" si="235"/>
        <v>1.6393874389424159E-2</v>
      </c>
      <c r="I2154" s="9">
        <f t="shared" si="236"/>
        <v>-7.3546745271919345E-2</v>
      </c>
      <c r="J2154" s="9">
        <f t="shared" si="237"/>
        <v>16.746023672339987</v>
      </c>
    </row>
    <row r="2155" spans="2:10" x14ac:dyDescent="0.25">
      <c r="B2155" s="1">
        <v>41151</v>
      </c>
      <c r="C2155" s="13">
        <v>23.71</v>
      </c>
      <c r="D2155" s="6">
        <f t="shared" si="231"/>
        <v>-1.4219191751205673E-2</v>
      </c>
      <c r="E2155" s="14">
        <f t="shared" si="232"/>
        <v>3.3537284179356607E-4</v>
      </c>
      <c r="F2155" s="9">
        <f t="shared" si="233"/>
        <v>17.052850901867458</v>
      </c>
      <c r="G2155" s="9">
        <f t="shared" si="234"/>
        <v>-2.8855427050827756E-4</v>
      </c>
      <c r="H2155" s="9">
        <f t="shared" si="235"/>
        <v>1.713184492481282E-4</v>
      </c>
      <c r="I2155" s="9">
        <f t="shared" si="236"/>
        <v>-4.0593702856255862E-3</v>
      </c>
      <c r="J2155" s="9">
        <f t="shared" si="237"/>
        <v>17.048674295760573</v>
      </c>
    </row>
    <row r="2156" spans="2:10" x14ac:dyDescent="0.25">
      <c r="B2156" s="1">
        <v>41150</v>
      </c>
      <c r="C2156" s="13">
        <v>24.052</v>
      </c>
      <c r="D2156" s="6">
        <f t="shared" si="231"/>
        <v>-1.9917012448134042E-3</v>
      </c>
      <c r="E2156" s="14">
        <f t="shared" si="232"/>
        <v>3.3334461014831817E-4</v>
      </c>
      <c r="F2156" s="9">
        <f t="shared" si="233"/>
        <v>17.058916955202115</v>
      </c>
      <c r="G2156" s="9">
        <f t="shared" si="234"/>
        <v>-0.37777113223136605</v>
      </c>
      <c r="H2156" s="9">
        <f t="shared" si="235"/>
        <v>4.3138758978276672E-3</v>
      </c>
      <c r="I2156" s="9">
        <f t="shared" si="236"/>
        <v>-8.7686229895716315E-3</v>
      </c>
      <c r="J2156" s="9">
        <f t="shared" si="237"/>
        <v>16.676691075879006</v>
      </c>
    </row>
    <row r="2157" spans="2:10" x14ac:dyDescent="0.25">
      <c r="B2157" s="1">
        <v>41149</v>
      </c>
      <c r="C2157" s="13">
        <v>24.1</v>
      </c>
      <c r="D2157" s="6">
        <f t="shared" si="231"/>
        <v>-1.2846545936761045E-3</v>
      </c>
      <c r="E2157" s="14">
        <f t="shared" si="232"/>
        <v>3.3629931876905046E-4</v>
      </c>
      <c r="F2157" s="9">
        <f t="shared" si="233"/>
        <v>17.050092182309122</v>
      </c>
      <c r="G2157" s="9">
        <f t="shared" si="234"/>
        <v>-1.9530639485951927E-2</v>
      </c>
      <c r="H2157" s="9">
        <f t="shared" si="235"/>
        <v>-2.9884990658343292E-3</v>
      </c>
      <c r="I2157" s="9">
        <f t="shared" si="236"/>
        <v>-2.8116580093526609E-2</v>
      </c>
      <c r="J2157" s="9">
        <f t="shared" si="237"/>
        <v>16.999456463663805</v>
      </c>
    </row>
    <row r="2158" spans="2:10" x14ac:dyDescent="0.25">
      <c r="B2158" s="1">
        <v>41148</v>
      </c>
      <c r="C2158" s="13">
        <v>24.131</v>
      </c>
      <c r="D2158" s="6">
        <f t="shared" si="231"/>
        <v>1.874445898594157E-2</v>
      </c>
      <c r="E2158" s="14">
        <f t="shared" si="232"/>
        <v>3.3621600554786709E-4</v>
      </c>
      <c r="F2158" s="9">
        <f t="shared" si="233"/>
        <v>17.050339948326037</v>
      </c>
      <c r="G2158" s="9">
        <f t="shared" si="234"/>
        <v>-1.2647906417189901E-2</v>
      </c>
      <c r="H2158" s="9">
        <f t="shared" si="235"/>
        <v>-4.5961406784795377E-4</v>
      </c>
      <c r="I2158" s="9">
        <f t="shared" si="236"/>
        <v>-7.157280775693534E-5</v>
      </c>
      <c r="J2158" s="9">
        <f t="shared" si="237"/>
        <v>17.037160855033246</v>
      </c>
    </row>
    <row r="2159" spans="2:10" x14ac:dyDescent="0.25">
      <c r="B2159" s="1">
        <v>41145</v>
      </c>
      <c r="C2159" s="13">
        <v>23.687000000000001</v>
      </c>
      <c r="D2159" s="6">
        <f t="shared" si="231"/>
        <v>9.296429326008937E-4</v>
      </c>
      <c r="E2159" s="14">
        <f t="shared" si="232"/>
        <v>3.3436501815687519E-4</v>
      </c>
      <c r="F2159" s="9">
        <f t="shared" si="233"/>
        <v>17.055860510425298</v>
      </c>
      <c r="G2159" s="9">
        <f t="shared" si="234"/>
        <v>-0.43943366984558413</v>
      </c>
      <c r="H2159" s="9">
        <f t="shared" si="235"/>
        <v>-3.9746117739669681E-3</v>
      </c>
      <c r="I2159" s="9">
        <f t="shared" si="236"/>
        <v>-7.1014582458019688E-3</v>
      </c>
      <c r="J2159" s="9">
        <f t="shared" si="237"/>
        <v>16.605350770559944</v>
      </c>
    </row>
    <row r="2160" spans="2:10" x14ac:dyDescent="0.25">
      <c r="B2160" s="1">
        <v>41144</v>
      </c>
      <c r="C2160" s="13">
        <v>23.664999999999999</v>
      </c>
      <c r="D2160" s="6">
        <f t="shared" si="231"/>
        <v>-9.3352310783657577E-3</v>
      </c>
      <c r="E2160" s="14">
        <f t="shared" si="232"/>
        <v>3.3914109522958685E-4</v>
      </c>
      <c r="F2160" s="9">
        <f t="shared" si="233"/>
        <v>17.04167754448304</v>
      </c>
      <c r="G2160" s="9">
        <f t="shared" si="234"/>
        <v>-7.1980956381329831E-4</v>
      </c>
      <c r="H2160" s="9">
        <f t="shared" si="235"/>
        <v>-8.4838276537768122E-4</v>
      </c>
      <c r="I2160" s="9">
        <f t="shared" si="236"/>
        <v>-6.8534530829219911E-2</v>
      </c>
      <c r="J2160" s="9">
        <f t="shared" si="237"/>
        <v>16.971574821324634</v>
      </c>
    </row>
    <row r="2161" spans="2:10" x14ac:dyDescent="0.25">
      <c r="B2161" s="1">
        <v>41143</v>
      </c>
      <c r="C2161" s="13">
        <v>23.888000000000002</v>
      </c>
      <c r="D2161" s="6">
        <f t="shared" si="231"/>
        <v>1.950407579702107E-2</v>
      </c>
      <c r="E2161" s="14">
        <f t="shared" si="232"/>
        <v>3.3810539802798205E-4</v>
      </c>
      <c r="F2161" s="9">
        <f t="shared" si="233"/>
        <v>17.044736100029084</v>
      </c>
      <c r="G2161" s="9">
        <f t="shared" si="234"/>
        <v>-0.17824883901552702</v>
      </c>
      <c r="H2161" s="9">
        <f t="shared" si="235"/>
        <v>5.6272002162517903E-4</v>
      </c>
      <c r="I2161" s="9">
        <f t="shared" si="236"/>
        <v>-1.7230521397574344E-3</v>
      </c>
      <c r="J2161" s="9">
        <f t="shared" si="237"/>
        <v>16.865326928895428</v>
      </c>
    </row>
    <row r="2162" spans="2:10" x14ac:dyDescent="0.25">
      <c r="B2162" s="1">
        <v>41142</v>
      </c>
      <c r="C2162" s="13">
        <v>23.431000000000001</v>
      </c>
      <c r="D2162" s="6">
        <f t="shared" si="231"/>
        <v>-1.3639233845506138E-2</v>
      </c>
      <c r="E2162" s="14">
        <f t="shared" si="232"/>
        <v>3.3552471227859285E-4</v>
      </c>
      <c r="F2162" s="9">
        <f t="shared" si="233"/>
        <v>17.052398163631345</v>
      </c>
      <c r="G2162" s="9">
        <f t="shared" si="234"/>
        <v>-0.47764449312699786</v>
      </c>
      <c r="H2162" s="9">
        <f t="shared" si="235"/>
        <v>-7.0114065438517141E-3</v>
      </c>
      <c r="I2162" s="9">
        <f t="shared" si="236"/>
        <v>-1.5009679402721113E-2</v>
      </c>
      <c r="J2162" s="9">
        <f t="shared" si="237"/>
        <v>16.552732584557774</v>
      </c>
    </row>
    <row r="2163" spans="2:10" x14ac:dyDescent="0.25">
      <c r="B2163" s="1">
        <v>41141</v>
      </c>
      <c r="C2163" s="13">
        <v>23.754999999999999</v>
      </c>
      <c r="D2163" s="6">
        <f t="shared" si="231"/>
        <v>2.6266902838380846E-2</v>
      </c>
      <c r="E2163" s="14">
        <f t="shared" si="232"/>
        <v>3.3458597530406568E-4</v>
      </c>
      <c r="F2163" s="9">
        <f t="shared" si="233"/>
        <v>17.055199902526105</v>
      </c>
      <c r="G2163" s="9">
        <f t="shared" si="234"/>
        <v>-0.34932462852497803</v>
      </c>
      <c r="H2163" s="9">
        <f t="shared" si="235"/>
        <v>4.6476035205883032E-4</v>
      </c>
      <c r="I2163" s="9">
        <f t="shared" si="236"/>
        <v>-1.319620421547604E-3</v>
      </c>
      <c r="J2163" s="9">
        <f t="shared" si="237"/>
        <v>16.705020413931639</v>
      </c>
    </row>
    <row r="2164" spans="2:10" x14ac:dyDescent="0.25">
      <c r="B2164" s="1">
        <v>41138</v>
      </c>
      <c r="C2164" s="13">
        <v>23.146999999999998</v>
      </c>
      <c r="D2164" s="6">
        <f t="shared" si="231"/>
        <v>1.8525037402094435E-2</v>
      </c>
      <c r="E2164" s="14">
        <f t="shared" si="232"/>
        <v>3.3190297283655585E-4</v>
      </c>
      <c r="F2164" s="9">
        <f t="shared" si="233"/>
        <v>17.063251099678169</v>
      </c>
      <c r="G2164" s="9">
        <f t="shared" si="234"/>
        <v>-0.91729244317493419</v>
      </c>
      <c r="H2164" s="9">
        <f t="shared" si="235"/>
        <v>-1.0330944072105124E-2</v>
      </c>
      <c r="I2164" s="9">
        <f t="shared" si="236"/>
        <v>-1.6451265807470375E-2</v>
      </c>
      <c r="J2164" s="9">
        <f t="shared" si="237"/>
        <v>16.119176446623658</v>
      </c>
    </row>
    <row r="2165" spans="2:10" x14ac:dyDescent="0.25">
      <c r="B2165" s="1">
        <v>41137</v>
      </c>
      <c r="C2165" s="13">
        <v>22.725999999999999</v>
      </c>
      <c r="D2165" s="6">
        <f t="shared" si="231"/>
        <v>8.6995117620949358E-3</v>
      </c>
      <c r="E2165" s="14">
        <f t="shared" si="232"/>
        <v>3.2975527619524998E-4</v>
      </c>
      <c r="F2165" s="9">
        <f t="shared" si="233"/>
        <v>17.06974298332733</v>
      </c>
      <c r="G2165" s="9">
        <f t="shared" si="234"/>
        <v>-0.43422629961125325</v>
      </c>
      <c r="H2165" s="9">
        <f t="shared" si="235"/>
        <v>-5.1027571653239944E-3</v>
      </c>
      <c r="I2165" s="9">
        <f t="shared" si="236"/>
        <v>-1.003163540776235E-2</v>
      </c>
      <c r="J2165" s="9">
        <f t="shared" si="237"/>
        <v>16.620382291142988</v>
      </c>
    </row>
    <row r="2166" spans="2:10" x14ac:dyDescent="0.25">
      <c r="B2166" s="1">
        <v>41136</v>
      </c>
      <c r="C2166" s="13">
        <v>22.53</v>
      </c>
      <c r="D2166" s="6">
        <f t="shared" si="231"/>
        <v>-1.3297872340424233E-3</v>
      </c>
      <c r="E2166" s="14">
        <f t="shared" si="232"/>
        <v>3.3016809162468607E-4</v>
      </c>
      <c r="F2166" s="9">
        <f t="shared" si="233"/>
        <v>17.068491882052811</v>
      </c>
      <c r="G2166" s="9">
        <f t="shared" si="234"/>
        <v>-7.5966600247621488E-2</v>
      </c>
      <c r="H2166" s="9">
        <f t="shared" si="235"/>
        <v>1.9224657307886012E-3</v>
      </c>
      <c r="I2166" s="9">
        <f t="shared" si="236"/>
        <v>-1.2467838982801631E-3</v>
      </c>
      <c r="J2166" s="9">
        <f t="shared" si="237"/>
        <v>16.993200963637697</v>
      </c>
    </row>
    <row r="2167" spans="2:10" x14ac:dyDescent="0.25">
      <c r="B2167" s="1">
        <v>41135</v>
      </c>
      <c r="C2167" s="13">
        <v>22.56</v>
      </c>
      <c r="D2167" s="6">
        <f t="shared" si="231"/>
        <v>2.666666666666595E-3</v>
      </c>
      <c r="E2167" s="14">
        <f t="shared" si="232"/>
        <v>3.3026786946798006E-4</v>
      </c>
      <c r="F2167" s="9">
        <f t="shared" si="233"/>
        <v>17.06818972453889</v>
      </c>
      <c r="G2167" s="9">
        <f t="shared" si="234"/>
        <v>-1.3277904969494636E-2</v>
      </c>
      <c r="H2167" s="9">
        <f t="shared" si="235"/>
        <v>-5.9636136175864854E-4</v>
      </c>
      <c r="I2167" s="9">
        <f t="shared" si="236"/>
        <v>-3.5117871298809397E-4</v>
      </c>
      <c r="J2167" s="9">
        <f t="shared" si="237"/>
        <v>17.053964279494647</v>
      </c>
    </row>
    <row r="2168" spans="2:10" x14ac:dyDescent="0.25">
      <c r="B2168" s="1">
        <v>41134</v>
      </c>
      <c r="C2168" s="13">
        <v>22.5</v>
      </c>
      <c r="D2168" s="6">
        <f t="shared" si="231"/>
        <v>1.3330931363718213E-2</v>
      </c>
      <c r="E2168" s="14">
        <f t="shared" si="232"/>
        <v>3.3050465632099264E-4</v>
      </c>
      <c r="F2168" s="9">
        <f t="shared" si="233"/>
        <v>17.067473027479291</v>
      </c>
      <c r="G2168" s="9">
        <f t="shared" si="234"/>
        <v>-1.6389755335220473E-3</v>
      </c>
      <c r="H2168" s="9">
        <f t="shared" si="235"/>
        <v>2.4130526868474514E-4</v>
      </c>
      <c r="I2168" s="9">
        <f t="shared" si="236"/>
        <v>-6.7370884878081654E-4</v>
      </c>
      <c r="J2168" s="9">
        <f t="shared" si="237"/>
        <v>17.065401648365675</v>
      </c>
    </row>
    <row r="2169" spans="2:10" x14ac:dyDescent="0.25">
      <c r="B2169" s="1">
        <v>41131</v>
      </c>
      <c r="C2169" s="13">
        <v>22.204000000000001</v>
      </c>
      <c r="D2169" s="6">
        <f t="shared" si="231"/>
        <v>1.5787811809282459E-3</v>
      </c>
      <c r="E2169" s="14">
        <f t="shared" si="232"/>
        <v>3.3401081154550466E-4</v>
      </c>
      <c r="F2169" s="9">
        <f t="shared" si="233"/>
        <v>17.056920413039336</v>
      </c>
      <c r="G2169" s="9">
        <f t="shared" si="234"/>
        <v>-0.20565079536231851</v>
      </c>
      <c r="H2169" s="9">
        <f t="shared" si="235"/>
        <v>1.1159421665556491E-2</v>
      </c>
      <c r="I2169" s="9">
        <f t="shared" si="236"/>
        <v>-3.8987976927911991E-2</v>
      </c>
      <c r="J2169" s="9">
        <f t="shared" si="237"/>
        <v>16.823441062414663</v>
      </c>
    </row>
    <row r="2170" spans="2:10" x14ac:dyDescent="0.25">
      <c r="B2170" s="1">
        <v>41130</v>
      </c>
      <c r="C2170" s="13">
        <v>22.169</v>
      </c>
      <c r="D2170" s="6">
        <f t="shared" si="231"/>
        <v>1.4003071641521814E-3</v>
      </c>
      <c r="E2170" s="14">
        <f t="shared" si="232"/>
        <v>3.3404624722703502E-4</v>
      </c>
      <c r="F2170" s="9">
        <f t="shared" si="233"/>
        <v>17.056814327245917</v>
      </c>
      <c r="G2170" s="9">
        <f t="shared" si="234"/>
        <v>-3.5411181948576704E-6</v>
      </c>
      <c r="H2170" s="9">
        <f t="shared" si="235"/>
        <v>-8.9920572478057184E-6</v>
      </c>
      <c r="I2170" s="9">
        <f t="shared" si="236"/>
        <v>-2.22638843719257E-4</v>
      </c>
      <c r="J2170" s="9">
        <f t="shared" si="237"/>
        <v>17.056579155226757</v>
      </c>
    </row>
    <row r="2171" spans="2:10" x14ac:dyDescent="0.25">
      <c r="B2171" s="1">
        <v>41129</v>
      </c>
      <c r="C2171" s="13">
        <v>22.138000000000002</v>
      </c>
      <c r="D2171" s="6">
        <f t="shared" si="231"/>
        <v>-1.7135642135640561E-3</v>
      </c>
      <c r="E2171" s="14">
        <f t="shared" si="232"/>
        <v>3.3447171480685751E-4</v>
      </c>
      <c r="F2171" s="9">
        <f t="shared" si="233"/>
        <v>17.055541459016698</v>
      </c>
      <c r="G2171" s="9">
        <f t="shared" si="234"/>
        <v>-7.7286726969868748E-5</v>
      </c>
      <c r="H2171" s="9">
        <f t="shared" si="235"/>
        <v>-6.1558927981541052E-5</v>
      </c>
      <c r="I2171" s="9">
        <f t="shared" si="236"/>
        <v>-1.2512240898508431E-3</v>
      </c>
      <c r="J2171" s="9">
        <f t="shared" si="237"/>
        <v>17.054151389271894</v>
      </c>
    </row>
    <row r="2172" spans="2:10" x14ac:dyDescent="0.25">
      <c r="B2172" s="1">
        <v>41128</v>
      </c>
      <c r="C2172" s="13">
        <v>22.175999999999998</v>
      </c>
      <c r="D2172" s="6">
        <f t="shared" si="231"/>
        <v>-2.6086174327607514E-3</v>
      </c>
      <c r="E2172" s="14">
        <f t="shared" si="232"/>
        <v>3.3958412164967691E-4</v>
      </c>
      <c r="F2172" s="9">
        <f t="shared" si="233"/>
        <v>17.040372078082232</v>
      </c>
      <c r="G2172" s="9">
        <f t="shared" si="234"/>
        <v>-1.6482999105934638E-2</v>
      </c>
      <c r="H2172" s="9">
        <f t="shared" si="235"/>
        <v>-4.3017865126191036E-3</v>
      </c>
      <c r="I2172" s="9">
        <f t="shared" si="236"/>
        <v>-7.7910283338628428E-2</v>
      </c>
      <c r="J2172" s="9">
        <f t="shared" si="237"/>
        <v>16.941677009125048</v>
      </c>
    </row>
    <row r="2173" spans="2:10" x14ac:dyDescent="0.25">
      <c r="B2173" s="1">
        <v>41127</v>
      </c>
      <c r="C2173" s="13">
        <v>22.234000000000002</v>
      </c>
      <c r="D2173" s="6">
        <f t="shared" si="231"/>
        <v>1.1141934603665415E-2</v>
      </c>
      <c r="E2173" s="14">
        <f t="shared" si="232"/>
        <v>3.4057315464370007E-4</v>
      </c>
      <c r="F2173" s="9">
        <f t="shared" si="233"/>
        <v>17.037463828106549</v>
      </c>
      <c r="G2173" s="9">
        <f t="shared" si="234"/>
        <v>-2.6420914175307522E-2</v>
      </c>
      <c r="H2173" s="9">
        <f t="shared" si="235"/>
        <v>-1.6462422106178517E-3</v>
      </c>
      <c r="I2173" s="9">
        <f t="shared" si="236"/>
        <v>-4.0806744161729401E-3</v>
      </c>
      <c r="J2173" s="9">
        <f t="shared" si="237"/>
        <v>17.00531599730445</v>
      </c>
    </row>
    <row r="2174" spans="2:10" x14ac:dyDescent="0.25">
      <c r="B2174" s="1">
        <v>41124</v>
      </c>
      <c r="C2174" s="13">
        <v>21.989000000000001</v>
      </c>
      <c r="D2174" s="6">
        <f t="shared" si="231"/>
        <v>1.2991200995070784E-2</v>
      </c>
      <c r="E2174" s="14">
        <f t="shared" si="232"/>
        <v>3.4218061970184516E-4</v>
      </c>
      <c r="F2174" s="9">
        <f t="shared" si="233"/>
        <v>17.032755049953479</v>
      </c>
      <c r="G2174" s="9">
        <f t="shared" si="234"/>
        <v>-0.13267149929356614</v>
      </c>
      <c r="H2174" s="9">
        <f t="shared" si="235"/>
        <v>4.9518380718370112E-3</v>
      </c>
      <c r="I2174" s="9">
        <f t="shared" si="236"/>
        <v>-9.1632988561944524E-3</v>
      </c>
      <c r="J2174" s="9">
        <f t="shared" si="237"/>
        <v>16.895872089875557</v>
      </c>
    </row>
    <row r="2175" spans="2:10" x14ac:dyDescent="0.25">
      <c r="B2175" s="1">
        <v>41123</v>
      </c>
      <c r="C2175" s="13">
        <v>21.707000000000001</v>
      </c>
      <c r="D2175" s="6">
        <f t="shared" si="231"/>
        <v>1.6149870801034361E-3</v>
      </c>
      <c r="E2175" s="14">
        <f t="shared" si="232"/>
        <v>3.4118144686402373E-4</v>
      </c>
      <c r="F2175" s="9">
        <f t="shared" si="233"/>
        <v>17.035679337381005</v>
      </c>
      <c r="G2175" s="9">
        <f t="shared" si="234"/>
        <v>-0.18980996882576101</v>
      </c>
      <c r="H2175" s="9">
        <f t="shared" si="235"/>
        <v>-4.88105265211971E-4</v>
      </c>
      <c r="I2175" s="9">
        <f t="shared" si="236"/>
        <v>-1.5750089804386111E-3</v>
      </c>
      <c r="J2175" s="9">
        <f t="shared" si="237"/>
        <v>16.843806254309595</v>
      </c>
    </row>
    <row r="2176" spans="2:10" x14ac:dyDescent="0.25">
      <c r="B2176" s="1">
        <v>41122</v>
      </c>
      <c r="C2176" s="13">
        <v>21.672000000000001</v>
      </c>
      <c r="D2176" s="6">
        <f t="shared" si="231"/>
        <v>-6.4640352083619179E-3</v>
      </c>
      <c r="E2176" s="14">
        <f t="shared" si="232"/>
        <v>3.5001788254689076E-4</v>
      </c>
      <c r="F2176" s="9">
        <f t="shared" si="233"/>
        <v>17.010109529219488</v>
      </c>
      <c r="G2176" s="9">
        <f t="shared" si="234"/>
        <v>-2.1893808250359736E-7</v>
      </c>
      <c r="H2176" s="9">
        <f t="shared" si="235"/>
        <v>-2.51677357327277E-5</v>
      </c>
      <c r="I2176" s="9">
        <f t="shared" si="236"/>
        <v>-0.21656494470085244</v>
      </c>
      <c r="J2176" s="9">
        <f t="shared" si="237"/>
        <v>16.79351919784482</v>
      </c>
    </row>
    <row r="2177" spans="2:10" x14ac:dyDescent="0.25">
      <c r="B2177" s="1">
        <v>41121</v>
      </c>
      <c r="C2177" s="13">
        <v>21.812999999999999</v>
      </c>
      <c r="D2177" s="6">
        <f t="shared" si="231"/>
        <v>2.6445814314620453E-2</v>
      </c>
      <c r="E2177" s="14">
        <f t="shared" si="232"/>
        <v>3.5112499518913707E-4</v>
      </c>
      <c r="F2177" s="9">
        <f t="shared" si="233"/>
        <v>17.006951503665736</v>
      </c>
      <c r="G2177" s="9">
        <f t="shared" si="234"/>
        <v>-9.3505499008800522E-2</v>
      </c>
      <c r="H2177" s="9">
        <f t="shared" si="235"/>
        <v>-3.2512916814548985E-3</v>
      </c>
      <c r="I2177" s="9">
        <f t="shared" si="236"/>
        <v>-4.6340965872840876E-3</v>
      </c>
      <c r="J2177" s="9">
        <f t="shared" si="237"/>
        <v>16.905560616388197</v>
      </c>
    </row>
    <row r="2178" spans="2:10" x14ac:dyDescent="0.25">
      <c r="B2178" s="1">
        <v>41120</v>
      </c>
      <c r="C2178" s="13">
        <v>21.251000000000001</v>
      </c>
      <c r="D2178" s="6">
        <f t="shared" si="231"/>
        <v>1.6842911144073991E-2</v>
      </c>
      <c r="E2178" s="14">
        <f t="shared" si="232"/>
        <v>3.4682541163090676E-4</v>
      </c>
      <c r="F2178" s="9">
        <f t="shared" si="233"/>
        <v>17.019272258568002</v>
      </c>
      <c r="G2178" s="9">
        <f t="shared" si="234"/>
        <v>-0.890619529448889</v>
      </c>
      <c r="H2178" s="9">
        <f t="shared" si="235"/>
        <v>-1.8511972569052706E-2</v>
      </c>
      <c r="I2178" s="9">
        <f t="shared" si="236"/>
        <v>-4.4175365118349783E-2</v>
      </c>
      <c r="J2178" s="9">
        <f t="shared" si="237"/>
        <v>16.065965391431714</v>
      </c>
    </row>
    <row r="2179" spans="2:10" x14ac:dyDescent="0.25">
      <c r="B2179" s="1">
        <v>41117</v>
      </c>
      <c r="C2179" s="13">
        <v>20.899000000000001</v>
      </c>
      <c r="D2179" s="6">
        <f t="shared" si="231"/>
        <v>1.7924114753300024E-2</v>
      </c>
      <c r="E2179" s="14">
        <f t="shared" si="232"/>
        <v>3.4546068165094924E-4</v>
      </c>
      <c r="F2179" s="9">
        <f t="shared" si="233"/>
        <v>17.023214939956709</v>
      </c>
      <c r="G2179" s="9">
        <f t="shared" si="234"/>
        <v>-0.33607070874285766</v>
      </c>
      <c r="H2179" s="9">
        <f t="shared" si="235"/>
        <v>-1.8359767930591635E-3</v>
      </c>
      <c r="I2179" s="9">
        <f t="shared" si="236"/>
        <v>-3.4468285616734372E-3</v>
      </c>
      <c r="J2179" s="9">
        <f t="shared" si="237"/>
        <v>16.681861425859115</v>
      </c>
    </row>
    <row r="2180" spans="2:10" x14ac:dyDescent="0.25">
      <c r="B2180" s="1">
        <v>41116</v>
      </c>
      <c r="C2180" s="13">
        <v>20.530999999999999</v>
      </c>
      <c r="D2180" s="6">
        <f t="shared" si="231"/>
        <v>-1.947893839786552E-4</v>
      </c>
      <c r="E2180" s="14">
        <f t="shared" si="232"/>
        <v>3.4390222094407639E-4</v>
      </c>
      <c r="F2180" s="9">
        <f t="shared" si="233"/>
        <v>17.027736399861357</v>
      </c>
      <c r="G2180" s="9">
        <f t="shared" si="234"/>
        <v>-0.38727650308062467</v>
      </c>
      <c r="H2180" s="9">
        <f t="shared" si="235"/>
        <v>-2.6541783808985333E-3</v>
      </c>
      <c r="I2180" s="9">
        <f t="shared" si="236"/>
        <v>-4.7265408994834491E-3</v>
      </c>
      <c r="J2180" s="9">
        <f t="shared" si="237"/>
        <v>16.633079177500353</v>
      </c>
    </row>
    <row r="2181" spans="2:10" x14ac:dyDescent="0.25">
      <c r="B2181" s="1">
        <v>41115</v>
      </c>
      <c r="C2181" s="13">
        <v>20.535</v>
      </c>
      <c r="D2181" s="6">
        <f t="shared" si="231"/>
        <v>-4.3148035972228604E-2</v>
      </c>
      <c r="E2181" s="14">
        <f t="shared" si="232"/>
        <v>3.4402631221148072E-4</v>
      </c>
      <c r="F2181" s="9">
        <f t="shared" si="233"/>
        <v>17.027375631953735</v>
      </c>
      <c r="G2181" s="9">
        <f t="shared" si="234"/>
        <v>-4.8397645436157799E-3</v>
      </c>
      <c r="H2181" s="9">
        <f t="shared" si="235"/>
        <v>-3.6229409531320257E-4</v>
      </c>
      <c r="I2181" s="9">
        <f t="shared" si="236"/>
        <v>-3.4008992726270761E-4</v>
      </c>
      <c r="J2181" s="9">
        <f t="shared" si="237"/>
        <v>17.021833483387542</v>
      </c>
    </row>
    <row r="2182" spans="2:10" x14ac:dyDescent="0.25">
      <c r="B2182" s="1">
        <v>41114</v>
      </c>
      <c r="C2182" s="13">
        <v>21.460999999999999</v>
      </c>
      <c r="D2182" s="6">
        <f t="shared" si="231"/>
        <v>-4.8226292603756882E-3</v>
      </c>
      <c r="E2182" s="14">
        <f t="shared" si="232"/>
        <v>3.2691377431389346E-4</v>
      </c>
      <c r="F2182" s="9">
        <f t="shared" si="233"/>
        <v>17.078397326376646</v>
      </c>
      <c r="G2182" s="9">
        <f t="shared" si="234"/>
        <v>-3.0753794341067797</v>
      </c>
      <c r="H2182" s="9">
        <f t="shared" si="235"/>
        <v>0.16519462125538192</v>
      </c>
      <c r="I2182" s="9">
        <f t="shared" si="236"/>
        <v>-0.80255800296961233</v>
      </c>
      <c r="J2182" s="9">
        <f t="shared" si="237"/>
        <v>13.365654510555638</v>
      </c>
    </row>
    <row r="2183" spans="2:10" x14ac:dyDescent="0.25">
      <c r="B2183" s="1">
        <v>41113</v>
      </c>
      <c r="C2183" s="13">
        <v>21.565000000000001</v>
      </c>
      <c r="D2183" s="6">
        <f t="shared" si="231"/>
        <v>-7.8769344824392018E-4</v>
      </c>
      <c r="E2183" s="14">
        <f t="shared" si="232"/>
        <v>3.2669212509055397E-4</v>
      </c>
      <c r="F2183" s="9">
        <f t="shared" si="233"/>
        <v>17.079075561478369</v>
      </c>
      <c r="G2183" s="9">
        <f t="shared" si="234"/>
        <v>-6.3860318746205055E-2</v>
      </c>
      <c r="H2183" s="9">
        <f t="shared" si="235"/>
        <v>-8.4575339364539133E-4</v>
      </c>
      <c r="I2183" s="9">
        <f t="shared" si="236"/>
        <v>-4.260745729193807E-6</v>
      </c>
      <c r="J2183" s="9">
        <f t="shared" si="237"/>
        <v>17.014365228592791</v>
      </c>
    </row>
    <row r="2184" spans="2:10" x14ac:dyDescent="0.25">
      <c r="B2184" s="1">
        <v>41110</v>
      </c>
      <c r="C2184" s="13">
        <v>21.582000000000001</v>
      </c>
      <c r="D2184" s="6">
        <f t="shared" si="231"/>
        <v>-1.6317228805834083E-2</v>
      </c>
      <c r="E2184" s="14">
        <f t="shared" si="232"/>
        <v>3.2747059049438392E-4</v>
      </c>
      <c r="F2184" s="9">
        <f t="shared" si="233"/>
        <v>17.076695524362968</v>
      </c>
      <c r="G2184" s="9">
        <f t="shared" si="234"/>
        <v>-8.9316241000366448E-3</v>
      </c>
      <c r="H2184" s="9">
        <f t="shared" si="235"/>
        <v>-8.6129644566654349E-4</v>
      </c>
      <c r="I2184" s="9">
        <f t="shared" si="236"/>
        <v>-3.0374431475565984E-3</v>
      </c>
      <c r="J2184" s="9">
        <f t="shared" si="237"/>
        <v>17.06386516066971</v>
      </c>
    </row>
    <row r="2185" spans="2:10" x14ac:dyDescent="0.25">
      <c r="B2185" s="1">
        <v>41109</v>
      </c>
      <c r="C2185" s="13">
        <v>21.94</v>
      </c>
      <c r="D2185" s="6">
        <f t="shared" si="231"/>
        <v>1.3301311657121673E-2</v>
      </c>
      <c r="E2185" s="14">
        <f t="shared" si="232"/>
        <v>3.2452763998278667E-4</v>
      </c>
      <c r="F2185" s="9">
        <f t="shared" si="233"/>
        <v>17.085723065729443</v>
      </c>
      <c r="G2185" s="9">
        <f t="shared" si="234"/>
        <v>-0.4975858950236377</v>
      </c>
      <c r="H2185" s="9">
        <f t="shared" si="235"/>
        <v>8.7576716591730944E-3</v>
      </c>
      <c r="I2185" s="9">
        <f t="shared" si="236"/>
        <v>-2.0428972316181876E-2</v>
      </c>
      <c r="J2185" s="9">
        <f t="shared" si="237"/>
        <v>16.576465870048796</v>
      </c>
    </row>
    <row r="2186" spans="2:10" x14ac:dyDescent="0.25">
      <c r="B2186" s="1">
        <v>41108</v>
      </c>
      <c r="C2186" s="13">
        <v>21.652000000000001</v>
      </c>
      <c r="D2186" s="6">
        <f t="shared" si="231"/>
        <v>-1.1072153533860929E-3</v>
      </c>
      <c r="E2186" s="14">
        <f t="shared" si="232"/>
        <v>3.2404256815728795E-4</v>
      </c>
      <c r="F2186" s="9">
        <f t="shared" si="233"/>
        <v>17.087218885025045</v>
      </c>
      <c r="G2186" s="9">
        <f t="shared" si="234"/>
        <v>-0.2109054587956147</v>
      </c>
      <c r="H2186" s="9">
        <f t="shared" si="235"/>
        <v>8.4154487014728968E-4</v>
      </c>
      <c r="I2186" s="9">
        <f t="shared" si="236"/>
        <v>-1.3826224599597917E-4</v>
      </c>
      <c r="J2186" s="9">
        <f t="shared" si="237"/>
        <v>16.877016708853581</v>
      </c>
    </row>
    <row r="2187" spans="2:10" x14ac:dyDescent="0.25">
      <c r="B2187" s="1">
        <v>41107</v>
      </c>
      <c r="C2187" s="13">
        <v>21.675999999999998</v>
      </c>
      <c r="D2187" s="6">
        <f t="shared" si="231"/>
        <v>4.61361014993944E-5</v>
      </c>
      <c r="E2187" s="14">
        <f t="shared" si="232"/>
        <v>3.533631916425395E-4</v>
      </c>
      <c r="F2187" s="9">
        <f t="shared" si="233"/>
        <v>17.000597375872477</v>
      </c>
      <c r="G2187" s="9">
        <f t="shared" si="234"/>
        <v>-1.0612267738567936E-2</v>
      </c>
      <c r="H2187" s="9">
        <f t="shared" si="235"/>
        <v>-1.7236116462973867E-2</v>
      </c>
      <c r="I2187" s="9">
        <f t="shared" si="236"/>
        <v>-2.2808381953224024</v>
      </c>
      <c r="J2187" s="9">
        <f t="shared" si="237"/>
        <v>14.69191079634853</v>
      </c>
    </row>
    <row r="2188" spans="2:10" x14ac:dyDescent="0.25">
      <c r="B2188" s="1">
        <v>41106</v>
      </c>
      <c r="C2188" s="13">
        <v>21.675000000000001</v>
      </c>
      <c r="D2188" s="6">
        <f t="shared" si="231"/>
        <v>3.1935573451817856E-3</v>
      </c>
      <c r="E2188" s="14">
        <f t="shared" si="232"/>
        <v>3.564587916760951E-4</v>
      </c>
      <c r="F2188" s="9">
        <f t="shared" si="233"/>
        <v>16.991875133587111</v>
      </c>
      <c r="G2188" s="9">
        <f t="shared" si="234"/>
        <v>-3.5174224582389391E-3</v>
      </c>
      <c r="H2188" s="9">
        <f t="shared" si="235"/>
        <v>-1.2780842776911926E-3</v>
      </c>
      <c r="I2188" s="9">
        <f t="shared" si="236"/>
        <v>-2.8339685732362827E-2</v>
      </c>
      <c r="J2188" s="9">
        <f t="shared" si="237"/>
        <v>16.958739941118822</v>
      </c>
    </row>
    <row r="2189" spans="2:10" x14ac:dyDescent="0.25">
      <c r="B2189" s="1">
        <v>41103</v>
      </c>
      <c r="C2189" s="13">
        <v>21.606000000000002</v>
      </c>
      <c r="D2189" s="6">
        <f t="shared" si="231"/>
        <v>1.0145401842068358E-2</v>
      </c>
      <c r="E2189" s="14">
        <f t="shared" si="232"/>
        <v>3.5804311271936563E-4</v>
      </c>
      <c r="F2189" s="9">
        <f t="shared" si="233"/>
        <v>16.987440369648453</v>
      </c>
      <c r="G2189" s="9">
        <f t="shared" si="234"/>
        <v>-3.4357149336521975E-3</v>
      </c>
      <c r="H2189" s="9">
        <f t="shared" si="235"/>
        <v>7.715297577054578E-4</v>
      </c>
      <c r="I2189" s="9">
        <f t="shared" si="236"/>
        <v>-8.2940921876822546E-3</v>
      </c>
      <c r="J2189" s="9">
        <f t="shared" si="237"/>
        <v>16.976482092284826</v>
      </c>
    </row>
    <row r="2190" spans="2:10" x14ac:dyDescent="0.25">
      <c r="B2190" s="1">
        <v>41102</v>
      </c>
      <c r="C2190" s="13">
        <v>21.388999999999999</v>
      </c>
      <c r="D2190" s="6">
        <f t="shared" si="231"/>
        <v>-9.1721869643767162E-3</v>
      </c>
      <c r="E2190" s="14">
        <f t="shared" si="232"/>
        <v>3.6112423268388951E-4</v>
      </c>
      <c r="F2190" s="9">
        <f t="shared" si="233"/>
        <v>16.978871741398379</v>
      </c>
      <c r="G2190" s="9">
        <f t="shared" si="234"/>
        <v>-0.10075748524528477</v>
      </c>
      <c r="H2190" s="9">
        <f t="shared" si="235"/>
        <v>6.7708836443618504E-3</v>
      </c>
      <c r="I2190" s="9">
        <f t="shared" si="236"/>
        <v>-2.7599239046178618E-2</v>
      </c>
      <c r="J2190" s="9">
        <f t="shared" si="237"/>
        <v>16.857285900751275</v>
      </c>
    </row>
    <row r="2191" spans="2:10" x14ac:dyDescent="0.25">
      <c r="B2191" s="1">
        <v>41101</v>
      </c>
      <c r="C2191" s="13">
        <v>21.587</v>
      </c>
      <c r="D2191" s="6">
        <f t="shared" si="231"/>
        <v>-6.214897339103298E-3</v>
      </c>
      <c r="E2191" s="14">
        <f t="shared" si="232"/>
        <v>3.60204278529704E-4</v>
      </c>
      <c r="F2191" s="9">
        <f t="shared" si="233"/>
        <v>16.981422464511819</v>
      </c>
      <c r="G2191" s="9">
        <f t="shared" si="234"/>
        <v>-0.16237328598440967</v>
      </c>
      <c r="H2191" s="9">
        <f t="shared" si="235"/>
        <v>2.6374738071574983E-4</v>
      </c>
      <c r="I2191" s="9">
        <f t="shared" si="236"/>
        <v>-1.310894900068199E-3</v>
      </c>
      <c r="J2191" s="9">
        <f t="shared" si="237"/>
        <v>16.818002031008056</v>
      </c>
    </row>
    <row r="2192" spans="2:10" x14ac:dyDescent="0.25">
      <c r="B2192" s="1">
        <v>41100</v>
      </c>
      <c r="C2192" s="13">
        <v>21.722000000000001</v>
      </c>
      <c r="D2192" s="6">
        <f t="shared" ref="D2192:D2255" si="238">C2192/C2193-1</f>
        <v>-9.2588369441276575E-3</v>
      </c>
      <c r="E2192" s="14">
        <f t="shared" ref="E2192:E2255" si="239">_xlfn.VAR.S(D2192:D2312)</f>
        <v>3.5992490701406674E-4</v>
      </c>
      <c r="F2192" s="9">
        <f t="shared" si="233"/>
        <v>16.982198357324556</v>
      </c>
      <c r="G2192" s="9">
        <f t="shared" si="234"/>
        <v>-8.5688454518136128E-2</v>
      </c>
      <c r="H2192" s="9">
        <f t="shared" si="235"/>
        <v>-8.40371152759256E-4</v>
      </c>
      <c r="I2192" s="9">
        <f t="shared" si="236"/>
        <v>-1.4013290962620667E-5</v>
      </c>
      <c r="J2192" s="9">
        <f t="shared" si="237"/>
        <v>16.895655518362702</v>
      </c>
    </row>
    <row r="2193" spans="2:10" x14ac:dyDescent="0.25">
      <c r="B2193" s="1">
        <v>41099</v>
      </c>
      <c r="C2193" s="13">
        <v>21.925000000000001</v>
      </c>
      <c r="D2193" s="6">
        <f t="shared" si="238"/>
        <v>1.3216876935163491E-2</v>
      </c>
      <c r="E2193" s="14">
        <f t="shared" si="239"/>
        <v>3.5921740668967521E-4</v>
      </c>
      <c r="F2193" s="9">
        <f t="shared" ref="F2193:F2256" si="240">LN(2*PI())-LN($C$6)-LN(E2193)-0.5*LN(1-POWER($C$7,2))</f>
        <v>16.984165980531174</v>
      </c>
      <c r="G2193" s="9">
        <f t="shared" ref="G2193:G2256" si="241">-POWER(D2192-1-$C$3,2)/(2*E2193*(1-POWER($C$7,2)))</f>
        <v>-0.16544261263560475</v>
      </c>
      <c r="H2193" s="9">
        <f t="shared" ref="H2193:H2256" si="242">$C$7*(D2192-1-$C$3)*(E2192-E2193-$C$5*$C$4)/(E2193*$C$6*(1-POWER($C$7,2)))</f>
        <v>-2.0948325596281014E-4</v>
      </c>
      <c r="I2193" s="9">
        <f t="shared" ref="I2193:I2256" si="243">-POWER(E2192-E2193-$C$5*$C$4+$C$4*E2193,2)/(2*POWER($C$6,2)*E2193*(1-POWER($C$7,2)))</f>
        <v>-6.4511711204186034E-4</v>
      </c>
      <c r="J2193" s="9">
        <f t="shared" ref="J2193:J2256" si="244">SUM(F2193:I2193)</f>
        <v>16.817868767527564</v>
      </c>
    </row>
    <row r="2194" spans="2:10" x14ac:dyDescent="0.25">
      <c r="B2194" s="1">
        <v>41096</v>
      </c>
      <c r="C2194" s="13">
        <v>21.638999999999999</v>
      </c>
      <c r="D2194" s="6">
        <f t="shared" si="238"/>
        <v>-6.6562614763128192E-3</v>
      </c>
      <c r="E2194" s="14">
        <f t="shared" si="239"/>
        <v>3.5880256291209229E-4</v>
      </c>
      <c r="F2194" s="9">
        <f t="shared" si="240"/>
        <v>16.985321502219442</v>
      </c>
      <c r="G2194" s="9">
        <f t="shared" si="241"/>
        <v>-0.18772808215595232</v>
      </c>
      <c r="H2194" s="9">
        <f t="shared" si="242"/>
        <v>9.2225261313039512E-4</v>
      </c>
      <c r="I2194" s="9">
        <f t="shared" si="243"/>
        <v>-1.1086280636176861E-4</v>
      </c>
      <c r="J2194" s="9">
        <f t="shared" si="244"/>
        <v>16.798404809870256</v>
      </c>
    </row>
    <row r="2195" spans="2:10" x14ac:dyDescent="0.25">
      <c r="B2195" s="1">
        <v>41095</v>
      </c>
      <c r="C2195" s="13">
        <v>21.783999999999999</v>
      </c>
      <c r="D2195" s="6">
        <f t="shared" si="238"/>
        <v>1.7563527653213562E-2</v>
      </c>
      <c r="E2195" s="14">
        <f t="shared" si="239"/>
        <v>3.582849551335648E-4</v>
      </c>
      <c r="F2195" s="9">
        <f t="shared" si="240"/>
        <v>16.986765141539319</v>
      </c>
      <c r="G2195" s="9">
        <f t="shared" si="241"/>
        <v>-9.604262407715107E-2</v>
      </c>
      <c r="H2195" s="9">
        <f t="shared" si="242"/>
        <v>-4.8445025437881536E-4</v>
      </c>
      <c r="I2195" s="9">
        <f t="shared" si="243"/>
        <v>-2.4684917231808005E-4</v>
      </c>
      <c r="J2195" s="9">
        <f t="shared" si="244"/>
        <v>16.889991218035473</v>
      </c>
    </row>
    <row r="2196" spans="2:10" x14ac:dyDescent="0.25">
      <c r="B2196" s="1">
        <v>41093</v>
      </c>
      <c r="C2196" s="13">
        <v>21.408000000000001</v>
      </c>
      <c r="D2196" s="6">
        <f t="shared" si="238"/>
        <v>1.1672416237417993E-2</v>
      </c>
      <c r="E2196" s="14">
        <f t="shared" si="239"/>
        <v>3.5674084238330388E-4</v>
      </c>
      <c r="F2196" s="9">
        <f t="shared" si="240"/>
        <v>16.991084188924653</v>
      </c>
      <c r="G2196" s="9">
        <f t="shared" si="241"/>
        <v>-0.35700050362330876</v>
      </c>
      <c r="H2196" s="9">
        <f t="shared" si="242"/>
        <v>-2.4546512686128828E-3</v>
      </c>
      <c r="I2196" s="9">
        <f t="shared" si="243"/>
        <v>-4.6039225761072755E-3</v>
      </c>
      <c r="J2196" s="9">
        <f t="shared" si="244"/>
        <v>16.627025111456625</v>
      </c>
    </row>
    <row r="2197" spans="2:10" x14ac:dyDescent="0.25">
      <c r="B2197" s="1">
        <v>41092</v>
      </c>
      <c r="C2197" s="13">
        <v>21.161000000000001</v>
      </c>
      <c r="D2197" s="6">
        <f t="shared" si="238"/>
        <v>1.4575442297550145E-2</v>
      </c>
      <c r="E2197" s="14">
        <f t="shared" si="239"/>
        <v>3.5611977177102427E-4</v>
      </c>
      <c r="F2197" s="9">
        <f t="shared" si="240"/>
        <v>16.992826663560198</v>
      </c>
      <c r="G2197" s="9">
        <f t="shared" si="241"/>
        <v>-0.14208979859212836</v>
      </c>
      <c r="H2197" s="9">
        <f t="shared" si="242"/>
        <v>3.7524514460402224E-4</v>
      </c>
      <c r="I2197" s="9">
        <f t="shared" si="243"/>
        <v>-4.3456724202326104E-4</v>
      </c>
      <c r="J2197" s="9">
        <f t="shared" si="244"/>
        <v>16.850677542870649</v>
      </c>
    </row>
    <row r="2198" spans="2:10" x14ac:dyDescent="0.25">
      <c r="B2198" s="1">
        <v>41089</v>
      </c>
      <c r="C2198" s="13">
        <v>20.856999999999999</v>
      </c>
      <c r="D2198" s="6">
        <f t="shared" si="238"/>
        <v>2.6275648280273511E-2</v>
      </c>
      <c r="E2198" s="14">
        <f t="shared" si="239"/>
        <v>3.5515747451048769E-4</v>
      </c>
      <c r="F2198" s="9">
        <f t="shared" si="240"/>
        <v>16.99553249410009</v>
      </c>
      <c r="G2198" s="9">
        <f t="shared" si="241"/>
        <v>-0.23672491328414333</v>
      </c>
      <c r="H2198" s="9">
        <f t="shared" si="242"/>
        <v>-4.3485953071540262E-4</v>
      </c>
      <c r="I2198" s="9">
        <f t="shared" si="243"/>
        <v>-1.4589584129444002E-3</v>
      </c>
      <c r="J2198" s="9">
        <f t="shared" si="244"/>
        <v>16.756913762872287</v>
      </c>
    </row>
    <row r="2199" spans="2:10" x14ac:dyDescent="0.25">
      <c r="B2199" s="1">
        <v>41088</v>
      </c>
      <c r="C2199" s="13">
        <v>20.323</v>
      </c>
      <c r="D2199" s="6">
        <f t="shared" si="238"/>
        <v>-9.5038502778048706E-3</v>
      </c>
      <c r="E2199" s="14">
        <f t="shared" si="239"/>
        <v>3.5104944364139432E-4</v>
      </c>
      <c r="F2199" s="9">
        <f t="shared" si="240"/>
        <v>17.007166696768351</v>
      </c>
      <c r="G2199" s="9">
        <f t="shared" si="241"/>
        <v>-0.86787845464981273</v>
      </c>
      <c r="H2199" s="9">
        <f t="shared" si="242"/>
        <v>-1.7169334710047415E-2</v>
      </c>
      <c r="I2199" s="9">
        <f t="shared" si="243"/>
        <v>-3.9777554888571889E-2</v>
      </c>
      <c r="J2199" s="9">
        <f t="shared" si="244"/>
        <v>16.082341352519919</v>
      </c>
    </row>
    <row r="2200" spans="2:10" x14ac:dyDescent="0.25">
      <c r="B2200" s="1">
        <v>41087</v>
      </c>
      <c r="C2200" s="13">
        <v>20.518000000000001</v>
      </c>
      <c r="D2200" s="6">
        <f t="shared" si="238"/>
        <v>4.3565519604484848E-3</v>
      </c>
      <c r="E2200" s="14">
        <f t="shared" si="239"/>
        <v>3.5036002994149435E-4</v>
      </c>
      <c r="F2200" s="9">
        <f t="shared" si="240"/>
        <v>17.009132492634752</v>
      </c>
      <c r="G2200" s="9">
        <f t="shared" si="241"/>
        <v>-0.1773464983863578</v>
      </c>
      <c r="H2200" s="9">
        <f t="shared" si="242"/>
        <v>-2.6210243224112988E-4</v>
      </c>
      <c r="I2200" s="9">
        <f t="shared" si="243"/>
        <v>-5.7777556361945698E-4</v>
      </c>
      <c r="J2200" s="9">
        <f t="shared" si="244"/>
        <v>16.830946116252534</v>
      </c>
    </row>
    <row r="2201" spans="2:10" x14ac:dyDescent="0.25">
      <c r="B2201" s="1">
        <v>41086</v>
      </c>
      <c r="C2201" s="13">
        <v>20.428999999999998</v>
      </c>
      <c r="D2201" s="6">
        <f t="shared" si="238"/>
        <v>2.2076138147566482E-3</v>
      </c>
      <c r="E2201" s="14">
        <f t="shared" si="239"/>
        <v>3.5039359692936976E-4</v>
      </c>
      <c r="F2201" s="9">
        <f t="shared" si="240"/>
        <v>17.009036690096984</v>
      </c>
      <c r="G2201" s="9">
        <f t="shared" si="241"/>
        <v>-1.0660285593484737E-2</v>
      </c>
      <c r="H2201" s="9">
        <f t="shared" si="242"/>
        <v>4.8064798035647472E-4</v>
      </c>
      <c r="I2201" s="9">
        <f t="shared" si="243"/>
        <v>-1.7119456403837737E-4</v>
      </c>
      <c r="J2201" s="9">
        <f t="shared" si="244"/>
        <v>16.998685857919817</v>
      </c>
    </row>
    <row r="2202" spans="2:10" x14ac:dyDescent="0.25">
      <c r="B2202" s="1">
        <v>41085</v>
      </c>
      <c r="C2202" s="13">
        <v>20.384</v>
      </c>
      <c r="D2202" s="6">
        <f t="shared" si="238"/>
        <v>-1.9481456539516162E-2</v>
      </c>
      <c r="E2202" s="14">
        <f t="shared" si="239"/>
        <v>3.5168289967374666E-4</v>
      </c>
      <c r="F2202" s="9">
        <f t="shared" si="240"/>
        <v>17.005363859002447</v>
      </c>
      <c r="G2202" s="9">
        <f t="shared" si="241"/>
        <v>-4.801255131987884E-4</v>
      </c>
      <c r="H2202" s="9">
        <f t="shared" si="242"/>
        <v>2.5502073462552226E-4</v>
      </c>
      <c r="I2202" s="9">
        <f t="shared" si="243"/>
        <v>-5.976928941314341E-3</v>
      </c>
      <c r="J2202" s="9">
        <f t="shared" si="244"/>
        <v>16.999161825282556</v>
      </c>
    </row>
    <row r="2203" spans="2:10" x14ac:dyDescent="0.25">
      <c r="B2203" s="1">
        <v>41082</v>
      </c>
      <c r="C2203" s="13">
        <v>20.789000000000001</v>
      </c>
      <c r="D2203" s="6">
        <f t="shared" si="238"/>
        <v>7.6583781687751262E-3</v>
      </c>
      <c r="E2203" s="14">
        <f t="shared" si="239"/>
        <v>3.4753560009230685E-4</v>
      </c>
      <c r="F2203" s="9">
        <f t="shared" si="240"/>
        <v>17.017226669322483</v>
      </c>
      <c r="G2203" s="9">
        <f t="shared" si="241"/>
        <v>-0.64295604495270531</v>
      </c>
      <c r="H2203" s="9">
        <f t="shared" si="242"/>
        <v>1.5028848159919343E-2</v>
      </c>
      <c r="I2203" s="9">
        <f t="shared" si="243"/>
        <v>-4.0874202309154083E-2</v>
      </c>
      <c r="J2203" s="9">
        <f t="shared" si="244"/>
        <v>16.348425270220542</v>
      </c>
    </row>
    <row r="2204" spans="2:10" x14ac:dyDescent="0.25">
      <c r="B2204" s="1">
        <v>41081</v>
      </c>
      <c r="C2204" s="13">
        <v>20.631</v>
      </c>
      <c r="D2204" s="6">
        <f t="shared" si="238"/>
        <v>-1.3767388498494237E-2</v>
      </c>
      <c r="E2204" s="14">
        <f t="shared" si="239"/>
        <v>3.4744351528260403E-4</v>
      </c>
      <c r="F2204" s="9">
        <f t="shared" si="240"/>
        <v>17.017491669545379</v>
      </c>
      <c r="G2204" s="9">
        <f t="shared" si="241"/>
        <v>-5.2499110778901702E-2</v>
      </c>
      <c r="H2204" s="9">
        <f t="shared" si="242"/>
        <v>9.0988450624806833E-4</v>
      </c>
      <c r="I2204" s="9">
        <f t="shared" si="243"/>
        <v>-4.7776969366788084E-5</v>
      </c>
      <c r="J2204" s="9">
        <f t="shared" si="244"/>
        <v>16.965854666303358</v>
      </c>
    </row>
    <row r="2205" spans="2:10" x14ac:dyDescent="0.25">
      <c r="B2205" s="1">
        <v>41080</v>
      </c>
      <c r="C2205" s="13">
        <v>20.919</v>
      </c>
      <c r="D2205" s="6">
        <f t="shared" si="238"/>
        <v>-2.8600028600027638E-3</v>
      </c>
      <c r="E2205" s="14">
        <f t="shared" si="239"/>
        <v>3.4640591704227305E-4</v>
      </c>
      <c r="F2205" s="9">
        <f t="shared" si="240"/>
        <v>17.020482517315656</v>
      </c>
      <c r="G2205" s="9">
        <f t="shared" si="241"/>
        <v>-0.34309353572867646</v>
      </c>
      <c r="H2205" s="9">
        <f t="shared" si="242"/>
        <v>7.7753875572323338E-4</v>
      </c>
      <c r="I2205" s="9">
        <f t="shared" si="243"/>
        <v>-1.7486371487701248E-3</v>
      </c>
      <c r="J2205" s="9">
        <f t="shared" si="244"/>
        <v>16.676417883193935</v>
      </c>
    </row>
    <row r="2206" spans="2:10" x14ac:dyDescent="0.25">
      <c r="B2206" s="1">
        <v>41079</v>
      </c>
      <c r="C2206" s="13">
        <v>20.978999999999999</v>
      </c>
      <c r="D2206" s="6">
        <f t="shared" si="238"/>
        <v>2.7723340184504508E-3</v>
      </c>
      <c r="E2206" s="14">
        <f t="shared" si="239"/>
        <v>3.4627853827244121E-4</v>
      </c>
      <c r="F2206" s="9">
        <f t="shared" si="240"/>
        <v>17.020850300280298</v>
      </c>
      <c r="G2206" s="9">
        <f t="shared" si="241"/>
        <v>-2.9161368993851609E-2</v>
      </c>
      <c r="H2206" s="9">
        <f t="shared" si="242"/>
        <v>-6.4545287968010201E-4</v>
      </c>
      <c r="I2206" s="9">
        <f t="shared" si="243"/>
        <v>-2.7043031707307913E-5</v>
      </c>
      <c r="J2206" s="9">
        <f t="shared" si="244"/>
        <v>16.991016435375059</v>
      </c>
    </row>
    <row r="2207" spans="2:10" x14ac:dyDescent="0.25">
      <c r="B2207" s="1">
        <v>41078</v>
      </c>
      <c r="C2207" s="13">
        <v>20.920999999999999</v>
      </c>
      <c r="D2207" s="6">
        <f t="shared" si="238"/>
        <v>2.0287734698853921E-2</v>
      </c>
      <c r="E2207" s="14">
        <f t="shared" si="239"/>
        <v>3.4690599324825117E-4</v>
      </c>
      <c r="F2207" s="9">
        <f t="shared" si="240"/>
        <v>17.019039944974757</v>
      </c>
      <c r="G2207" s="9">
        <f t="shared" si="241"/>
        <v>-1.8951396773022051E-3</v>
      </c>
      <c r="H2207" s="9">
        <f t="shared" si="242"/>
        <v>3.486135605551334E-4</v>
      </c>
      <c r="I2207" s="9">
        <f t="shared" si="243"/>
        <v>-1.9443431197662337E-3</v>
      </c>
      <c r="J2207" s="9">
        <f t="shared" si="244"/>
        <v>17.015549075738242</v>
      </c>
    </row>
    <row r="2208" spans="2:10" x14ac:dyDescent="0.25">
      <c r="B2208" s="1">
        <v>41075</v>
      </c>
      <c r="C2208" s="13">
        <v>20.504999999999999</v>
      </c>
      <c r="D2208" s="6">
        <f t="shared" si="238"/>
        <v>4.5561434450323013E-3</v>
      </c>
      <c r="E2208" s="14">
        <f t="shared" si="239"/>
        <v>3.4453318718072676E-4</v>
      </c>
      <c r="F2208" s="9">
        <f t="shared" si="240"/>
        <v>17.025903355233268</v>
      </c>
      <c r="G2208" s="9">
        <f t="shared" si="241"/>
        <v>-0.50683132828606425</v>
      </c>
      <c r="H2208" s="9">
        <f t="shared" si="242"/>
        <v>-6.2948786577640692E-3</v>
      </c>
      <c r="I2208" s="9">
        <f t="shared" si="243"/>
        <v>-1.2300834776572418E-2</v>
      </c>
      <c r="J2208" s="9">
        <f t="shared" si="244"/>
        <v>16.500476313512866</v>
      </c>
    </row>
    <row r="2209" spans="2:10" x14ac:dyDescent="0.25">
      <c r="B2209" s="1">
        <v>41074</v>
      </c>
      <c r="C2209" s="13">
        <v>20.411999999999999</v>
      </c>
      <c r="D2209" s="6">
        <f t="shared" si="238"/>
        <v>-1.0766369775864204E-3</v>
      </c>
      <c r="E2209" s="14">
        <f t="shared" si="239"/>
        <v>3.4454989058035321E-4</v>
      </c>
      <c r="F2209" s="9">
        <f t="shared" si="240"/>
        <v>17.025854875158316</v>
      </c>
      <c r="G2209" s="9">
        <f t="shared" si="241"/>
        <v>-1.2484725484273951E-2</v>
      </c>
      <c r="H2209" s="9">
        <f t="shared" si="242"/>
        <v>5.139473778133564E-4</v>
      </c>
      <c r="I2209" s="9">
        <f t="shared" si="243"/>
        <v>-1.6440521169642754E-4</v>
      </c>
      <c r="J2209" s="9">
        <f t="shared" si="244"/>
        <v>17.013719691840162</v>
      </c>
    </row>
    <row r="2210" spans="2:10" x14ac:dyDescent="0.25">
      <c r="B2210" s="1">
        <v>41073</v>
      </c>
      <c r="C2210" s="13">
        <v>20.434000000000001</v>
      </c>
      <c r="D2210" s="6">
        <f t="shared" si="238"/>
        <v>-6.9495067308158465E-3</v>
      </c>
      <c r="E2210" s="14">
        <f t="shared" si="239"/>
        <v>3.5324844500839506E-4</v>
      </c>
      <c r="F2210" s="9">
        <f t="shared" si="240"/>
        <v>17.000922155791748</v>
      </c>
      <c r="G2210" s="9">
        <f t="shared" si="241"/>
        <v>-1.0379628778930509E-2</v>
      </c>
      <c r="H2210" s="9">
        <f t="shared" si="242"/>
        <v>-5.3767658039633216E-3</v>
      </c>
      <c r="I2210" s="9">
        <f t="shared" si="243"/>
        <v>-0.20785219955427436</v>
      </c>
      <c r="J2210" s="9">
        <f t="shared" si="244"/>
        <v>16.77731356165458</v>
      </c>
    </row>
    <row r="2211" spans="2:10" x14ac:dyDescent="0.25">
      <c r="B2211" s="1">
        <v>41072</v>
      </c>
      <c r="C2211" s="13">
        <v>20.576999999999998</v>
      </c>
      <c r="D2211" s="6">
        <f t="shared" si="238"/>
        <v>8.7259179371537154E-3</v>
      </c>
      <c r="E2211" s="14">
        <f t="shared" si="239"/>
        <v>3.523309288319709E-4</v>
      </c>
      <c r="F2211" s="9">
        <f t="shared" si="240"/>
        <v>17.003522902717197</v>
      </c>
      <c r="G2211" s="9">
        <f t="shared" si="241"/>
        <v>-0.10470289593526019</v>
      </c>
      <c r="H2211" s="9">
        <f t="shared" si="242"/>
        <v>2.0975729956880835E-4</v>
      </c>
      <c r="I2211" s="9">
        <f t="shared" si="243"/>
        <v>-1.2828372179736855E-3</v>
      </c>
      <c r="J2211" s="9">
        <f t="shared" si="244"/>
        <v>16.89774692686353</v>
      </c>
    </row>
    <row r="2212" spans="2:10" x14ac:dyDescent="0.25">
      <c r="B2212" s="1">
        <v>41071</v>
      </c>
      <c r="C2212" s="13">
        <v>20.399000000000001</v>
      </c>
      <c r="D2212" s="6">
        <f t="shared" si="238"/>
        <v>-1.5777284570105077E-2</v>
      </c>
      <c r="E2212" s="14">
        <f t="shared" si="239"/>
        <v>3.5214005433217583E-4</v>
      </c>
      <c r="F2212" s="9">
        <f t="shared" si="240"/>
        <v>17.004064797299169</v>
      </c>
      <c r="G2212" s="9">
        <f t="shared" si="241"/>
        <v>-7.175951214709797E-2</v>
      </c>
      <c r="H2212" s="9">
        <f t="shared" si="242"/>
        <v>9.0940586110196519E-4</v>
      </c>
      <c r="I2212" s="9">
        <f t="shared" si="243"/>
        <v>-1.9821607251764992E-6</v>
      </c>
      <c r="J2212" s="9">
        <f t="shared" si="244"/>
        <v>16.933212708852448</v>
      </c>
    </row>
    <row r="2213" spans="2:10" x14ac:dyDescent="0.25">
      <c r="B2213" s="1">
        <v>41068</v>
      </c>
      <c r="C2213" s="13">
        <v>20.725999999999999</v>
      </c>
      <c r="D2213" s="6">
        <f t="shared" si="238"/>
        <v>1.5035016406288237E-2</v>
      </c>
      <c r="E2213" s="14">
        <f t="shared" si="239"/>
        <v>3.4939678288613681E-4</v>
      </c>
      <c r="F2213" s="9">
        <f t="shared" si="240"/>
        <v>17.011885585269539</v>
      </c>
      <c r="G2213" s="9">
        <f t="shared" si="241"/>
        <v>-0.4347745649582902</v>
      </c>
      <c r="H2213" s="9">
        <f t="shared" si="242"/>
        <v>7.1540819547926794E-3</v>
      </c>
      <c r="I2213" s="9">
        <f t="shared" si="243"/>
        <v>-1.6795543974394082E-2</v>
      </c>
      <c r="J2213" s="9">
        <f t="shared" si="244"/>
        <v>16.567469558291648</v>
      </c>
    </row>
    <row r="2214" spans="2:10" x14ac:dyDescent="0.25">
      <c r="B2214" s="1">
        <v>41067</v>
      </c>
      <c r="C2214" s="13">
        <v>20.419</v>
      </c>
      <c r="D2214" s="6">
        <f t="shared" si="238"/>
        <v>4.8997991082377901E-4</v>
      </c>
      <c r="E2214" s="14">
        <f t="shared" si="239"/>
        <v>3.5379505902590744E-4</v>
      </c>
      <c r="F2214" s="9">
        <f t="shared" si="240"/>
        <v>16.999375959204709</v>
      </c>
      <c r="G2214" s="9">
        <f t="shared" si="241"/>
        <v>-0.2548050186867038</v>
      </c>
      <c r="H2214" s="9">
        <f t="shared" si="242"/>
        <v>1.4569260055416923E-2</v>
      </c>
      <c r="I2214" s="9">
        <f t="shared" si="243"/>
        <v>-5.558642144393549E-2</v>
      </c>
      <c r="J2214" s="9">
        <f t="shared" si="244"/>
        <v>16.703553779129489</v>
      </c>
    </row>
    <row r="2215" spans="2:10" x14ac:dyDescent="0.25">
      <c r="B2215" s="1">
        <v>41066</v>
      </c>
      <c r="C2215" s="13">
        <v>20.408999999999999</v>
      </c>
      <c r="D2215" s="6">
        <f t="shared" si="238"/>
        <v>1.5322620765136019E-2</v>
      </c>
      <c r="E2215" s="14">
        <f t="shared" si="239"/>
        <v>3.5474499305387323E-4</v>
      </c>
      <c r="F2215" s="9">
        <f t="shared" si="240"/>
        <v>16.996694573461355</v>
      </c>
      <c r="G2215" s="9">
        <f t="shared" si="241"/>
        <v>-1.8286883250795672E-3</v>
      </c>
      <c r="H2215" s="9">
        <f t="shared" si="242"/>
        <v>-4.1509298022904316E-4</v>
      </c>
      <c r="I2215" s="9">
        <f t="shared" si="243"/>
        <v>-3.5282833624844215E-3</v>
      </c>
      <c r="J2215" s="9">
        <f t="shared" si="244"/>
        <v>16.99092250879356</v>
      </c>
    </row>
    <row r="2216" spans="2:10" x14ac:dyDescent="0.25">
      <c r="B2216" s="1">
        <v>41065</v>
      </c>
      <c r="C2216" s="13">
        <v>20.100999999999999</v>
      </c>
      <c r="D2216" s="6">
        <f t="shared" si="238"/>
        <v>-2.5802610033245355E-3</v>
      </c>
      <c r="E2216" s="14">
        <f t="shared" si="239"/>
        <v>3.5402599013395958E-4</v>
      </c>
      <c r="F2216" s="9">
        <f t="shared" si="240"/>
        <v>16.998723446492576</v>
      </c>
      <c r="G2216" s="9">
        <f t="shared" si="241"/>
        <v>-0.26568035795725575</v>
      </c>
      <c r="H2216" s="9">
        <f t="shared" si="242"/>
        <v>2.3450084817740077E-4</v>
      </c>
      <c r="I2216" s="9">
        <f t="shared" si="243"/>
        <v>-6.6221422733827402E-4</v>
      </c>
      <c r="J2216" s="9">
        <f t="shared" si="244"/>
        <v>16.732615375156158</v>
      </c>
    </row>
    <row r="2217" spans="2:10" x14ac:dyDescent="0.25">
      <c r="B2217" s="1">
        <v>41064</v>
      </c>
      <c r="C2217" s="13">
        <v>20.152999999999999</v>
      </c>
      <c r="D2217" s="6">
        <f t="shared" si="238"/>
        <v>5.8896930371847844E-3</v>
      </c>
      <c r="E2217" s="14">
        <f t="shared" si="239"/>
        <v>3.5391305251900349E-4</v>
      </c>
      <c r="F2217" s="9">
        <f t="shared" si="240"/>
        <v>16.99904250677633</v>
      </c>
      <c r="G2217" s="9">
        <f t="shared" si="241"/>
        <v>-2.508578005621126E-2</v>
      </c>
      <c r="H2217" s="9">
        <f t="shared" si="242"/>
        <v>-6.048548346382442E-4</v>
      </c>
      <c r="I2217" s="9">
        <f t="shared" si="243"/>
        <v>-2.7419423279084461E-5</v>
      </c>
      <c r="J2217" s="9">
        <f t="shared" si="244"/>
        <v>16.973324452462201</v>
      </c>
    </row>
    <row r="2218" spans="2:10" x14ac:dyDescent="0.25">
      <c r="B2218" s="1">
        <v>41061</v>
      </c>
      <c r="C2218" s="13">
        <v>20.035</v>
      </c>
      <c r="D2218" s="6">
        <f t="shared" si="238"/>
        <v>-2.8982697620316911E-2</v>
      </c>
      <c r="E2218" s="14">
        <f t="shared" si="239"/>
        <v>3.5385877729724922E-4</v>
      </c>
      <c r="F2218" s="9">
        <f t="shared" si="240"/>
        <v>16.99919587603906</v>
      </c>
      <c r="G2218" s="9">
        <f t="shared" si="241"/>
        <v>-2.5746626993375085E-2</v>
      </c>
      <c r="H2218" s="9">
        <f t="shared" si="242"/>
        <v>6.6506540490559674E-4</v>
      </c>
      <c r="I2218" s="9">
        <f t="shared" si="243"/>
        <v>-6.7876040101014711E-5</v>
      </c>
      <c r="J2218" s="9">
        <f t="shared" si="244"/>
        <v>16.97404643841049</v>
      </c>
    </row>
    <row r="2219" spans="2:10" x14ac:dyDescent="0.25">
      <c r="B2219" s="1">
        <v>41060</v>
      </c>
      <c r="C2219" s="13">
        <v>20.632999999999999</v>
      </c>
      <c r="D2219" s="6">
        <f t="shared" si="238"/>
        <v>-2.5138989605995032E-3</v>
      </c>
      <c r="E2219" s="14">
        <f t="shared" si="239"/>
        <v>3.4572012739664639E-4</v>
      </c>
      <c r="F2219" s="9">
        <f t="shared" si="240"/>
        <v>17.022464208007886</v>
      </c>
      <c r="G2219" s="9">
        <f t="shared" si="241"/>
        <v>-1.3591161853866931</v>
      </c>
      <c r="H2219" s="9">
        <f t="shared" si="242"/>
        <v>4.8038751594037823E-2</v>
      </c>
      <c r="I2219" s="9">
        <f t="shared" si="243"/>
        <v>-0.16717670940048285</v>
      </c>
      <c r="J2219" s="9">
        <f t="shared" si="244"/>
        <v>15.544210064814749</v>
      </c>
    </row>
    <row r="2220" spans="2:10" x14ac:dyDescent="0.25">
      <c r="B2220" s="1">
        <v>41059</v>
      </c>
      <c r="C2220" s="13">
        <v>20.684999999999999</v>
      </c>
      <c r="D2220" s="6">
        <f t="shared" si="238"/>
        <v>1.2085331245718756E-2</v>
      </c>
      <c r="E2220" s="14">
        <f t="shared" si="239"/>
        <v>3.4604468539335361E-4</v>
      </c>
      <c r="F2220" s="9">
        <f t="shared" si="240"/>
        <v>17.021525860134389</v>
      </c>
      <c r="G2220" s="9">
        <f t="shared" si="241"/>
        <v>-2.4853268860120729E-2</v>
      </c>
      <c r="H2220" s="9">
        <f t="shared" si="242"/>
        <v>-9.959906420431259E-4</v>
      </c>
      <c r="I2220" s="9">
        <f t="shared" si="243"/>
        <v>-8.1641297163578699E-4</v>
      </c>
      <c r="J2220" s="9">
        <f t="shared" si="244"/>
        <v>16.994860187660592</v>
      </c>
    </row>
    <row r="2221" spans="2:10" x14ac:dyDescent="0.25">
      <c r="B2221" s="1">
        <v>41058</v>
      </c>
      <c r="C2221" s="13">
        <v>20.437999999999999</v>
      </c>
      <c r="D2221" s="6">
        <f t="shared" si="238"/>
        <v>1.7727317996215408E-2</v>
      </c>
      <c r="E2221" s="14">
        <f t="shared" si="239"/>
        <v>3.4562879046502769E-4</v>
      </c>
      <c r="F2221" s="9">
        <f t="shared" si="240"/>
        <v>17.022728436184977</v>
      </c>
      <c r="G2221" s="9">
        <f t="shared" si="241"/>
        <v>-0.15868620611063541</v>
      </c>
      <c r="H2221" s="9">
        <f t="shared" si="242"/>
        <v>8.6157646256805002E-4</v>
      </c>
      <c r="I2221" s="9">
        <f t="shared" si="243"/>
        <v>-9.3226988613225793E-5</v>
      </c>
      <c r="J2221" s="9">
        <f t="shared" si="244"/>
        <v>16.864810579548298</v>
      </c>
    </row>
    <row r="2222" spans="2:10" x14ac:dyDescent="0.25">
      <c r="B2222" s="1">
        <v>41054</v>
      </c>
      <c r="C2222" s="13">
        <v>20.082000000000001</v>
      </c>
      <c r="D2222" s="6">
        <f t="shared" si="238"/>
        <v>-5.3491827637444089E-3</v>
      </c>
      <c r="E2222" s="14">
        <f t="shared" si="239"/>
        <v>3.4390597484842809E-4</v>
      </c>
      <c r="F2222" s="9">
        <f t="shared" si="240"/>
        <v>17.027725484305613</v>
      </c>
      <c r="G2222" s="9">
        <f t="shared" si="241"/>
        <v>-0.37797549191044288</v>
      </c>
      <c r="H2222" s="9">
        <f t="shared" si="242"/>
        <v>-3.1910331498285981E-3</v>
      </c>
      <c r="I2222" s="9">
        <f t="shared" si="243"/>
        <v>-5.970363617618716E-3</v>
      </c>
      <c r="J2222" s="9">
        <f t="shared" si="244"/>
        <v>16.640588595627722</v>
      </c>
    </row>
    <row r="2223" spans="2:10" x14ac:dyDescent="0.25">
      <c r="B2223" s="1">
        <v>41053</v>
      </c>
      <c r="C2223" s="13">
        <v>20.190000000000001</v>
      </c>
      <c r="D2223" s="6">
        <f t="shared" si="238"/>
        <v>-9.1770132993079789E-3</v>
      </c>
      <c r="E2223" s="14">
        <f t="shared" si="239"/>
        <v>3.4441868948419086E-4</v>
      </c>
      <c r="F2223" s="9">
        <f t="shared" si="240"/>
        <v>17.026235737512696</v>
      </c>
      <c r="G2223" s="9">
        <f t="shared" si="241"/>
        <v>-7.0867267894174371E-2</v>
      </c>
      <c r="H2223" s="9">
        <f t="shared" si="242"/>
        <v>-1.9676285575472327E-3</v>
      </c>
      <c r="I2223" s="9">
        <f t="shared" si="243"/>
        <v>-1.4841241402225227E-3</v>
      </c>
      <c r="J2223" s="9">
        <f t="shared" si="244"/>
        <v>16.951916716920749</v>
      </c>
    </row>
    <row r="2224" spans="2:10" x14ac:dyDescent="0.25">
      <c r="B2224" s="1">
        <v>41052</v>
      </c>
      <c r="C2224" s="13">
        <v>20.376999999999999</v>
      </c>
      <c r="D2224" s="6">
        <f t="shared" si="238"/>
        <v>2.4381660969233776E-2</v>
      </c>
      <c r="E2224" s="14">
        <f t="shared" si="239"/>
        <v>3.4658453189669221E-4</v>
      </c>
      <c r="F2224" s="9">
        <f t="shared" si="240"/>
        <v>17.019967027214321</v>
      </c>
      <c r="G2224" s="9">
        <f t="shared" si="241"/>
        <v>-0.16890494249185439</v>
      </c>
      <c r="H2224" s="9">
        <f t="shared" si="242"/>
        <v>-6.8387476401441495E-3</v>
      </c>
      <c r="I2224" s="9">
        <f t="shared" si="243"/>
        <v>-1.5268772755594039E-2</v>
      </c>
      <c r="J2224" s="9">
        <f t="shared" si="244"/>
        <v>16.828954564326729</v>
      </c>
    </row>
    <row r="2225" spans="2:10" x14ac:dyDescent="0.25">
      <c r="B2225" s="1">
        <v>41051</v>
      </c>
      <c r="C2225" s="13">
        <v>19.891999999999999</v>
      </c>
      <c r="D2225" s="6">
        <f t="shared" si="238"/>
        <v>-7.6823306395290558E-3</v>
      </c>
      <c r="E2225" s="14">
        <f t="shared" si="239"/>
        <v>3.4403106751386414E-4</v>
      </c>
      <c r="F2225" s="9">
        <f t="shared" si="240"/>
        <v>17.027361809553092</v>
      </c>
      <c r="G2225" s="9">
        <f t="shared" si="241"/>
        <v>-0.75471508868299808</v>
      </c>
      <c r="H2225" s="9">
        <f t="shared" si="242"/>
        <v>-8.570647639573277E-3</v>
      </c>
      <c r="I2225" s="9">
        <f t="shared" si="243"/>
        <v>-1.4474161657191422E-2</v>
      </c>
      <c r="J2225" s="9">
        <f t="shared" si="244"/>
        <v>16.249601911573329</v>
      </c>
    </row>
    <row r="2226" spans="2:10" x14ac:dyDescent="0.25">
      <c r="B2226" s="1">
        <v>41050</v>
      </c>
      <c r="C2226" s="13">
        <v>20.045999999999999</v>
      </c>
      <c r="D2226" s="6">
        <f t="shared" si="238"/>
        <v>5.8283180234399712E-2</v>
      </c>
      <c r="E2226" s="14">
        <f t="shared" si="239"/>
        <v>3.5093334957056471E-4</v>
      </c>
      <c r="F2226" s="9">
        <f t="shared" si="240"/>
        <v>17.007497457217212</v>
      </c>
      <c r="G2226" s="9">
        <f t="shared" si="241"/>
        <v>-0.12385059161399035</v>
      </c>
      <c r="H2226" s="9">
        <f t="shared" si="242"/>
        <v>-1.5110521613879357E-2</v>
      </c>
      <c r="I2226" s="9">
        <f t="shared" si="243"/>
        <v>-0.1335492826669889</v>
      </c>
      <c r="J2226" s="9">
        <f t="shared" si="244"/>
        <v>16.73498706132235</v>
      </c>
    </row>
    <row r="2227" spans="2:10" x14ac:dyDescent="0.25">
      <c r="B2227" s="1">
        <v>41047</v>
      </c>
      <c r="C2227" s="13">
        <v>18.942</v>
      </c>
      <c r="D2227" s="6">
        <f t="shared" si="238"/>
        <v>4.753604816987167E-4</v>
      </c>
      <c r="E2227" s="14">
        <f t="shared" si="239"/>
        <v>3.2727582940581375E-4</v>
      </c>
      <c r="F2227" s="9">
        <f t="shared" si="240"/>
        <v>17.077290445047964</v>
      </c>
      <c r="G2227" s="9">
        <f t="shared" si="241"/>
        <v>-4.9184535523984092</v>
      </c>
      <c r="H2227" s="9">
        <f t="shared" si="242"/>
        <v>-0.29257388692043251</v>
      </c>
      <c r="I2227" s="9">
        <f t="shared" si="243"/>
        <v>-1.5453555727439605</v>
      </c>
      <c r="J2227" s="9">
        <f t="shared" si="244"/>
        <v>10.320907432985162</v>
      </c>
    </row>
    <row r="2228" spans="2:10" x14ac:dyDescent="0.25">
      <c r="B2228" s="1">
        <v>41046</v>
      </c>
      <c r="C2228" s="13">
        <v>18.933</v>
      </c>
      <c r="D2228" s="6">
        <f t="shared" si="238"/>
        <v>-2.922627288109525E-2</v>
      </c>
      <c r="E2228" s="14">
        <f t="shared" si="239"/>
        <v>3.3393295762167635E-4</v>
      </c>
      <c r="F2228" s="9">
        <f t="shared" si="240"/>
        <v>17.057153528243859</v>
      </c>
      <c r="G2228" s="9">
        <f t="shared" si="241"/>
        <v>-1.9929212757622676E-3</v>
      </c>
      <c r="H2228" s="9">
        <f t="shared" si="242"/>
        <v>-1.9024453072031889E-3</v>
      </c>
      <c r="I2228" s="9">
        <f t="shared" si="243"/>
        <v>-0.13192572242906617</v>
      </c>
      <c r="J2228" s="9">
        <f t="shared" si="244"/>
        <v>16.921332439231829</v>
      </c>
    </row>
    <row r="2229" spans="2:10" x14ac:dyDescent="0.25">
      <c r="B2229" s="1">
        <v>41045</v>
      </c>
      <c r="C2229" s="13">
        <v>19.503</v>
      </c>
      <c r="D2229" s="6">
        <f t="shared" si="238"/>
        <v>-1.2806236080178168E-2</v>
      </c>
      <c r="E2229" s="14">
        <f t="shared" si="239"/>
        <v>3.2761789182675528E-4</v>
      </c>
      <c r="F2229" s="9">
        <f t="shared" si="240"/>
        <v>17.076245810045499</v>
      </c>
      <c r="G2229" s="9">
        <f t="shared" si="241"/>
        <v>-1.4571288635981572</v>
      </c>
      <c r="H2229" s="9">
        <f t="shared" si="242"/>
        <v>3.8397786988127867E-2</v>
      </c>
      <c r="I2229" s="9">
        <f t="shared" si="243"/>
        <v>-0.10342061534174568</v>
      </c>
      <c r="J2229" s="9">
        <f t="shared" si="244"/>
        <v>15.554094118093724</v>
      </c>
    </row>
    <row r="2230" spans="2:10" x14ac:dyDescent="0.25">
      <c r="B2230" s="1">
        <v>41044</v>
      </c>
      <c r="C2230" s="13">
        <v>19.756</v>
      </c>
      <c r="D2230" s="6">
        <f t="shared" si="238"/>
        <v>-9.0288924558586947E-3</v>
      </c>
      <c r="E2230" s="14">
        <f t="shared" si="239"/>
        <v>3.2851089963937115E-4</v>
      </c>
      <c r="F2230" s="9">
        <f t="shared" si="240"/>
        <v>17.073523757986116</v>
      </c>
      <c r="G2230" s="9">
        <f t="shared" si="241"/>
        <v>-0.31801815237355019</v>
      </c>
      <c r="H2230" s="9">
        <f t="shared" si="242"/>
        <v>-5.5033893261961456E-3</v>
      </c>
      <c r="I2230" s="9">
        <f t="shared" si="243"/>
        <v>-3.7220391224368587E-3</v>
      </c>
      <c r="J2230" s="9">
        <f t="shared" si="244"/>
        <v>16.746280177163932</v>
      </c>
    </row>
    <row r="2231" spans="2:10" x14ac:dyDescent="0.25">
      <c r="B2231" s="1">
        <v>41043</v>
      </c>
      <c r="C2231" s="13">
        <v>19.936</v>
      </c>
      <c r="D2231" s="6">
        <f t="shared" si="238"/>
        <v>-1.5019762845849716E-2</v>
      </c>
      <c r="E2231" s="14">
        <f t="shared" si="239"/>
        <v>3.2804550193417961E-4</v>
      </c>
      <c r="F2231" s="9">
        <f t="shared" si="240"/>
        <v>17.074941451217114</v>
      </c>
      <c r="G2231" s="9">
        <f t="shared" si="241"/>
        <v>-0.17359102763041209</v>
      </c>
      <c r="H2231" s="9">
        <f t="shared" si="242"/>
        <v>-8.0606271659749973E-4</v>
      </c>
      <c r="I2231" s="9">
        <f t="shared" si="243"/>
        <v>-1.208668777648169E-4</v>
      </c>
      <c r="J2231" s="9">
        <f t="shared" si="244"/>
        <v>16.900423493992339</v>
      </c>
    </row>
    <row r="2232" spans="2:10" x14ac:dyDescent="0.25">
      <c r="B2232" s="1">
        <v>41040</v>
      </c>
      <c r="C2232" s="13">
        <v>20.239999999999998</v>
      </c>
      <c r="D2232" s="6">
        <f t="shared" si="238"/>
        <v>-6.6745190420103295E-3</v>
      </c>
      <c r="E2232" s="14">
        <f t="shared" si="239"/>
        <v>3.2945010980303983E-4</v>
      </c>
      <c r="F2232" s="9">
        <f t="shared" si="240"/>
        <v>17.070668844737117</v>
      </c>
      <c r="G2232" s="9">
        <f t="shared" si="241"/>
        <v>-0.42183382432746314</v>
      </c>
      <c r="H2232" s="9">
        <f t="shared" si="242"/>
        <v>-8.24079065712458E-3</v>
      </c>
      <c r="I2232" s="9">
        <f t="shared" si="243"/>
        <v>-7.7317515427680096E-3</v>
      </c>
      <c r="J2232" s="9">
        <f t="shared" si="244"/>
        <v>16.632862478209759</v>
      </c>
    </row>
    <row r="2233" spans="2:10" x14ac:dyDescent="0.25">
      <c r="B2233" s="1">
        <v>41039</v>
      </c>
      <c r="C2233" s="13">
        <v>20.376000000000001</v>
      </c>
      <c r="D2233" s="6">
        <f t="shared" si="238"/>
        <v>2.3612750885479983E-3</v>
      </c>
      <c r="E2233" s="14">
        <f t="shared" si="239"/>
        <v>3.3019774444840929E-4</v>
      </c>
      <c r="F2233" s="9">
        <f t="shared" si="240"/>
        <v>17.068402074791067</v>
      </c>
      <c r="G2233" s="9">
        <f t="shared" si="241"/>
        <v>-0.10467206728886873</v>
      </c>
      <c r="H2233" s="9">
        <f t="shared" si="242"/>
        <v>-2.8789936310676472E-3</v>
      </c>
      <c r="I2233" s="9">
        <f t="shared" si="243"/>
        <v>-2.8106451076895344E-3</v>
      </c>
      <c r="J2233" s="9">
        <f t="shared" si="244"/>
        <v>16.958040368763438</v>
      </c>
    </row>
    <row r="2234" spans="2:10" x14ac:dyDescent="0.25">
      <c r="B2234" s="1">
        <v>41038</v>
      </c>
      <c r="C2234" s="13">
        <v>20.327999999999999</v>
      </c>
      <c r="D2234" s="6">
        <f t="shared" si="238"/>
        <v>1.7740981667651035E-3</v>
      </c>
      <c r="E2234" s="14">
        <f t="shared" si="239"/>
        <v>3.3415570827593458E-4</v>
      </c>
      <c r="F2234" s="9">
        <f t="shared" si="240"/>
        <v>17.05648669860318</v>
      </c>
      <c r="G2234" s="9">
        <f t="shared" si="241"/>
        <v>-8.0836828760164645E-4</v>
      </c>
      <c r="H2234" s="9">
        <f t="shared" si="242"/>
        <v>7.7287449763226504E-4</v>
      </c>
      <c r="I2234" s="9">
        <f t="shared" si="243"/>
        <v>-4.8909201739445338E-2</v>
      </c>
      <c r="J2234" s="9">
        <f t="shared" si="244"/>
        <v>17.007542003073766</v>
      </c>
    </row>
    <row r="2235" spans="2:10" x14ac:dyDescent="0.25">
      <c r="B2235" s="1">
        <v>41037</v>
      </c>
      <c r="C2235" s="13">
        <v>20.292000000000002</v>
      </c>
      <c r="D2235" s="6">
        <f t="shared" si="238"/>
        <v>-2.3108314076403236E-3</v>
      </c>
      <c r="E2235" s="14">
        <f t="shared" si="239"/>
        <v>3.3664472321382675E-4</v>
      </c>
      <c r="F2235" s="9">
        <f t="shared" si="240"/>
        <v>17.049065634918673</v>
      </c>
      <c r="G2235" s="9">
        <f t="shared" si="241"/>
        <v>-3.2079965505873144E-5</v>
      </c>
      <c r="H2235" s="9">
        <f t="shared" si="242"/>
        <v>1.0604608659593796E-4</v>
      </c>
      <c r="I2235" s="9">
        <f t="shared" si="243"/>
        <v>-2.0497274655416578E-2</v>
      </c>
      <c r="J2235" s="9">
        <f t="shared" si="244"/>
        <v>17.028642326384347</v>
      </c>
    </row>
    <row r="2236" spans="2:10" x14ac:dyDescent="0.25">
      <c r="B2236" s="1">
        <v>41036</v>
      </c>
      <c r="C2236" s="13">
        <v>20.338999999999999</v>
      </c>
      <c r="D2236" s="6">
        <f t="shared" si="238"/>
        <v>7.4796909054883898E-3</v>
      </c>
      <c r="E2236" s="14">
        <f t="shared" si="239"/>
        <v>3.3658122912469878E-4</v>
      </c>
      <c r="F2236" s="9">
        <f t="shared" si="240"/>
        <v>17.049254261305091</v>
      </c>
      <c r="G2236" s="9">
        <f t="shared" si="241"/>
        <v>-2.3107584613891501E-2</v>
      </c>
      <c r="H2236" s="9">
        <f t="shared" si="242"/>
        <v>-6.3805237669715227E-4</v>
      </c>
      <c r="I2236" s="9">
        <f t="shared" si="243"/>
        <v>-8.9532166296339827E-5</v>
      </c>
      <c r="J2236" s="9">
        <f t="shared" si="244"/>
        <v>17.025419092148205</v>
      </c>
    </row>
    <row r="2237" spans="2:10" x14ac:dyDescent="0.25">
      <c r="B2237" s="1">
        <v>41033</v>
      </c>
      <c r="C2237" s="13">
        <v>20.187999999999999</v>
      </c>
      <c r="D2237" s="6">
        <f t="shared" si="238"/>
        <v>-2.8442177198132801E-2</v>
      </c>
      <c r="E2237" s="14">
        <f t="shared" si="239"/>
        <v>3.4329472892883565E-4</v>
      </c>
      <c r="F2237" s="9">
        <f t="shared" si="240"/>
        <v>17.029504429168242</v>
      </c>
      <c r="G2237" s="9">
        <f t="shared" si="241"/>
        <v>-5.0031733061466577E-2</v>
      </c>
      <c r="H2237" s="9">
        <f t="shared" si="242"/>
        <v>9.4723163831035052E-3</v>
      </c>
      <c r="I2237" s="9">
        <f t="shared" si="243"/>
        <v>-0.12985200424020499</v>
      </c>
      <c r="J2237" s="9">
        <f t="shared" si="244"/>
        <v>16.859093008249673</v>
      </c>
    </row>
    <row r="2238" spans="2:10" x14ac:dyDescent="0.25">
      <c r="B2238" s="1">
        <v>41032</v>
      </c>
      <c r="C2238" s="13">
        <v>20.779</v>
      </c>
      <c r="D2238" s="6">
        <f t="shared" si="238"/>
        <v>-7.1196483180429038E-3</v>
      </c>
      <c r="E2238" s="14">
        <f t="shared" si="239"/>
        <v>3.4252830662803989E-4</v>
      </c>
      <c r="F2238" s="9">
        <f t="shared" si="240"/>
        <v>17.031739474012497</v>
      </c>
      <c r="G2238" s="9">
        <f t="shared" si="241"/>
        <v>-1.3237621800768948</v>
      </c>
      <c r="H2238" s="9">
        <f t="shared" si="242"/>
        <v>-2.2434767350355597E-4</v>
      </c>
      <c r="I2238" s="9">
        <f t="shared" si="243"/>
        <v>-7.6377959199028136E-4</v>
      </c>
      <c r="J2238" s="9">
        <f t="shared" si="244"/>
        <v>15.706989166670109</v>
      </c>
    </row>
    <row r="2239" spans="2:10" x14ac:dyDescent="0.25">
      <c r="B2239" s="1">
        <v>41031</v>
      </c>
      <c r="C2239" s="13">
        <v>20.928000000000001</v>
      </c>
      <c r="D2239" s="6">
        <f t="shared" si="238"/>
        <v>6.6378066378067757E-3</v>
      </c>
      <c r="E2239" s="14">
        <f t="shared" si="239"/>
        <v>3.4304572536041506E-4</v>
      </c>
      <c r="F2239" s="9">
        <f t="shared" si="240"/>
        <v>17.030230027019247</v>
      </c>
      <c r="G2239" s="9">
        <f t="shared" si="241"/>
        <v>-0.1118456834511827</v>
      </c>
      <c r="H2239" s="9">
        <f t="shared" si="242"/>
        <v>-2.4857049678590811E-3</v>
      </c>
      <c r="I2239" s="9">
        <f t="shared" si="243"/>
        <v>-1.5181420932622084E-3</v>
      </c>
      <c r="J2239" s="9">
        <f t="shared" si="244"/>
        <v>16.914380496506944</v>
      </c>
    </row>
    <row r="2240" spans="2:10" x14ac:dyDescent="0.25">
      <c r="B2240" s="1">
        <v>41030</v>
      </c>
      <c r="C2240" s="13">
        <v>20.79</v>
      </c>
      <c r="D2240" s="6">
        <f t="shared" si="238"/>
        <v>-3.1645569620254443E-3</v>
      </c>
      <c r="E2240" s="14">
        <f t="shared" si="239"/>
        <v>3.4312627490872352E-4</v>
      </c>
      <c r="F2240" s="9">
        <f t="shared" si="240"/>
        <v>17.029995247550989</v>
      </c>
      <c r="G2240" s="9">
        <f t="shared" si="241"/>
        <v>-3.6690541340460889E-2</v>
      </c>
      <c r="H2240" s="9">
        <f t="shared" si="242"/>
        <v>9.5182436898747056E-4</v>
      </c>
      <c r="I2240" s="9">
        <f t="shared" si="243"/>
        <v>-2.6515831163201678E-4</v>
      </c>
      <c r="J2240" s="9">
        <f t="shared" si="244"/>
        <v>16.993991372267882</v>
      </c>
    </row>
    <row r="2241" spans="2:10" x14ac:dyDescent="0.25">
      <c r="B2241" s="1">
        <v>41029</v>
      </c>
      <c r="C2241" s="13">
        <v>20.856000000000002</v>
      </c>
      <c r="D2241" s="6">
        <f t="shared" si="238"/>
        <v>-3.1575037147102525E-2</v>
      </c>
      <c r="E2241" s="14">
        <f t="shared" si="239"/>
        <v>3.4366187327298045E-4</v>
      </c>
      <c r="F2241" s="9">
        <f t="shared" si="240"/>
        <v>17.028435527936562</v>
      </c>
      <c r="G2241" s="9">
        <f t="shared" si="241"/>
        <v>-3.3507224658550466E-2</v>
      </c>
      <c r="H2241" s="9">
        <f t="shared" si="242"/>
        <v>-1.3780569192317069E-3</v>
      </c>
      <c r="I2241" s="9">
        <f t="shared" si="243"/>
        <v>-1.5854818467456089E-3</v>
      </c>
      <c r="J2241" s="9">
        <f t="shared" si="244"/>
        <v>16.991964764512034</v>
      </c>
    </row>
    <row r="2242" spans="2:10" x14ac:dyDescent="0.25">
      <c r="B2242" s="1">
        <v>41026</v>
      </c>
      <c r="C2242" s="13">
        <v>21.536000000000001</v>
      </c>
      <c r="D2242" s="6">
        <f t="shared" si="238"/>
        <v>-7.7405086619977137E-3</v>
      </c>
      <c r="E2242" s="14">
        <f t="shared" si="239"/>
        <v>3.3442601648642472E-4</v>
      </c>
      <c r="F2242" s="9">
        <f t="shared" si="240"/>
        <v>17.055678096706934</v>
      </c>
      <c r="G2242" s="9">
        <f t="shared" si="241"/>
        <v>-1.6530721288059294</v>
      </c>
      <c r="H2242" s="9">
        <f t="shared" si="242"/>
        <v>6.1921608784107962E-2</v>
      </c>
      <c r="I2242" s="9">
        <f t="shared" si="243"/>
        <v>-0.22316611256008972</v>
      </c>
      <c r="J2242" s="9">
        <f t="shared" si="244"/>
        <v>15.241361464125022</v>
      </c>
    </row>
    <row r="2243" spans="2:10" x14ac:dyDescent="0.25">
      <c r="B2243" s="1">
        <v>41025</v>
      </c>
      <c r="C2243" s="13">
        <v>21.704000000000001</v>
      </c>
      <c r="D2243" s="6">
        <f t="shared" si="238"/>
        <v>-3.7638850638024302E-3</v>
      </c>
      <c r="E2243" s="14">
        <f t="shared" si="239"/>
        <v>3.3335981033411538E-4</v>
      </c>
      <c r="F2243" s="9">
        <f t="shared" si="240"/>
        <v>17.058871357226963</v>
      </c>
      <c r="G2243" s="9">
        <f t="shared" si="241"/>
        <v>-0.13201417941271307</v>
      </c>
      <c r="H2243" s="9">
        <f t="shared" si="242"/>
        <v>5.5110080446194975E-4</v>
      </c>
      <c r="I2243" s="9">
        <f t="shared" si="243"/>
        <v>-1.8487257316966994E-3</v>
      </c>
      <c r="J2243" s="9">
        <f t="shared" si="244"/>
        <v>16.925559552887012</v>
      </c>
    </row>
    <row r="2244" spans="2:10" x14ac:dyDescent="0.25">
      <c r="B2244" s="1">
        <v>41024</v>
      </c>
      <c r="C2244" s="13">
        <v>21.786000000000001</v>
      </c>
      <c r="D2244" s="6">
        <f t="shared" si="238"/>
        <v>8.8755622188905425E-2</v>
      </c>
      <c r="E2244" s="14">
        <f t="shared" si="239"/>
        <v>3.3771873368996353E-4</v>
      </c>
      <c r="F2244" s="9">
        <f t="shared" si="240"/>
        <v>17.045880375180154</v>
      </c>
      <c r="G2244" s="9">
        <f t="shared" si="241"/>
        <v>-4.315930709708888E-2</v>
      </c>
      <c r="H2244" s="9">
        <f t="shared" si="242"/>
        <v>-6.0907307418568918E-3</v>
      </c>
      <c r="I2244" s="9">
        <f t="shared" si="243"/>
        <v>-5.7910986183016606E-2</v>
      </c>
      <c r="J2244" s="9">
        <f t="shared" si="244"/>
        <v>16.938719351158191</v>
      </c>
    </row>
    <row r="2245" spans="2:10" x14ac:dyDescent="0.25">
      <c r="B2245" s="1">
        <v>41023</v>
      </c>
      <c r="C2245" s="13">
        <v>20.010000000000002</v>
      </c>
      <c r="D2245" s="6">
        <f t="shared" si="238"/>
        <v>-1.998236849838364E-2</v>
      </c>
      <c r="E2245" s="14">
        <f t="shared" si="239"/>
        <v>2.7682147288589972E-4</v>
      </c>
      <c r="F2245" s="9">
        <f t="shared" si="240"/>
        <v>17.244720979199329</v>
      </c>
      <c r="G2245" s="9">
        <f t="shared" si="241"/>
        <v>-13.752185206333419</v>
      </c>
      <c r="H2245" s="9">
        <f t="shared" si="242"/>
        <v>-1.398625243098073</v>
      </c>
      <c r="I2245" s="9">
        <f t="shared" si="243"/>
        <v>-12.236975746436093</v>
      </c>
      <c r="J2245" s="9">
        <f t="shared" si="244"/>
        <v>-10.143065216668255</v>
      </c>
    </row>
    <row r="2246" spans="2:10" x14ac:dyDescent="0.25">
      <c r="B2246" s="1">
        <v>41022</v>
      </c>
      <c r="C2246" s="13">
        <v>20.417999999999999</v>
      </c>
      <c r="D2246" s="6">
        <f t="shared" si="238"/>
        <v>-2.2478498827208648E-3</v>
      </c>
      <c r="E2246" s="14">
        <f t="shared" si="239"/>
        <v>2.7249585716088897E-4</v>
      </c>
      <c r="F2246" s="9">
        <f t="shared" si="240"/>
        <v>17.260470364480437</v>
      </c>
      <c r="G2246" s="9">
        <f t="shared" si="241"/>
        <v>-0.8593924605865092</v>
      </c>
      <c r="H2246" s="9">
        <f t="shared" si="242"/>
        <v>2.0667948611474765E-2</v>
      </c>
      <c r="I2246" s="9">
        <f t="shared" si="243"/>
        <v>-5.3580109234499074E-2</v>
      </c>
      <c r="J2246" s="9">
        <f t="shared" si="244"/>
        <v>16.368165743270904</v>
      </c>
    </row>
    <row r="2247" spans="2:10" x14ac:dyDescent="0.25">
      <c r="B2247" s="1">
        <v>41019</v>
      </c>
      <c r="C2247" s="13">
        <v>20.463999999999999</v>
      </c>
      <c r="D2247" s="6">
        <f t="shared" si="238"/>
        <v>-2.4594852240228837E-2</v>
      </c>
      <c r="E2247" s="14">
        <f t="shared" si="239"/>
        <v>2.7268953664153812E-4</v>
      </c>
      <c r="F2247" s="9">
        <f t="shared" si="240"/>
        <v>17.259759855758087</v>
      </c>
      <c r="G2247" s="9">
        <f t="shared" si="241"/>
        <v>-2.7616761374020714E-2</v>
      </c>
      <c r="H2247" s="9">
        <f t="shared" si="242"/>
        <v>-1.0451923057528769E-3</v>
      </c>
      <c r="I2247" s="9">
        <f t="shared" si="243"/>
        <v>-1.000702227387859E-3</v>
      </c>
      <c r="J2247" s="9">
        <f t="shared" si="244"/>
        <v>17.230097199850928</v>
      </c>
    </row>
    <row r="2248" spans="2:10" x14ac:dyDescent="0.25">
      <c r="B2248" s="1">
        <v>41018</v>
      </c>
      <c r="C2248" s="13">
        <v>20.98</v>
      </c>
      <c r="D2248" s="6">
        <f t="shared" si="238"/>
        <v>-3.4336739390591897E-2</v>
      </c>
      <c r="E2248" s="14">
        <f t="shared" si="239"/>
        <v>2.6636430788361113E-4</v>
      </c>
      <c r="F2248" s="9">
        <f t="shared" si="240"/>
        <v>17.283228825114545</v>
      </c>
      <c r="G2248" s="9">
        <f t="shared" si="241"/>
        <v>-1.2945401594475527</v>
      </c>
      <c r="H2248" s="9">
        <f t="shared" si="242"/>
        <v>4.021244475229336E-2</v>
      </c>
      <c r="I2248" s="9">
        <f t="shared" si="243"/>
        <v>-0.1234018347388053</v>
      </c>
      <c r="J2248" s="9">
        <f t="shared" si="244"/>
        <v>15.905499275680478</v>
      </c>
    </row>
    <row r="2249" spans="2:10" x14ac:dyDescent="0.25">
      <c r="B2249" s="1">
        <v>41017</v>
      </c>
      <c r="C2249" s="13">
        <v>21.725999999999999</v>
      </c>
      <c r="D2249" s="6">
        <f t="shared" si="238"/>
        <v>-2.2502870264063946E-3</v>
      </c>
      <c r="E2249" s="14">
        <f t="shared" si="239"/>
        <v>2.5895272792647367E-4</v>
      </c>
      <c r="F2249" s="9">
        <f t="shared" si="240"/>
        <v>17.311448248006101</v>
      </c>
      <c r="G2249" s="9">
        <f t="shared" si="241"/>
        <v>-2.5047875146133047</v>
      </c>
      <c r="H2249" s="9">
        <f t="shared" si="242"/>
        <v>6.7886533296891954E-2</v>
      </c>
      <c r="I2249" s="9">
        <f t="shared" si="243"/>
        <v>-0.17676254769259772</v>
      </c>
      <c r="J2249" s="9">
        <f t="shared" si="244"/>
        <v>14.697784718997092</v>
      </c>
    </row>
    <row r="2250" spans="2:10" x14ac:dyDescent="0.25">
      <c r="B2250" s="1">
        <v>41016</v>
      </c>
      <c r="C2250" s="13">
        <v>21.774999999999999</v>
      </c>
      <c r="D2250" s="6">
        <f t="shared" si="238"/>
        <v>5.0967710796852916E-2</v>
      </c>
      <c r="E2250" s="14">
        <f t="shared" si="239"/>
        <v>2.6578570470472301E-4</v>
      </c>
      <c r="F2250" s="9">
        <f t="shared" si="240"/>
        <v>17.2854034127053</v>
      </c>
      <c r="G2250" s="9">
        <f t="shared" si="241"/>
        <v>-2.8369762074239167E-2</v>
      </c>
      <c r="H2250" s="9">
        <f t="shared" si="242"/>
        <v>-8.2353070907368528E-3</v>
      </c>
      <c r="I2250" s="9">
        <f t="shared" si="243"/>
        <v>-0.17989503780633742</v>
      </c>
      <c r="J2250" s="9">
        <f t="shared" si="244"/>
        <v>17.06890330573399</v>
      </c>
    </row>
    <row r="2251" spans="2:10" x14ac:dyDescent="0.25">
      <c r="B2251" s="1">
        <v>41015</v>
      </c>
      <c r="C2251" s="13">
        <v>20.719000000000001</v>
      </c>
      <c r="D2251" s="6">
        <f t="shared" si="238"/>
        <v>-4.1452694887809227E-2</v>
      </c>
      <c r="E2251" s="14">
        <f t="shared" si="239"/>
        <v>2.4781906844179101E-4</v>
      </c>
      <c r="F2251" s="9">
        <f t="shared" si="240"/>
        <v>17.355394858218993</v>
      </c>
      <c r="G2251" s="9">
        <f t="shared" si="241"/>
        <v>-4.9263267592775115</v>
      </c>
      <c r="H2251" s="9">
        <f t="shared" si="242"/>
        <v>-0.25270997342421447</v>
      </c>
      <c r="I2251" s="9">
        <f t="shared" si="243"/>
        <v>-1.1515249872452542</v>
      </c>
      <c r="J2251" s="9">
        <f t="shared" si="244"/>
        <v>11.024833138272012</v>
      </c>
    </row>
    <row r="2252" spans="2:10" x14ac:dyDescent="0.25">
      <c r="B2252" s="1">
        <v>41012</v>
      </c>
      <c r="C2252" s="13">
        <v>21.614999999999998</v>
      </c>
      <c r="D2252" s="6">
        <f t="shared" si="238"/>
        <v>-2.8189910979228627E-2</v>
      </c>
      <c r="E2252" s="14">
        <f t="shared" si="239"/>
        <v>2.3217389873023454E-4</v>
      </c>
      <c r="F2252" s="9">
        <f t="shared" si="240"/>
        <v>17.420607121012573</v>
      </c>
      <c r="G2252" s="9">
        <f t="shared" si="241"/>
        <v>-4.0085947021288568</v>
      </c>
      <c r="H2252" s="9">
        <f t="shared" si="242"/>
        <v>0.20366367666501767</v>
      </c>
      <c r="I2252" s="9">
        <f t="shared" si="243"/>
        <v>-0.92273039239803711</v>
      </c>
      <c r="J2252" s="9">
        <f t="shared" si="244"/>
        <v>12.692945703150697</v>
      </c>
    </row>
    <row r="2253" spans="2:10" x14ac:dyDescent="0.25">
      <c r="B2253" s="1">
        <v>41011</v>
      </c>
      <c r="C2253" s="13">
        <v>22.242000000000001</v>
      </c>
      <c r="D2253" s="6">
        <f t="shared" si="238"/>
        <v>-5.4551958504739373E-3</v>
      </c>
      <c r="E2253" s="14">
        <f t="shared" si="239"/>
        <v>2.5325562881692743E-4</v>
      </c>
      <c r="F2253" s="9">
        <f t="shared" si="240"/>
        <v>17.333694406181593</v>
      </c>
      <c r="G2253" s="9">
        <f t="shared" si="241"/>
        <v>-1.7604740338580926</v>
      </c>
      <c r="H2253" s="9">
        <f t="shared" si="242"/>
        <v>-0.19050407751765214</v>
      </c>
      <c r="I2253" s="9">
        <f t="shared" si="243"/>
        <v>-1.6804830733937468</v>
      </c>
      <c r="J2253" s="9">
        <f t="shared" si="244"/>
        <v>13.702233221412103</v>
      </c>
    </row>
    <row r="2254" spans="2:10" x14ac:dyDescent="0.25">
      <c r="B2254" s="1">
        <v>41010</v>
      </c>
      <c r="C2254" s="13">
        <v>22.364000000000001</v>
      </c>
      <c r="D2254" s="6">
        <f t="shared" si="238"/>
        <v>-3.5644270183566862E-3</v>
      </c>
      <c r="E2254" s="14">
        <f t="shared" si="239"/>
        <v>2.5263574980034288E-4</v>
      </c>
      <c r="F2254" s="9">
        <f t="shared" si="240"/>
        <v>17.336145048169243</v>
      </c>
      <c r="G2254" s="9">
        <f t="shared" si="241"/>
        <v>-9.9571972119696581E-2</v>
      </c>
      <c r="H2254" s="9">
        <f t="shared" si="242"/>
        <v>-3.7542202137272898E-4</v>
      </c>
      <c r="I2254" s="9">
        <f t="shared" si="243"/>
        <v>-2.0519448730839875E-4</v>
      </c>
      <c r="J2254" s="9">
        <f t="shared" si="244"/>
        <v>17.235992459540864</v>
      </c>
    </row>
    <row r="2255" spans="2:10" x14ac:dyDescent="0.25">
      <c r="B2255" s="1">
        <v>41009</v>
      </c>
      <c r="C2255" s="13">
        <v>22.443999999999999</v>
      </c>
      <c r="D2255" s="6">
        <f t="shared" si="238"/>
        <v>-1.2278308321964526E-2</v>
      </c>
      <c r="E2255" s="14">
        <f t="shared" si="239"/>
        <v>2.527803002279248E-4</v>
      </c>
      <c r="F2255" s="9">
        <f t="shared" si="240"/>
        <v>17.335573042466159</v>
      </c>
      <c r="G2255" s="9">
        <f t="shared" si="241"/>
        <v>-5.347390628072736E-2</v>
      </c>
      <c r="H2255" s="9">
        <f t="shared" si="242"/>
        <v>-1.4359674209056964E-3</v>
      </c>
      <c r="I2255" s="9">
        <f t="shared" si="243"/>
        <v>-1.0161658875432423E-3</v>
      </c>
      <c r="J2255" s="9">
        <f t="shared" si="244"/>
        <v>17.279647002876981</v>
      </c>
    </row>
    <row r="2256" spans="2:10" x14ac:dyDescent="0.25">
      <c r="B2256" s="1">
        <v>41008</v>
      </c>
      <c r="C2256" s="13">
        <v>22.722999999999999</v>
      </c>
      <c r="D2256" s="6">
        <f t="shared" ref="D2256:D2319" si="245">C2256/C2257-1</f>
        <v>4.0652202730766529E-3</v>
      </c>
      <c r="E2256" s="14">
        <f t="shared" ref="E2256:E2319" si="246">_xlfn.VAR.S(D2256:D2376)</f>
        <v>2.5796371593235121E-4</v>
      </c>
      <c r="F2256" s="9">
        <f t="shared" si="240"/>
        <v>17.315274836278519</v>
      </c>
      <c r="G2256" s="9">
        <f t="shared" si="241"/>
        <v>-0.37590463568558541</v>
      </c>
      <c r="H2256" s="9">
        <f t="shared" si="242"/>
        <v>-2.3853272001881792E-2</v>
      </c>
      <c r="I2256" s="9">
        <f t="shared" si="243"/>
        <v>-0.11061121944691032</v>
      </c>
      <c r="J2256" s="9">
        <f t="shared" si="244"/>
        <v>16.804905709144141</v>
      </c>
    </row>
    <row r="2257" spans="2:10" x14ac:dyDescent="0.25">
      <c r="B2257" s="1">
        <v>41004</v>
      </c>
      <c r="C2257" s="13">
        <v>22.631</v>
      </c>
      <c r="D2257" s="6">
        <f t="shared" si="245"/>
        <v>1.4979593667309388E-2</v>
      </c>
      <c r="E2257" s="14">
        <f t="shared" si="246"/>
        <v>2.5910021672888073E-4</v>
      </c>
      <c r="F2257" s="9">
        <f t="shared" ref="F2257:F2320" si="247">LN(2*PI())-LN($C$6)-LN(E2257)-0.5*LN(1-POWER($C$7,2))</f>
        <v>17.31087885135306</v>
      </c>
      <c r="G2257" s="9">
        <f t="shared" ref="G2257:G2320" si="248">-POWER(D2256-1-$C$3,2)/(2*E2257*(1-POWER($C$7,2)))</f>
        <v>-1.1502893647206913E-2</v>
      </c>
      <c r="H2257" s="9">
        <f t="shared" ref="H2257:H2320" si="249">$C$7*(D2256-1-$C$3)*(E2256-E2257-$C$5*$C$4)/(E2257*$C$6*(1-POWER($C$7,2)))</f>
        <v>1.3479563515035444E-3</v>
      </c>
      <c r="I2257" s="9">
        <f t="shared" ref="I2257:I2320" si="250">-POWER(E2256-E2257-$C$5*$C$4+$C$4*E2257,2)/(2*POWER($C$6,2)*E2257*(1-POWER($C$7,2)))</f>
        <v>-8.1166923498722857E-3</v>
      </c>
      <c r="J2257" s="9">
        <f t="shared" ref="J2257:J2320" si="251">SUM(F2257:I2257)</f>
        <v>17.292607221707481</v>
      </c>
    </row>
    <row r="2258" spans="2:10" x14ac:dyDescent="0.25">
      <c r="B2258" s="1">
        <v>41003</v>
      </c>
      <c r="C2258" s="13">
        <v>22.297000000000001</v>
      </c>
      <c r="D2258" s="6">
        <f t="shared" si="245"/>
        <v>-7.9640505428011377E-3</v>
      </c>
      <c r="E2258" s="14">
        <f t="shared" si="246"/>
        <v>2.5807479304480946E-4</v>
      </c>
      <c r="F2258" s="9">
        <f t="shared" si="247"/>
        <v>17.314844336956313</v>
      </c>
      <c r="G2258" s="9">
        <f t="shared" si="248"/>
        <v>-0.346430611612289</v>
      </c>
      <c r="H2258" s="9">
        <f t="shared" si="249"/>
        <v>-8.5862300401618754E-4</v>
      </c>
      <c r="I2258" s="9">
        <f t="shared" si="250"/>
        <v>-1.519052319046317E-3</v>
      </c>
      <c r="J2258" s="9">
        <f t="shared" si="251"/>
        <v>16.966036050020961</v>
      </c>
    </row>
    <row r="2259" spans="2:10" x14ac:dyDescent="0.25">
      <c r="B2259" s="1">
        <v>41002</v>
      </c>
      <c r="C2259" s="13">
        <v>22.475999999999999</v>
      </c>
      <c r="D2259" s="6">
        <f t="shared" si="245"/>
        <v>1.7289761926314817E-2</v>
      </c>
      <c r="E2259" s="14">
        <f t="shared" si="246"/>
        <v>2.6233530914548746E-4</v>
      </c>
      <c r="F2259" s="9">
        <f t="shared" si="247"/>
        <v>17.298470283982464</v>
      </c>
      <c r="G2259" s="9">
        <f t="shared" si="248"/>
        <v>-0.17585732837204324</v>
      </c>
      <c r="H2259" s="9">
        <f t="shared" si="249"/>
        <v>-1.3683555315221096E-2</v>
      </c>
      <c r="I2259" s="9">
        <f t="shared" si="250"/>
        <v>-7.5407242269612221E-2</v>
      </c>
      <c r="J2259" s="9">
        <f t="shared" si="251"/>
        <v>17.033522158025587</v>
      </c>
    </row>
    <row r="2260" spans="2:10" x14ac:dyDescent="0.25">
      <c r="B2260" s="1">
        <v>41001</v>
      </c>
      <c r="C2260" s="13">
        <v>22.094000000000001</v>
      </c>
      <c r="D2260" s="6">
        <f t="shared" si="245"/>
        <v>3.1803110260122391E-2</v>
      </c>
      <c r="E2260" s="14">
        <f t="shared" si="246"/>
        <v>2.794491496267129E-4</v>
      </c>
      <c r="F2260" s="9">
        <f t="shared" si="247"/>
        <v>17.235273432702606</v>
      </c>
      <c r="G2260" s="9">
        <f t="shared" si="248"/>
        <v>-0.44021803376485757</v>
      </c>
      <c r="H2260" s="9">
        <f t="shared" si="249"/>
        <v>7.4244264278189587E-2</v>
      </c>
      <c r="I2260" s="9">
        <f t="shared" si="250"/>
        <v>-1.0069205329982862</v>
      </c>
      <c r="J2260" s="9">
        <f t="shared" si="251"/>
        <v>15.862379130217651</v>
      </c>
    </row>
    <row r="2261" spans="2:10" x14ac:dyDescent="0.25">
      <c r="B2261" s="1">
        <v>40998</v>
      </c>
      <c r="C2261" s="13">
        <v>21.413</v>
      </c>
      <c r="D2261" s="6">
        <f t="shared" si="245"/>
        <v>-1.6895459345300901E-2</v>
      </c>
      <c r="E2261" s="14">
        <f t="shared" si="246"/>
        <v>2.7801013554717735E-4</v>
      </c>
      <c r="F2261" s="9">
        <f t="shared" si="247"/>
        <v>17.240436203560034</v>
      </c>
      <c r="G2261" s="9">
        <f t="shared" si="248"/>
        <v>-1.6425141454362648</v>
      </c>
      <c r="H2261" s="9">
        <f t="shared" si="249"/>
        <v>-5.1207446872665995E-3</v>
      </c>
      <c r="I2261" s="9">
        <f t="shared" si="250"/>
        <v>-4.0061794315027852E-3</v>
      </c>
      <c r="J2261" s="9">
        <f t="shared" si="251"/>
        <v>15.588795134005</v>
      </c>
    </row>
    <row r="2262" spans="2:10" x14ac:dyDescent="0.25">
      <c r="B2262" s="1">
        <v>40997</v>
      </c>
      <c r="C2262" s="13">
        <v>21.780999999999999</v>
      </c>
      <c r="D2262" s="6">
        <f t="shared" si="245"/>
        <v>-1.2557802157947329E-2</v>
      </c>
      <c r="E2262" s="14">
        <f t="shared" si="246"/>
        <v>2.7469436784107674E-4</v>
      </c>
      <c r="F2262" s="9">
        <f t="shared" si="247"/>
        <v>17.252434685442573</v>
      </c>
      <c r="G2262" s="9">
        <f t="shared" si="248"/>
        <v>-0.62635013352125568</v>
      </c>
      <c r="H2262" s="9">
        <f t="shared" si="249"/>
        <v>1.2538689541100424E-2</v>
      </c>
      <c r="I2262" s="9">
        <f t="shared" si="250"/>
        <v>-2.9650627612113709E-2</v>
      </c>
      <c r="J2262" s="9">
        <f t="shared" si="251"/>
        <v>16.608972613850302</v>
      </c>
    </row>
    <row r="2263" spans="2:10" x14ac:dyDescent="0.25">
      <c r="B2263" s="1">
        <v>40996</v>
      </c>
      <c r="C2263" s="13">
        <v>22.058</v>
      </c>
      <c r="D2263" s="6">
        <f t="shared" si="245"/>
        <v>5.1034357058232782E-3</v>
      </c>
      <c r="E2263" s="14">
        <f t="shared" si="246"/>
        <v>2.7339809598097463E-4</v>
      </c>
      <c r="F2263" s="9">
        <f t="shared" si="247"/>
        <v>17.257164815347934</v>
      </c>
      <c r="G2263" s="9">
        <f t="shared" si="248"/>
        <v>-0.36908441812672299</v>
      </c>
      <c r="H2263" s="9">
        <f t="shared" si="249"/>
        <v>1.9001613968758864E-3</v>
      </c>
      <c r="I2263" s="9">
        <f t="shared" si="250"/>
        <v>-3.0343532083512725E-3</v>
      </c>
      <c r="J2263" s="9">
        <f t="shared" si="251"/>
        <v>16.886946205409735</v>
      </c>
    </row>
    <row r="2264" spans="2:10" x14ac:dyDescent="0.25">
      <c r="B2264" s="1">
        <v>40995</v>
      </c>
      <c r="C2264" s="13">
        <v>21.946000000000002</v>
      </c>
      <c r="D2264" s="6">
        <f t="shared" si="245"/>
        <v>1.2362764092628487E-2</v>
      </c>
      <c r="E2264" s="14">
        <f t="shared" si="246"/>
        <v>2.7420647826685953E-4</v>
      </c>
      <c r="F2264" s="9">
        <f t="shared" si="247"/>
        <v>17.254212382475334</v>
      </c>
      <c r="G2264" s="9">
        <f t="shared" si="248"/>
        <v>-2.2098195476473584E-2</v>
      </c>
      <c r="H2264" s="9">
        <f t="shared" si="249"/>
        <v>1.5085590624547799E-3</v>
      </c>
      <c r="I2264" s="9">
        <f t="shared" si="250"/>
        <v>-4.4997329585026663E-3</v>
      </c>
      <c r="J2264" s="9">
        <f t="shared" si="251"/>
        <v>17.229123013102811</v>
      </c>
    </row>
    <row r="2265" spans="2:10" x14ac:dyDescent="0.25">
      <c r="B2265" s="1">
        <v>40994</v>
      </c>
      <c r="C2265" s="13">
        <v>21.678000000000001</v>
      </c>
      <c r="D2265" s="6">
        <f t="shared" si="245"/>
        <v>1.8320180383314622E-2</v>
      </c>
      <c r="E2265" s="14">
        <f t="shared" si="246"/>
        <v>2.7757460219902572E-4</v>
      </c>
      <c r="F2265" s="9">
        <f t="shared" si="247"/>
        <v>17.24200404157925</v>
      </c>
      <c r="G2265" s="9">
        <f t="shared" si="248"/>
        <v>-0.20821463144145611</v>
      </c>
      <c r="H2265" s="9">
        <f t="shared" si="249"/>
        <v>1.1922758345849199E-2</v>
      </c>
      <c r="I2265" s="9">
        <f t="shared" si="250"/>
        <v>-4.5805590117201582E-2</v>
      </c>
      <c r="J2265" s="9">
        <f t="shared" si="251"/>
        <v>16.999906578366442</v>
      </c>
    </row>
    <row r="2266" spans="2:10" x14ac:dyDescent="0.25">
      <c r="B2266" s="1">
        <v>40991</v>
      </c>
      <c r="C2266" s="13">
        <v>21.288</v>
      </c>
      <c r="D2266" s="6">
        <f t="shared" si="245"/>
        <v>-5.4660126138752485E-3</v>
      </c>
      <c r="E2266" s="14">
        <f t="shared" si="246"/>
        <v>2.8210896012305418E-4</v>
      </c>
      <c r="F2266" s="9">
        <f t="shared" si="247"/>
        <v>17.22580039566251</v>
      </c>
      <c r="G2266" s="9">
        <f t="shared" si="248"/>
        <v>-0.49533203367088735</v>
      </c>
      <c r="H2266" s="9">
        <f t="shared" si="249"/>
        <v>2.334370923516213E-2</v>
      </c>
      <c r="I2266" s="9">
        <f t="shared" si="250"/>
        <v>-7.7619930310878604E-2</v>
      </c>
      <c r="J2266" s="9">
        <f t="shared" si="251"/>
        <v>16.676192140915909</v>
      </c>
    </row>
    <row r="2267" spans="2:10" x14ac:dyDescent="0.25">
      <c r="B2267" s="1">
        <v>40990</v>
      </c>
      <c r="C2267" s="13">
        <v>21.405000000000001</v>
      </c>
      <c r="D2267" s="6">
        <f t="shared" si="245"/>
        <v>-5.2514174179756345E-3</v>
      </c>
      <c r="E2267" s="14">
        <f t="shared" si="246"/>
        <v>2.846970197457738E-4</v>
      </c>
      <c r="F2267" s="9">
        <f t="shared" si="247"/>
        <v>17.216668249211033</v>
      </c>
      <c r="G2267" s="9">
        <f t="shared" si="248"/>
        <v>-8.862873045670154E-2</v>
      </c>
      <c r="H2267" s="9">
        <f t="shared" si="249"/>
        <v>-6.2436824965894722E-3</v>
      </c>
      <c r="I2267" s="9">
        <f t="shared" si="250"/>
        <v>-2.7629561042474958E-2</v>
      </c>
      <c r="J2267" s="9">
        <f t="shared" si="251"/>
        <v>17.094166275215269</v>
      </c>
    </row>
    <row r="2268" spans="2:10" x14ac:dyDescent="0.25">
      <c r="B2268" s="1">
        <v>40989</v>
      </c>
      <c r="C2268" s="13">
        <v>21.518000000000001</v>
      </c>
      <c r="D2268" s="6">
        <f t="shared" si="245"/>
        <v>-5.6836560232890188E-3</v>
      </c>
      <c r="E2268" s="14">
        <f t="shared" si="246"/>
        <v>2.847507581314739E-4</v>
      </c>
      <c r="F2268" s="9">
        <f t="shared" si="247"/>
        <v>17.216479510619202</v>
      </c>
      <c r="G2268" s="9">
        <f t="shared" si="248"/>
        <v>-8.3331554515790038E-2</v>
      </c>
      <c r="H2268" s="9">
        <f t="shared" si="249"/>
        <v>-1.5267406918498959E-3</v>
      </c>
      <c r="I2268" s="9">
        <f t="shared" si="250"/>
        <v>-4.7738647244838814E-4</v>
      </c>
      <c r="J2268" s="9">
        <f t="shared" si="251"/>
        <v>17.131143828939113</v>
      </c>
    </row>
    <row r="2269" spans="2:10" x14ac:dyDescent="0.25">
      <c r="B2269" s="1">
        <v>40988</v>
      </c>
      <c r="C2269" s="13">
        <v>21.640999999999998</v>
      </c>
      <c r="D2269" s="6">
        <f t="shared" si="245"/>
        <v>8.0585056828768042E-3</v>
      </c>
      <c r="E2269" s="14">
        <f t="shared" si="246"/>
        <v>2.8550701433797097E-4</v>
      </c>
      <c r="F2269" s="9">
        <f t="shared" si="247"/>
        <v>17.213827177985245</v>
      </c>
      <c r="G2269" s="9">
        <f t="shared" si="248"/>
        <v>-9.3883793893557693E-2</v>
      </c>
      <c r="H2269" s="9">
        <f t="shared" si="249"/>
        <v>-2.9485629428763886E-3</v>
      </c>
      <c r="I2269" s="9">
        <f t="shared" si="250"/>
        <v>-3.8081827447804502E-3</v>
      </c>
      <c r="J2269" s="9">
        <f t="shared" si="251"/>
        <v>17.113186638404031</v>
      </c>
    </row>
    <row r="2270" spans="2:10" x14ac:dyDescent="0.25">
      <c r="B2270" s="1">
        <v>40987</v>
      </c>
      <c r="C2270" s="13">
        <v>21.468</v>
      </c>
      <c r="D2270" s="6">
        <f t="shared" si="245"/>
        <v>2.6538516712092841E-2</v>
      </c>
      <c r="E2270" s="14">
        <f t="shared" si="246"/>
        <v>2.8565587523675032E-4</v>
      </c>
      <c r="F2270" s="9">
        <f t="shared" si="247"/>
        <v>17.213305922473491</v>
      </c>
      <c r="G2270" s="9">
        <f t="shared" si="248"/>
        <v>-7.2608642690953573E-2</v>
      </c>
      <c r="H2270" s="9">
        <f t="shared" si="249"/>
        <v>1.5812231746702146E-3</v>
      </c>
      <c r="I2270" s="9">
        <f t="shared" si="250"/>
        <v>-7.3651606041394673E-4</v>
      </c>
      <c r="J2270" s="9">
        <f t="shared" si="251"/>
        <v>17.141541986896794</v>
      </c>
    </row>
    <row r="2271" spans="2:10" x14ac:dyDescent="0.25">
      <c r="B2271" s="1">
        <v>40984</v>
      </c>
      <c r="C2271" s="13">
        <v>20.913</v>
      </c>
      <c r="D2271" s="6">
        <f t="shared" si="245"/>
        <v>0</v>
      </c>
      <c r="E2271" s="14">
        <f t="shared" si="246"/>
        <v>2.8123602412928709E-4</v>
      </c>
      <c r="F2271" s="9">
        <f t="shared" si="247"/>
        <v>17.228899515089676</v>
      </c>
      <c r="G2271" s="9">
        <f t="shared" si="248"/>
        <v>-1.1065486188660836</v>
      </c>
      <c r="H2271" s="9">
        <f t="shared" si="249"/>
        <v>-2.3702285252938902E-2</v>
      </c>
      <c r="I2271" s="9">
        <f t="shared" si="250"/>
        <v>-5.4792652753558484E-2</v>
      </c>
      <c r="J2271" s="9">
        <f t="shared" si="251"/>
        <v>16.043855958217097</v>
      </c>
    </row>
    <row r="2272" spans="2:10" x14ac:dyDescent="0.25">
      <c r="B2272" s="1">
        <v>40983</v>
      </c>
      <c r="C2272" s="13">
        <v>20.913</v>
      </c>
      <c r="D2272" s="6">
        <f t="shared" si="245"/>
        <v>-6.7914133738602445E-3</v>
      </c>
      <c r="E2272" s="14">
        <f t="shared" si="246"/>
        <v>2.8775857668553493E-4</v>
      </c>
      <c r="F2272" s="9">
        <f t="shared" si="247"/>
        <v>17.205971922199662</v>
      </c>
      <c r="G2272" s="9">
        <f t="shared" si="248"/>
        <v>-4.615155039202852E-3</v>
      </c>
      <c r="H2272" s="9">
        <f t="shared" si="249"/>
        <v>-3.0624407850373203E-3</v>
      </c>
      <c r="I2272" s="9">
        <f t="shared" si="250"/>
        <v>-0.15052605812341366</v>
      </c>
      <c r="J2272" s="9">
        <f t="shared" si="251"/>
        <v>17.047768268252007</v>
      </c>
    </row>
    <row r="2273" spans="2:10" x14ac:dyDescent="0.25">
      <c r="B2273" s="1">
        <v>40982</v>
      </c>
      <c r="C2273" s="13">
        <v>21.056000000000001</v>
      </c>
      <c r="D2273" s="6">
        <f t="shared" si="245"/>
        <v>3.7803736014589084E-2</v>
      </c>
      <c r="E2273" s="14">
        <f t="shared" si="246"/>
        <v>2.8727438540347954E-4</v>
      </c>
      <c r="F2273" s="9">
        <f t="shared" si="247"/>
        <v>17.207655969648794</v>
      </c>
      <c r="G2273" s="9">
        <f t="shared" si="248"/>
        <v>-0.12372368620334755</v>
      </c>
      <c r="H2273" s="9">
        <f t="shared" si="249"/>
        <v>-6.8646942578037655E-4</v>
      </c>
      <c r="I2273" s="9">
        <f t="shared" si="250"/>
        <v>-8.0795807957490003E-5</v>
      </c>
      <c r="J2273" s="9">
        <f t="shared" si="251"/>
        <v>17.083165018211709</v>
      </c>
    </row>
    <row r="2274" spans="2:10" x14ac:dyDescent="0.25">
      <c r="B2274" s="1">
        <v>40981</v>
      </c>
      <c r="C2274" s="13">
        <v>20.289000000000001</v>
      </c>
      <c r="D2274" s="6">
        <f t="shared" si="245"/>
        <v>2.9167089378107081E-2</v>
      </c>
      <c r="E2274" s="14">
        <f t="shared" si="246"/>
        <v>2.7716410767513789E-4</v>
      </c>
      <c r="F2274" s="9">
        <f t="shared" si="247"/>
        <v>17.243483998148015</v>
      </c>
      <c r="G2274" s="9">
        <f t="shared" si="248"/>
        <v>-2.3679180601062475</v>
      </c>
      <c r="H2274" s="9">
        <f t="shared" si="249"/>
        <v>-8.984613406505404E-2</v>
      </c>
      <c r="I2274" s="9">
        <f t="shared" si="250"/>
        <v>-0.31801426429356006</v>
      </c>
      <c r="J2274" s="9">
        <f t="shared" si="251"/>
        <v>14.467705539683154</v>
      </c>
    </row>
    <row r="2275" spans="2:10" x14ac:dyDescent="0.25">
      <c r="B2275" s="1">
        <v>40980</v>
      </c>
      <c r="C2275" s="13">
        <v>19.713999999999999</v>
      </c>
      <c r="D2275" s="6">
        <f t="shared" si="245"/>
        <v>1.2532100667693946E-2</v>
      </c>
      <c r="E2275" s="14">
        <f t="shared" si="246"/>
        <v>2.7655989021022217E-4</v>
      </c>
      <c r="F2275" s="9">
        <f t="shared" si="247"/>
        <v>17.245666376759146</v>
      </c>
      <c r="G2275" s="9">
        <f t="shared" si="248"/>
        <v>-1.3752566944531597</v>
      </c>
      <c r="H2275" s="9">
        <f t="shared" si="249"/>
        <v>1.4488275230690182E-3</v>
      </c>
      <c r="I2275" s="9">
        <f t="shared" si="250"/>
        <v>-2.2721263390825493E-4</v>
      </c>
      <c r="J2275" s="9">
        <f t="shared" si="251"/>
        <v>15.871631297195147</v>
      </c>
    </row>
    <row r="2276" spans="2:10" x14ac:dyDescent="0.25">
      <c r="B2276" s="1">
        <v>40977</v>
      </c>
      <c r="C2276" s="13">
        <v>19.47</v>
      </c>
      <c r="D2276" s="6">
        <f t="shared" si="245"/>
        <v>5.8376814589038428E-3</v>
      </c>
      <c r="E2276" s="14">
        <f t="shared" si="246"/>
        <v>2.7802050227257078E-4</v>
      </c>
      <c r="F2276" s="9">
        <f t="shared" si="247"/>
        <v>17.240398915235652</v>
      </c>
      <c r="G2276" s="9">
        <f t="shared" si="248"/>
        <v>-0.21449048131165427</v>
      </c>
      <c r="H2276" s="9">
        <f t="shared" si="249"/>
        <v>6.5591641032025074E-3</v>
      </c>
      <c r="I2276" s="9">
        <f t="shared" si="250"/>
        <v>-1.0785171594513508E-2</v>
      </c>
      <c r="J2276" s="9">
        <f t="shared" si="251"/>
        <v>17.021682426432687</v>
      </c>
    </row>
    <row r="2277" spans="2:10" x14ac:dyDescent="0.25">
      <c r="B2277" s="1">
        <v>40976</v>
      </c>
      <c r="C2277" s="13">
        <v>19.356999999999999</v>
      </c>
      <c r="D2277" s="6">
        <f t="shared" si="245"/>
        <v>2.1315886667018447E-2</v>
      </c>
      <c r="E2277" s="14">
        <f t="shared" si="246"/>
        <v>2.7829753163735349E-4</v>
      </c>
      <c r="F2277" s="9">
        <f t="shared" si="247"/>
        <v>17.239402976327348</v>
      </c>
      <c r="G2277" s="9">
        <f t="shared" si="248"/>
        <v>-3.1943076245783457E-2</v>
      </c>
      <c r="H2277" s="9">
        <f t="shared" si="249"/>
        <v>1.2059400709542396E-3</v>
      </c>
      <c r="I2277" s="9">
        <f t="shared" si="250"/>
        <v>-1.2660194054900933E-3</v>
      </c>
      <c r="J2277" s="9">
        <f t="shared" si="251"/>
        <v>17.207399820747025</v>
      </c>
    </row>
    <row r="2278" spans="2:10" x14ac:dyDescent="0.25">
      <c r="B2278" s="1">
        <v>40975</v>
      </c>
      <c r="C2278" s="13">
        <v>18.952999999999999</v>
      </c>
      <c r="D2278" s="6">
        <f t="shared" si="245"/>
        <v>7.9205829549056084E-4</v>
      </c>
      <c r="E2278" s="14">
        <f t="shared" si="246"/>
        <v>2.7618745358868327E-4</v>
      </c>
      <c r="F2278" s="9">
        <f t="shared" si="247"/>
        <v>17.247013960540702</v>
      </c>
      <c r="G2278" s="9">
        <f t="shared" si="248"/>
        <v>-0.70384374667110405</v>
      </c>
      <c r="H2278" s="9">
        <f t="shared" si="249"/>
        <v>-6.9004081834932469E-3</v>
      </c>
      <c r="I2278" s="9">
        <f t="shared" si="250"/>
        <v>-1.0432459933938374E-2</v>
      </c>
      <c r="J2278" s="9">
        <f t="shared" si="251"/>
        <v>16.525837345752166</v>
      </c>
    </row>
    <row r="2279" spans="2:10" x14ac:dyDescent="0.25">
      <c r="B2279" s="1">
        <v>40974</v>
      </c>
      <c r="C2279" s="13">
        <v>18.937999999999999</v>
      </c>
      <c r="D2279" s="6">
        <f t="shared" si="245"/>
        <v>-5.4093797594665372E-3</v>
      </c>
      <c r="E2279" s="14">
        <f t="shared" si="246"/>
        <v>2.7689788630688641E-4</v>
      </c>
      <c r="F2279" s="9">
        <f t="shared" si="247"/>
        <v>17.244444978657885</v>
      </c>
      <c r="G2279" s="9">
        <f t="shared" si="248"/>
        <v>-1.2635974111106757E-3</v>
      </c>
      <c r="H2279" s="9">
        <f t="shared" si="249"/>
        <v>-3.3712940714542895E-4</v>
      </c>
      <c r="I2279" s="9">
        <f t="shared" si="250"/>
        <v>-3.7013119100394371E-3</v>
      </c>
      <c r="J2279" s="9">
        <f t="shared" si="251"/>
        <v>17.239142939929589</v>
      </c>
    </row>
    <row r="2280" spans="2:10" x14ac:dyDescent="0.25">
      <c r="B2280" s="1">
        <v>40973</v>
      </c>
      <c r="C2280" s="13">
        <v>19.041</v>
      </c>
      <c r="D2280" s="6">
        <f t="shared" si="245"/>
        <v>-2.2084125109136599E-2</v>
      </c>
      <c r="E2280" s="14">
        <f t="shared" si="246"/>
        <v>2.7642321528091644E-4</v>
      </c>
      <c r="F2280" s="9">
        <f t="shared" si="247"/>
        <v>17.246160695412762</v>
      </c>
      <c r="G2280" s="9">
        <f t="shared" si="248"/>
        <v>-8.982978407764719E-2</v>
      </c>
      <c r="H2280" s="9">
        <f t="shared" si="249"/>
        <v>-6.1422189290677648E-4</v>
      </c>
      <c r="I2280" s="9">
        <f t="shared" si="250"/>
        <v>-5.7382380905821635E-5</v>
      </c>
      <c r="J2280" s="9">
        <f t="shared" si="251"/>
        <v>17.155659307061303</v>
      </c>
    </row>
    <row r="2281" spans="2:10" x14ac:dyDescent="0.25">
      <c r="B2281" s="1">
        <v>40970</v>
      </c>
      <c r="C2281" s="13">
        <v>19.471</v>
      </c>
      <c r="D2281" s="6">
        <f t="shared" si="245"/>
        <v>1.3371046541528209E-3</v>
      </c>
      <c r="E2281" s="14">
        <f t="shared" si="246"/>
        <v>2.7462908327788652E-4</v>
      </c>
      <c r="F2281" s="9">
        <f t="shared" si="247"/>
        <v>17.252672376236092</v>
      </c>
      <c r="G2281" s="9">
        <f t="shared" si="248"/>
        <v>-1.0266533922277812</v>
      </c>
      <c r="H2281" s="9">
        <f t="shared" si="249"/>
        <v>6.3404545693999149E-3</v>
      </c>
      <c r="I2281" s="9">
        <f t="shared" si="250"/>
        <v>-7.0484038506318184E-3</v>
      </c>
      <c r="J2281" s="9">
        <f t="shared" si="251"/>
        <v>16.225311034727078</v>
      </c>
    </row>
    <row r="2282" spans="2:10" x14ac:dyDescent="0.25">
      <c r="B2282" s="1">
        <v>40969</v>
      </c>
      <c r="C2282" s="13">
        <v>19.445</v>
      </c>
      <c r="D2282" s="6">
        <f t="shared" si="245"/>
        <v>3.7165126722757957E-3</v>
      </c>
      <c r="E2282" s="14">
        <f t="shared" si="246"/>
        <v>2.7465810082310876E-4</v>
      </c>
      <c r="F2282" s="9">
        <f t="shared" si="247"/>
        <v>17.252566720957436</v>
      </c>
      <c r="G2282" s="9">
        <f t="shared" si="248"/>
        <v>-1.5381114934022097E-4</v>
      </c>
      <c r="H2282" s="9">
        <f t="shared" si="249"/>
        <v>-6.4855156352401879E-5</v>
      </c>
      <c r="I2282" s="9">
        <f t="shared" si="250"/>
        <v>-4.744437420877862E-4</v>
      </c>
      <c r="J2282" s="9">
        <f t="shared" si="251"/>
        <v>17.251873610909655</v>
      </c>
    </row>
    <row r="2283" spans="2:10" x14ac:dyDescent="0.25">
      <c r="B2283" s="1">
        <v>40968</v>
      </c>
      <c r="C2283" s="13">
        <v>19.373000000000001</v>
      </c>
      <c r="D2283" s="6">
        <f t="shared" si="245"/>
        <v>1.3126242024892765E-2</v>
      </c>
      <c r="E2283" s="14">
        <f t="shared" si="246"/>
        <v>2.7518825065738091E-4</v>
      </c>
      <c r="F2283" s="9">
        <f t="shared" si="247"/>
        <v>17.250638364073271</v>
      </c>
      <c r="G2283" s="9">
        <f t="shared" si="248"/>
        <v>-7.9536851621333712E-3</v>
      </c>
      <c r="H2283" s="9">
        <f t="shared" si="249"/>
        <v>7.4723783606009517E-4</v>
      </c>
      <c r="I2283" s="9">
        <f t="shared" si="250"/>
        <v>-2.5750987112994395E-3</v>
      </c>
      <c r="J2283" s="9">
        <f t="shared" si="251"/>
        <v>17.240856818035898</v>
      </c>
    </row>
    <row r="2284" spans="2:10" x14ac:dyDescent="0.25">
      <c r="B2284" s="1">
        <v>40967</v>
      </c>
      <c r="C2284" s="13">
        <v>19.122</v>
      </c>
      <c r="D2284" s="6">
        <f t="shared" si="245"/>
        <v>1.8373542099376916E-2</v>
      </c>
      <c r="E2284" s="14">
        <f t="shared" si="246"/>
        <v>2.7556990514573514E-4</v>
      </c>
      <c r="F2284" s="9">
        <f t="shared" si="247"/>
        <v>17.249252439796265</v>
      </c>
      <c r="G2284" s="9">
        <f t="shared" si="248"/>
        <v>-0.24062102222330947</v>
      </c>
      <c r="H2284" s="9">
        <f t="shared" si="249"/>
        <v>3.6489741176572088E-3</v>
      </c>
      <c r="I2284" s="9">
        <f t="shared" si="250"/>
        <v>-1.7703799848530319E-3</v>
      </c>
      <c r="J2284" s="9">
        <f t="shared" si="251"/>
        <v>17.010510011705758</v>
      </c>
    </row>
    <row r="2285" spans="2:10" x14ac:dyDescent="0.25">
      <c r="B2285" s="1">
        <v>40966</v>
      </c>
      <c r="C2285" s="13">
        <v>18.777000000000001</v>
      </c>
      <c r="D2285" s="6">
        <f t="shared" si="245"/>
        <v>6.3779611962697658E-3</v>
      </c>
      <c r="E2285" s="14">
        <f t="shared" si="246"/>
        <v>2.7735164470318711E-4</v>
      </c>
      <c r="F2285" s="9">
        <f t="shared" si="247"/>
        <v>17.242807598841431</v>
      </c>
      <c r="G2285" s="9">
        <f t="shared" si="248"/>
        <v>-0.50705459889279059</v>
      </c>
      <c r="H2285" s="9">
        <f t="shared" si="249"/>
        <v>1.1530755612589953E-2</v>
      </c>
      <c r="I2285" s="9">
        <f t="shared" si="250"/>
        <v>-1.5024399708762159E-2</v>
      </c>
      <c r="J2285" s="9">
        <f t="shared" si="251"/>
        <v>16.73225935585247</v>
      </c>
    </row>
    <row r="2286" spans="2:10" x14ac:dyDescent="0.25">
      <c r="B2286" s="1">
        <v>40963</v>
      </c>
      <c r="C2286" s="13">
        <v>18.658000000000001</v>
      </c>
      <c r="D2286" s="6">
        <f t="shared" si="245"/>
        <v>1.1657539445860232E-2</v>
      </c>
      <c r="E2286" s="14">
        <f t="shared" si="246"/>
        <v>2.7857017433163968E-4</v>
      </c>
      <c r="F2286" s="9">
        <f t="shared" si="247"/>
        <v>17.238423775295757</v>
      </c>
      <c r="G2286" s="9">
        <f t="shared" si="248"/>
        <v>-4.0627289638935568E-2</v>
      </c>
      <c r="H2286" s="9">
        <f t="shared" si="249"/>
        <v>2.5465737973323814E-3</v>
      </c>
      <c r="I2286" s="9">
        <f t="shared" si="250"/>
        <v>-8.05613727668111E-3</v>
      </c>
      <c r="J2286" s="9">
        <f t="shared" si="251"/>
        <v>17.192286922177473</v>
      </c>
    </row>
    <row r="2287" spans="2:10" x14ac:dyDescent="0.25">
      <c r="B2287" s="1">
        <v>40962</v>
      </c>
      <c r="C2287" s="13">
        <v>18.443000000000001</v>
      </c>
      <c r="D2287" s="6">
        <f t="shared" si="245"/>
        <v>6.5491458822246607E-3</v>
      </c>
      <c r="E2287" s="14">
        <f t="shared" si="246"/>
        <v>2.799548291005468E-4</v>
      </c>
      <c r="F2287" s="9">
        <f t="shared" si="247"/>
        <v>17.233465509874733</v>
      </c>
      <c r="G2287" s="9">
        <f t="shared" si="248"/>
        <v>-0.1802119906335363</v>
      </c>
      <c r="H2287" s="9">
        <f t="shared" si="249"/>
        <v>5.7902071878500857E-3</v>
      </c>
      <c r="I2287" s="9">
        <f t="shared" si="250"/>
        <v>-9.7901351998279443E-3</v>
      </c>
      <c r="J2287" s="9">
        <f t="shared" si="251"/>
        <v>17.049253591229217</v>
      </c>
    </row>
    <row r="2288" spans="2:10" x14ac:dyDescent="0.25">
      <c r="B2288" s="1">
        <v>40961</v>
      </c>
      <c r="C2288" s="13">
        <v>18.323</v>
      </c>
      <c r="D2288" s="6">
        <f t="shared" si="245"/>
        <v>-3.5349140743964336E-3</v>
      </c>
      <c r="E2288" s="14">
        <f t="shared" si="246"/>
        <v>2.7986311254922367E-4</v>
      </c>
      <c r="F2288" s="9">
        <f t="shared" si="247"/>
        <v>17.233793175515011</v>
      </c>
      <c r="G2288" s="9">
        <f t="shared" si="248"/>
        <v>-4.3406525113571098E-2</v>
      </c>
      <c r="H2288" s="9">
        <f t="shared" si="249"/>
        <v>9.2232213108999026E-4</v>
      </c>
      <c r="I2288" s="9">
        <f t="shared" si="250"/>
        <v>-2.0013209754285858E-4</v>
      </c>
      <c r="J2288" s="9">
        <f t="shared" si="251"/>
        <v>17.191108840434985</v>
      </c>
    </row>
    <row r="2289" spans="2:10" x14ac:dyDescent="0.25">
      <c r="B2289" s="1">
        <v>40960</v>
      </c>
      <c r="C2289" s="13">
        <v>18.388000000000002</v>
      </c>
      <c r="D2289" s="6">
        <f t="shared" si="245"/>
        <v>2.5372218814476266E-2</v>
      </c>
      <c r="E2289" s="14">
        <f t="shared" si="246"/>
        <v>2.8124692348082536E-4</v>
      </c>
      <c r="F2289" s="9">
        <f t="shared" si="247"/>
        <v>17.228860760664901</v>
      </c>
      <c r="G2289" s="9">
        <f t="shared" si="248"/>
        <v>-4.7516640191523726E-2</v>
      </c>
      <c r="H2289" s="9">
        <f t="shared" si="249"/>
        <v>-2.9652240241188348E-3</v>
      </c>
      <c r="I2289" s="9">
        <f t="shared" si="250"/>
        <v>-9.7114483599459664E-3</v>
      </c>
      <c r="J2289" s="9">
        <f t="shared" si="251"/>
        <v>17.168667448089309</v>
      </c>
    </row>
    <row r="2290" spans="2:10" x14ac:dyDescent="0.25">
      <c r="B2290" s="1">
        <v>40956</v>
      </c>
      <c r="C2290" s="13">
        <v>17.933</v>
      </c>
      <c r="D2290" s="6">
        <f t="shared" si="245"/>
        <v>-1.6726137377343075E-4</v>
      </c>
      <c r="E2290" s="14">
        <f t="shared" si="246"/>
        <v>2.8163544491272626E-4</v>
      </c>
      <c r="F2290" s="9">
        <f t="shared" si="247"/>
        <v>17.227480289307415</v>
      </c>
      <c r="G2290" s="9">
        <f t="shared" si="248"/>
        <v>-1.0039349031715918</v>
      </c>
      <c r="H2290" s="9">
        <f t="shared" si="249"/>
        <v>7.415551133900653E-3</v>
      </c>
      <c r="I2290" s="9">
        <f t="shared" si="250"/>
        <v>-1.7171784354175546E-3</v>
      </c>
      <c r="J2290" s="9">
        <f t="shared" si="251"/>
        <v>16.229243758834308</v>
      </c>
    </row>
    <row r="2291" spans="2:10" x14ac:dyDescent="0.25">
      <c r="B2291" s="1">
        <v>40955</v>
      </c>
      <c r="C2291" s="13">
        <v>17.936</v>
      </c>
      <c r="D2291" s="6">
        <f t="shared" si="245"/>
        <v>9.1144368178237567E-3</v>
      </c>
      <c r="E2291" s="14">
        <f t="shared" si="246"/>
        <v>2.8226470022446327E-4</v>
      </c>
      <c r="F2291" s="9">
        <f t="shared" si="247"/>
        <v>17.225248491432019</v>
      </c>
      <c r="G2291" s="9">
        <f t="shared" si="248"/>
        <v>-5.7218564406573066E-3</v>
      </c>
      <c r="H2291" s="9">
        <f t="shared" si="249"/>
        <v>-6.7238308460028753E-4</v>
      </c>
      <c r="I2291" s="9">
        <f t="shared" si="250"/>
        <v>-3.0365832254252911E-3</v>
      </c>
      <c r="J2291" s="9">
        <f t="shared" si="251"/>
        <v>17.215817668681332</v>
      </c>
    </row>
    <row r="2292" spans="2:10" x14ac:dyDescent="0.25">
      <c r="B2292" s="1">
        <v>40954</v>
      </c>
      <c r="C2292" s="13">
        <v>17.774000000000001</v>
      </c>
      <c r="D2292" s="6">
        <f t="shared" si="245"/>
        <v>-2.3138224787029316E-2</v>
      </c>
      <c r="E2292" s="14">
        <f t="shared" si="246"/>
        <v>2.8206185292846598E-4</v>
      </c>
      <c r="F2292" s="9">
        <f t="shared" si="247"/>
        <v>17.225967391875741</v>
      </c>
      <c r="G2292" s="9">
        <f t="shared" si="248"/>
        <v>-9.9663192377011281E-2</v>
      </c>
      <c r="H2292" s="9">
        <f t="shared" si="249"/>
        <v>1.1739878742354853E-3</v>
      </c>
      <c r="I2292" s="9">
        <f t="shared" si="250"/>
        <v>-5.6601692934091145E-5</v>
      </c>
      <c r="J2292" s="9">
        <f t="shared" si="251"/>
        <v>17.127421585680032</v>
      </c>
    </row>
    <row r="2293" spans="2:10" x14ac:dyDescent="0.25">
      <c r="B2293" s="1">
        <v>40953</v>
      </c>
      <c r="C2293" s="13">
        <v>18.195</v>
      </c>
      <c r="D2293" s="6">
        <f t="shared" si="245"/>
        <v>1.3649025069637943E-2</v>
      </c>
      <c r="E2293" s="14">
        <f t="shared" si="246"/>
        <v>2.9358918343220174E-4</v>
      </c>
      <c r="F2293" s="9">
        <f t="shared" si="247"/>
        <v>17.185912320498126</v>
      </c>
      <c r="G2293" s="9">
        <f t="shared" si="248"/>
        <v>-1.0476350100775054</v>
      </c>
      <c r="H2293" s="9">
        <f t="shared" si="249"/>
        <v>-7.689648965157668E-2</v>
      </c>
      <c r="I2293" s="9">
        <f t="shared" si="250"/>
        <v>-0.44130182073956697</v>
      </c>
      <c r="J2293" s="9">
        <f t="shared" si="251"/>
        <v>15.620079000029476</v>
      </c>
    </row>
    <row r="2294" spans="2:10" x14ac:dyDescent="0.25">
      <c r="B2294" s="1">
        <v>40952</v>
      </c>
      <c r="C2294" s="13">
        <v>17.95</v>
      </c>
      <c r="D2294" s="6">
        <f t="shared" si="245"/>
        <v>1.8613097264782663E-2</v>
      </c>
      <c r="E2294" s="14">
        <f t="shared" si="246"/>
        <v>2.9268206001641355E-4</v>
      </c>
      <c r="F2294" s="9">
        <f t="shared" si="247"/>
        <v>17.189006874938002</v>
      </c>
      <c r="G2294" s="9">
        <f t="shared" si="248"/>
        <v>-0.24762085909990492</v>
      </c>
      <c r="H2294" s="9">
        <f t="shared" si="249"/>
        <v>-3.2235874922215092E-4</v>
      </c>
      <c r="I2294" s="9">
        <f t="shared" si="250"/>
        <v>-1.1001749225111462E-3</v>
      </c>
      <c r="J2294" s="9">
        <f t="shared" si="251"/>
        <v>16.939963482166366</v>
      </c>
    </row>
    <row r="2295" spans="2:10" x14ac:dyDescent="0.25">
      <c r="B2295" s="1">
        <v>40949</v>
      </c>
      <c r="C2295" s="13">
        <v>17.622</v>
      </c>
      <c r="D2295" s="6">
        <f t="shared" si="245"/>
        <v>5.1098620337253209E-4</v>
      </c>
      <c r="E2295" s="14">
        <f t="shared" si="246"/>
        <v>2.9819692960409994E-4</v>
      </c>
      <c r="F2295" s="9">
        <f t="shared" si="247"/>
        <v>17.17033966954282</v>
      </c>
      <c r="G2295" s="9">
        <f t="shared" si="248"/>
        <v>-0.48519853558143583</v>
      </c>
      <c r="H2295" s="9">
        <f t="shared" si="249"/>
        <v>2.6601617790894528E-2</v>
      </c>
      <c r="I2295" s="9">
        <f t="shared" si="250"/>
        <v>-0.10502609205378131</v>
      </c>
      <c r="J2295" s="9">
        <f t="shared" si="251"/>
        <v>16.606716659698499</v>
      </c>
    </row>
    <row r="2296" spans="2:10" x14ac:dyDescent="0.25">
      <c r="B2296" s="1">
        <v>40948</v>
      </c>
      <c r="C2296" s="13">
        <v>17.613</v>
      </c>
      <c r="D2296" s="6">
        <f t="shared" si="245"/>
        <v>3.4598214285714191E-2</v>
      </c>
      <c r="E2296" s="14">
        <f t="shared" si="246"/>
        <v>3.1169241486723223E-4</v>
      </c>
      <c r="F2296" s="9">
        <f t="shared" si="247"/>
        <v>17.126076923633409</v>
      </c>
      <c r="G2296" s="9">
        <f t="shared" si="248"/>
        <v>-2.0051072071847597E-3</v>
      </c>
      <c r="H2296" s="9">
        <f t="shared" si="249"/>
        <v>-3.7861891772761574E-3</v>
      </c>
      <c r="I2296" s="9">
        <f t="shared" si="250"/>
        <v>-0.5628657097468287</v>
      </c>
      <c r="J2296" s="9">
        <f t="shared" si="251"/>
        <v>16.55741991750212</v>
      </c>
    </row>
    <row r="2297" spans="2:10" x14ac:dyDescent="0.25">
      <c r="B2297" s="1">
        <v>40947</v>
      </c>
      <c r="C2297" s="13">
        <v>17.024000000000001</v>
      </c>
      <c r="D2297" s="6">
        <f t="shared" si="245"/>
        <v>1.6722408026755842E-2</v>
      </c>
      <c r="E2297" s="14">
        <f t="shared" si="246"/>
        <v>3.0296658610383728E-4</v>
      </c>
      <c r="F2297" s="9">
        <f t="shared" si="247"/>
        <v>17.154471252845461</v>
      </c>
      <c r="G2297" s="9">
        <f t="shared" si="248"/>
        <v>-1.7993648558183755</v>
      </c>
      <c r="H2297" s="9">
        <f t="shared" si="249"/>
        <v>-6.3770648554561341E-2</v>
      </c>
      <c r="I2297" s="9">
        <f t="shared" si="250"/>
        <v>-0.21649281719930005</v>
      </c>
      <c r="J2297" s="9">
        <f t="shared" si="251"/>
        <v>15.074842931273224</v>
      </c>
    </row>
    <row r="2298" spans="2:10" x14ac:dyDescent="0.25">
      <c r="B2298" s="1">
        <v>40946</v>
      </c>
      <c r="C2298" s="13">
        <v>16.744</v>
      </c>
      <c r="D2298" s="6">
        <f t="shared" si="245"/>
        <v>1.0500905250452552E-2</v>
      </c>
      <c r="E2298" s="14">
        <f t="shared" si="246"/>
        <v>3.0189241440703614E-4</v>
      </c>
      <c r="F2298" s="9">
        <f t="shared" si="247"/>
        <v>17.158023065169161</v>
      </c>
      <c r="G2298" s="9">
        <f t="shared" si="248"/>
        <v>-0.37850420944155849</v>
      </c>
      <c r="H2298" s="9">
        <f t="shared" si="249"/>
        <v>-1.0100386209497183E-3</v>
      </c>
      <c r="I2298" s="9">
        <f t="shared" si="250"/>
        <v>-1.8269414005238709E-3</v>
      </c>
      <c r="J2298" s="9">
        <f t="shared" si="251"/>
        <v>16.776681875706128</v>
      </c>
    </row>
    <row r="2299" spans="2:10" x14ac:dyDescent="0.25">
      <c r="B2299" s="1">
        <v>40945</v>
      </c>
      <c r="C2299" s="13">
        <v>16.57</v>
      </c>
      <c r="D2299" s="6">
        <f t="shared" si="245"/>
        <v>9.3196077237009955E-3</v>
      </c>
      <c r="E2299" s="14">
        <f t="shared" si="246"/>
        <v>3.0318467041239283E-4</v>
      </c>
      <c r="F2299" s="9">
        <f t="shared" si="247"/>
        <v>17.153751682224691</v>
      </c>
      <c r="G2299" s="9">
        <f t="shared" si="248"/>
        <v>-0.13023912377274446</v>
      </c>
      <c r="H2299" s="9">
        <f t="shared" si="249"/>
        <v>4.5300604697224916E-3</v>
      </c>
      <c r="I2299" s="9">
        <f t="shared" si="250"/>
        <v>-7.7188617945120608E-3</v>
      </c>
      <c r="J2299" s="9">
        <f t="shared" si="251"/>
        <v>17.020323757127159</v>
      </c>
    </row>
    <row r="2300" spans="2:10" x14ac:dyDescent="0.25">
      <c r="B2300" s="1">
        <v>40942</v>
      </c>
      <c r="C2300" s="13">
        <v>16.417000000000002</v>
      </c>
      <c r="D2300" s="6">
        <f t="shared" si="245"/>
        <v>1.0028300725975159E-2</v>
      </c>
      <c r="E2300" s="14">
        <f t="shared" si="246"/>
        <v>3.0312718203169179E-4</v>
      </c>
      <c r="F2300" s="9">
        <f t="shared" si="247"/>
        <v>17.153941315267957</v>
      </c>
      <c r="G2300" s="9">
        <f t="shared" si="248"/>
        <v>-9.7889515233332072E-2</v>
      </c>
      <c r="H2300" s="9">
        <f t="shared" si="249"/>
        <v>1.3950892057311289E-3</v>
      </c>
      <c r="I2300" s="9">
        <f t="shared" si="250"/>
        <v>-1.78430477552754E-4</v>
      </c>
      <c r="J2300" s="9">
        <f t="shared" si="251"/>
        <v>17.057268458762799</v>
      </c>
    </row>
    <row r="2301" spans="2:10" x14ac:dyDescent="0.25">
      <c r="B2301" s="1">
        <v>40941</v>
      </c>
      <c r="C2301" s="13">
        <v>16.254000000000001</v>
      </c>
      <c r="D2301" s="6">
        <f t="shared" si="245"/>
        <v>-2.393665991530014E-3</v>
      </c>
      <c r="E2301" s="14">
        <f t="shared" si="246"/>
        <v>3.0802133999970673E-4</v>
      </c>
      <c r="F2301" s="9">
        <f t="shared" si="247"/>
        <v>17.137924709102098</v>
      </c>
      <c r="G2301" s="9">
        <f t="shared" si="248"/>
        <v>-0.11490249645422415</v>
      </c>
      <c r="H2301" s="9">
        <f t="shared" si="249"/>
        <v>1.1485415833857279E-2</v>
      </c>
      <c r="I2301" s="9">
        <f t="shared" si="250"/>
        <v>-8.0646803374497575E-2</v>
      </c>
      <c r="J2301" s="9">
        <f t="shared" si="251"/>
        <v>16.953860825107231</v>
      </c>
    </row>
    <row r="2302" spans="2:10" x14ac:dyDescent="0.25">
      <c r="B2302" s="1">
        <v>40940</v>
      </c>
      <c r="C2302" s="13">
        <v>16.292999999999999</v>
      </c>
      <c r="D2302" s="6">
        <f t="shared" si="245"/>
        <v>-6.1338403974742217E-4</v>
      </c>
      <c r="E2302" s="14">
        <f t="shared" si="246"/>
        <v>3.1513265510745182E-4</v>
      </c>
      <c r="F2302" s="9">
        <f t="shared" si="247"/>
        <v>17.115100097887208</v>
      </c>
      <c r="G2302" s="9">
        <f t="shared" si="248"/>
        <v>-2.5729491691309073E-2</v>
      </c>
      <c r="H2302" s="9">
        <f t="shared" si="249"/>
        <v>-7.4651653539426722E-3</v>
      </c>
      <c r="I2302" s="9">
        <f t="shared" si="250"/>
        <v>-0.16013495936511157</v>
      </c>
      <c r="J2302" s="9">
        <f t="shared" si="251"/>
        <v>16.921770481476845</v>
      </c>
    </row>
    <row r="2303" spans="2:10" x14ac:dyDescent="0.25">
      <c r="B2303" s="1">
        <v>40939</v>
      </c>
      <c r="C2303" s="13">
        <v>16.303000000000001</v>
      </c>
      <c r="D2303" s="6">
        <f t="shared" si="245"/>
        <v>7.6642561344955062E-3</v>
      </c>
      <c r="E2303" s="14">
        <f t="shared" si="246"/>
        <v>3.4201012453942691E-4</v>
      </c>
      <c r="F2303" s="9">
        <f t="shared" si="247"/>
        <v>17.033253434847992</v>
      </c>
      <c r="G2303" s="9">
        <f t="shared" si="248"/>
        <v>-7.3619772385639781E-3</v>
      </c>
      <c r="H2303" s="9">
        <f t="shared" si="249"/>
        <v>-1.3408722533757859E-2</v>
      </c>
      <c r="I2303" s="9">
        <f t="shared" si="250"/>
        <v>-1.9855793399452968</v>
      </c>
      <c r="J2303" s="9">
        <f t="shared" si="251"/>
        <v>15.026903395130375</v>
      </c>
    </row>
    <row r="2304" spans="2:10" x14ac:dyDescent="0.25">
      <c r="B2304" s="1">
        <v>40938</v>
      </c>
      <c r="C2304" s="13">
        <v>16.178999999999998</v>
      </c>
      <c r="D2304" s="6">
        <f t="shared" si="245"/>
        <v>1.2833354200575853E-2</v>
      </c>
      <c r="E2304" s="14">
        <f t="shared" si="246"/>
        <v>3.6850266597611355E-4</v>
      </c>
      <c r="F2304" s="9">
        <f t="shared" si="247"/>
        <v>16.958645829115046</v>
      </c>
      <c r="G2304" s="9">
        <f t="shared" si="248"/>
        <v>-4.9595429559049144E-2</v>
      </c>
      <c r="H2304" s="9">
        <f t="shared" si="249"/>
        <v>3.3061912907442606E-2</v>
      </c>
      <c r="I2304" s="9">
        <f t="shared" si="250"/>
        <v>-1.7850068165630486</v>
      </c>
      <c r="J2304" s="9">
        <f t="shared" si="251"/>
        <v>15.157105495900391</v>
      </c>
    </row>
    <row r="2305" spans="2:10" x14ac:dyDescent="0.25">
      <c r="B2305" s="1">
        <v>40935</v>
      </c>
      <c r="C2305" s="13">
        <v>15.974</v>
      </c>
      <c r="D2305" s="6">
        <f t="shared" si="245"/>
        <v>5.9193954659948478E-3</v>
      </c>
      <c r="E2305" s="14">
        <f t="shared" si="246"/>
        <v>3.6859211384440357E-4</v>
      </c>
      <c r="F2305" s="9">
        <f t="shared" si="247"/>
        <v>16.958403125269687</v>
      </c>
      <c r="G2305" s="9">
        <f t="shared" si="248"/>
        <v>-0.17084760197937257</v>
      </c>
      <c r="H2305" s="9">
        <f t="shared" si="249"/>
        <v>2.0017047560646939E-3</v>
      </c>
      <c r="I2305" s="9">
        <f t="shared" si="250"/>
        <v>-1.9732464008856413E-4</v>
      </c>
      <c r="J2305" s="9">
        <f t="shared" si="251"/>
        <v>16.789359903406293</v>
      </c>
    </row>
    <row r="2306" spans="2:10" x14ac:dyDescent="0.25">
      <c r="B2306" s="1">
        <v>40934</v>
      </c>
      <c r="C2306" s="13">
        <v>15.88</v>
      </c>
      <c r="D2306" s="6">
        <f t="shared" si="245"/>
        <v>-4.5135406218655971E-3</v>
      </c>
      <c r="E2306" s="14">
        <f t="shared" si="246"/>
        <v>3.8179682037711569E-4</v>
      </c>
      <c r="F2306" s="9">
        <f t="shared" si="247"/>
        <v>16.923205192112206</v>
      </c>
      <c r="G2306" s="9">
        <f t="shared" si="248"/>
        <v>-2.4196348669994042E-2</v>
      </c>
      <c r="H2306" s="9">
        <f t="shared" si="249"/>
        <v>1.164209455491198E-2</v>
      </c>
      <c r="I2306" s="9">
        <f t="shared" si="250"/>
        <v>-0.43278732240662993</v>
      </c>
      <c r="J2306" s="9">
        <f t="shared" si="251"/>
        <v>16.477863615590497</v>
      </c>
    </row>
    <row r="2307" spans="2:10" x14ac:dyDescent="0.25">
      <c r="B2307" s="1">
        <v>40933</v>
      </c>
      <c r="C2307" s="13">
        <v>15.952</v>
      </c>
      <c r="D2307" s="6">
        <f t="shared" si="245"/>
        <v>6.2404262404262445E-2</v>
      </c>
      <c r="E2307" s="14">
        <f t="shared" si="246"/>
        <v>3.8206197673653936E-4</v>
      </c>
      <c r="F2307" s="9">
        <f t="shared" si="247"/>
        <v>16.922510937176412</v>
      </c>
      <c r="G2307" s="9">
        <f t="shared" si="248"/>
        <v>-4.9497356944341694E-2</v>
      </c>
      <c r="H2307" s="9">
        <f t="shared" si="249"/>
        <v>-1.2670868080681393E-3</v>
      </c>
      <c r="I2307" s="9">
        <f t="shared" si="250"/>
        <v>-4.5546369170371002E-4</v>
      </c>
      <c r="J2307" s="9">
        <f t="shared" si="251"/>
        <v>16.871291029732298</v>
      </c>
    </row>
    <row r="2308" spans="2:10" x14ac:dyDescent="0.25">
      <c r="B2308" s="1">
        <v>40932</v>
      </c>
      <c r="C2308" s="13">
        <v>15.015000000000001</v>
      </c>
      <c r="D2308" s="6">
        <f t="shared" si="245"/>
        <v>-1.637733377006223E-2</v>
      </c>
      <c r="E2308" s="14">
        <f t="shared" si="246"/>
        <v>3.542243650057679E-4</v>
      </c>
      <c r="F2308" s="9">
        <f t="shared" si="247"/>
        <v>16.998163263569811</v>
      </c>
      <c r="G2308" s="9">
        <f t="shared" si="248"/>
        <v>-5.2294031630164826</v>
      </c>
      <c r="H2308" s="9">
        <f t="shared" si="249"/>
        <v>-0.3430103260238242</v>
      </c>
      <c r="I2308" s="9">
        <f t="shared" si="250"/>
        <v>-1.9899305198123831</v>
      </c>
      <c r="J2308" s="9">
        <f t="shared" si="251"/>
        <v>9.4358192547171225</v>
      </c>
    </row>
    <row r="2309" spans="2:10" x14ac:dyDescent="0.25">
      <c r="B2309" s="1">
        <v>40931</v>
      </c>
      <c r="C2309" s="13">
        <v>15.265000000000001</v>
      </c>
      <c r="D2309" s="6">
        <f t="shared" si="245"/>
        <v>1.6920924655252856E-2</v>
      </c>
      <c r="E2309" s="14">
        <f t="shared" si="246"/>
        <v>3.5371286814130803E-4</v>
      </c>
      <c r="F2309" s="9">
        <f t="shared" si="247"/>
        <v>16.999608298325764</v>
      </c>
      <c r="G2309" s="9">
        <f t="shared" si="248"/>
        <v>-0.45959294207169493</v>
      </c>
      <c r="H2309" s="9">
        <f t="shared" si="249"/>
        <v>-1.0895786127636897E-3</v>
      </c>
      <c r="I2309" s="9">
        <f t="shared" si="250"/>
        <v>-2.2842570611187962E-4</v>
      </c>
      <c r="J2309" s="9">
        <f t="shared" si="251"/>
        <v>16.538697351935195</v>
      </c>
    </row>
    <row r="2310" spans="2:10" x14ac:dyDescent="0.25">
      <c r="B2310" s="1">
        <v>40928</v>
      </c>
      <c r="C2310" s="13">
        <v>15.010999999999999</v>
      </c>
      <c r="D2310" s="6">
        <f t="shared" si="245"/>
        <v>-1.74117955095896E-2</v>
      </c>
      <c r="E2310" s="14">
        <f t="shared" si="246"/>
        <v>3.517092779206069E-4</v>
      </c>
      <c r="F2310" s="9">
        <f t="shared" si="247"/>
        <v>17.005288856044743</v>
      </c>
      <c r="G2310" s="9">
        <f t="shared" si="248"/>
        <v>-0.33349361993491</v>
      </c>
      <c r="H2310" s="9">
        <f t="shared" si="249"/>
        <v>-3.866723089743852E-3</v>
      </c>
      <c r="I2310" s="9">
        <f t="shared" si="250"/>
        <v>-8.364518966887691E-3</v>
      </c>
      <c r="J2310" s="9">
        <f t="shared" si="251"/>
        <v>16.659563994053201</v>
      </c>
    </row>
    <row r="2311" spans="2:10" x14ac:dyDescent="0.25">
      <c r="B2311" s="1">
        <v>40927</v>
      </c>
      <c r="C2311" s="13">
        <v>15.276999999999999</v>
      </c>
      <c r="D2311" s="6">
        <f t="shared" si="245"/>
        <v>-3.1321370309951302E-3</v>
      </c>
      <c r="E2311" s="14">
        <f t="shared" si="246"/>
        <v>3.4900257199636835E-4</v>
      </c>
      <c r="F2311" s="9">
        <f t="shared" si="247"/>
        <v>17.013014483596489</v>
      </c>
      <c r="G2311" s="9">
        <f t="shared" si="248"/>
        <v>-0.52085818863270694</v>
      </c>
      <c r="H2311" s="9">
        <f t="shared" si="249"/>
        <v>7.6872810301756396E-3</v>
      </c>
      <c r="I2311" s="9">
        <f t="shared" si="250"/>
        <v>-1.632158929394498E-2</v>
      </c>
      <c r="J2311" s="9">
        <f t="shared" si="251"/>
        <v>16.483521986700012</v>
      </c>
    </row>
    <row r="2312" spans="2:10" x14ac:dyDescent="0.25">
      <c r="B2312" s="1">
        <v>40926</v>
      </c>
      <c r="C2312" s="13">
        <v>15.324999999999999</v>
      </c>
      <c r="D2312" s="6">
        <f t="shared" si="245"/>
        <v>1.035073839662437E-2</v>
      </c>
      <c r="E2312" s="14">
        <f t="shared" si="246"/>
        <v>3.5524313044673093E-4</v>
      </c>
      <c r="F2312" s="9">
        <f t="shared" si="247"/>
        <v>16.995291345835124</v>
      </c>
      <c r="G2312" s="9">
        <f t="shared" si="248"/>
        <v>-3.1977732221809864E-2</v>
      </c>
      <c r="H2312" s="9">
        <f t="shared" si="249"/>
        <v>-6.975841844035117E-3</v>
      </c>
      <c r="I2312" s="9">
        <f t="shared" si="250"/>
        <v>-0.10831475536655943</v>
      </c>
      <c r="J2312" s="9">
        <f t="shared" si="251"/>
        <v>16.848023016402717</v>
      </c>
    </row>
    <row r="2313" spans="2:10" x14ac:dyDescent="0.25">
      <c r="B2313" s="1">
        <v>40925</v>
      </c>
      <c r="C2313" s="13">
        <v>15.167999999999999</v>
      </c>
      <c r="D2313" s="6">
        <f t="shared" si="245"/>
        <v>1.1672113653037997E-2</v>
      </c>
      <c r="E2313" s="14">
        <f t="shared" si="246"/>
        <v>3.5560140373945928E-4</v>
      </c>
      <c r="F2313" s="9">
        <f t="shared" si="247"/>
        <v>16.994283324233116</v>
      </c>
      <c r="G2313" s="9">
        <f t="shared" si="248"/>
        <v>-0.10731497847983362</v>
      </c>
      <c r="H2313" s="9">
        <f t="shared" si="249"/>
        <v>2.1027912423605328E-3</v>
      </c>
      <c r="I2313" s="9">
        <f t="shared" si="250"/>
        <v>-8.4674680743125467E-4</v>
      </c>
      <c r="J2313" s="9">
        <f t="shared" si="251"/>
        <v>16.88822439018821</v>
      </c>
    </row>
    <row r="2314" spans="2:10" x14ac:dyDescent="0.25">
      <c r="B2314" s="1">
        <v>40921</v>
      </c>
      <c r="C2314" s="13">
        <v>14.993</v>
      </c>
      <c r="D2314" s="6">
        <f t="shared" si="245"/>
        <v>-3.7873754152824013E-3</v>
      </c>
      <c r="E2314" s="14">
        <f t="shared" si="246"/>
        <v>3.5590882459334266E-4</v>
      </c>
      <c r="F2314" s="9">
        <f t="shared" si="247"/>
        <v>16.993419188031631</v>
      </c>
      <c r="G2314" s="9">
        <f t="shared" si="248"/>
        <v>-0.1421654500261558</v>
      </c>
      <c r="H2314" s="9">
        <f t="shared" si="249"/>
        <v>2.3130976127384577E-3</v>
      </c>
      <c r="I2314" s="9">
        <f t="shared" si="250"/>
        <v>-7.0064115770311359E-4</v>
      </c>
      <c r="J2314" s="9">
        <f t="shared" si="251"/>
        <v>16.85286619446051</v>
      </c>
    </row>
    <row r="2315" spans="2:10" x14ac:dyDescent="0.25">
      <c r="B2315" s="1">
        <v>40920</v>
      </c>
      <c r="C2315" s="13">
        <v>15.05</v>
      </c>
      <c r="D2315" s="6">
        <f t="shared" si="245"/>
        <v>-2.7168511033065501E-3</v>
      </c>
      <c r="E2315" s="14">
        <f t="shared" si="246"/>
        <v>3.5752869679670521E-4</v>
      </c>
      <c r="F2315" s="9">
        <f t="shared" si="247"/>
        <v>16.98887814571631</v>
      </c>
      <c r="G2315" s="9">
        <f t="shared" si="248"/>
        <v>-4.1123971653523682E-2</v>
      </c>
      <c r="H2315" s="9">
        <f t="shared" si="249"/>
        <v>-2.7109962785518867E-3</v>
      </c>
      <c r="I2315" s="9">
        <f t="shared" si="250"/>
        <v>-8.6467306675513684E-3</v>
      </c>
      <c r="J2315" s="9">
        <f t="shared" si="251"/>
        <v>16.936396447116685</v>
      </c>
    </row>
    <row r="2316" spans="2:10" x14ac:dyDescent="0.25">
      <c r="B2316" s="1">
        <v>40919</v>
      </c>
      <c r="C2316" s="13">
        <v>15.090999999999999</v>
      </c>
      <c r="D2316" s="6">
        <f t="shared" si="245"/>
        <v>-1.6538766869542698E-3</v>
      </c>
      <c r="E2316" s="14">
        <f t="shared" si="246"/>
        <v>3.5742039105310001E-4</v>
      </c>
      <c r="F2316" s="9">
        <f t="shared" si="247"/>
        <v>16.989181120421151</v>
      </c>
      <c r="G2316" s="9">
        <f t="shared" si="248"/>
        <v>-2.6478510502934774E-2</v>
      </c>
      <c r="H2316" s="9">
        <f t="shared" si="249"/>
        <v>-6.2252470466819495E-4</v>
      </c>
      <c r="I2316" s="9">
        <f t="shared" si="250"/>
        <v>-2.6533451029419038E-5</v>
      </c>
      <c r="J2316" s="9">
        <f t="shared" si="251"/>
        <v>16.962053551762519</v>
      </c>
    </row>
    <row r="2317" spans="2:10" x14ac:dyDescent="0.25">
      <c r="B2317" s="1">
        <v>40918</v>
      </c>
      <c r="C2317" s="13">
        <v>15.116</v>
      </c>
      <c r="D2317" s="6">
        <f t="shared" si="245"/>
        <v>3.5851812508298497E-3</v>
      </c>
      <c r="E2317" s="14">
        <f t="shared" si="246"/>
        <v>3.6284371510191357E-4</v>
      </c>
      <c r="F2317" s="9">
        <f t="shared" si="247"/>
        <v>16.974121570740966</v>
      </c>
      <c r="G2317" s="9">
        <f t="shared" si="248"/>
        <v>-1.4880099030211253E-2</v>
      </c>
      <c r="H2317" s="9">
        <f t="shared" si="249"/>
        <v>-4.1619995147416005E-3</v>
      </c>
      <c r="I2317" s="9">
        <f t="shared" si="250"/>
        <v>-8.0528860681782305E-2</v>
      </c>
      <c r="J2317" s="9">
        <f t="shared" si="251"/>
        <v>16.874550611514231</v>
      </c>
    </row>
    <row r="2318" spans="2:10" x14ac:dyDescent="0.25">
      <c r="B2318" s="1">
        <v>40917</v>
      </c>
      <c r="C2318" s="13">
        <v>15.061999999999999</v>
      </c>
      <c r="D2318" s="6">
        <f t="shared" si="245"/>
        <v>-1.5908789606258189E-3</v>
      </c>
      <c r="E2318" s="14">
        <f t="shared" si="246"/>
        <v>3.6320368836735242E-4</v>
      </c>
      <c r="F2318" s="9">
        <f t="shared" si="247"/>
        <v>16.973129973516834</v>
      </c>
      <c r="G2318" s="9">
        <f t="shared" si="248"/>
        <v>-5.2924171028097449E-3</v>
      </c>
      <c r="H2318" s="9">
        <f t="shared" si="249"/>
        <v>4.6273891674750536E-4</v>
      </c>
      <c r="I2318" s="9">
        <f t="shared" si="250"/>
        <v>-7.9773178524081322E-4</v>
      </c>
      <c r="J2318" s="9">
        <f t="shared" si="251"/>
        <v>16.967502563545533</v>
      </c>
    </row>
    <row r="2319" spans="2:10" x14ac:dyDescent="0.25">
      <c r="B2319" s="1">
        <v>40914</v>
      </c>
      <c r="C2319" s="13">
        <v>15.086</v>
      </c>
      <c r="D2319" s="6">
        <f t="shared" si="245"/>
        <v>1.0448760884125941E-2</v>
      </c>
      <c r="E2319" s="14">
        <f t="shared" si="246"/>
        <v>3.6755772095517752E-4</v>
      </c>
      <c r="F2319" s="9">
        <f t="shared" si="247"/>
        <v>16.961213405245587</v>
      </c>
      <c r="G2319" s="9">
        <f t="shared" si="248"/>
        <v>-1.4130621951756935E-2</v>
      </c>
      <c r="H2319" s="9">
        <f t="shared" si="249"/>
        <v>-3.3374577128883268E-3</v>
      </c>
      <c r="I2319" s="9">
        <f t="shared" si="250"/>
        <v>-5.1962098369261862E-2</v>
      </c>
      <c r="J2319" s="9">
        <f t="shared" si="251"/>
        <v>16.891783227211679</v>
      </c>
    </row>
    <row r="2320" spans="2:10" x14ac:dyDescent="0.25">
      <c r="B2320" s="1">
        <v>40913</v>
      </c>
      <c r="C2320" s="13">
        <v>14.93</v>
      </c>
      <c r="D2320" s="6">
        <f t="shared" ref="D2320:D2383" si="252">C2320/C2321-1</f>
        <v>1.1106596234592869E-2</v>
      </c>
      <c r="E2320" s="14">
        <f t="shared" ref="E2320:E2383" si="253">_xlfn.VAR.S(D2320:D2440)</f>
        <v>3.6973988028249529E-4</v>
      </c>
      <c r="F2320" s="9">
        <f t="shared" si="247"/>
        <v>16.955294043252962</v>
      </c>
      <c r="G2320" s="9">
        <f t="shared" si="248"/>
        <v>-0.10554391402882592</v>
      </c>
      <c r="H2320" s="9">
        <f t="shared" si="249"/>
        <v>5.2627218840703678E-3</v>
      </c>
      <c r="I2320" s="9">
        <f t="shared" si="250"/>
        <v>-1.4050709078917607E-2</v>
      </c>
      <c r="J2320" s="9">
        <f t="shared" si="251"/>
        <v>16.840962142029287</v>
      </c>
    </row>
    <row r="2321" spans="2:10" x14ac:dyDescent="0.25">
      <c r="B2321" s="1">
        <v>40912</v>
      </c>
      <c r="C2321" s="13">
        <v>14.766</v>
      </c>
      <c r="D2321" s="6">
        <f t="shared" si="252"/>
        <v>5.3789065159666194E-3</v>
      </c>
      <c r="E2321" s="14">
        <f t="shared" si="253"/>
        <v>3.689932196400309E-4</v>
      </c>
      <c r="F2321" s="9">
        <f t="shared" ref="F2321:F2384" si="254">LN(2*PI())-LN($C$6)-LN(E2321)-0.5*LN(1-POWER($C$7,2))</f>
        <v>16.957315506476419</v>
      </c>
      <c r="G2321" s="9">
        <f t="shared" ref="G2321:G2384" si="255">-POWER(D2320-1-$C$3,2)/(2*E2321*(1-POWER($C$7,2)))</f>
        <v>-0.12211882164041617</v>
      </c>
      <c r="H2321" s="9">
        <f t="shared" ref="H2321:H2384" si="256">$C$7*(D2320-1-$C$3)*(E2320-E2321-$C$5*$C$4)/(E2321*$C$6*(1-POWER($C$7,2)))</f>
        <v>1.0319003364838502E-4</v>
      </c>
      <c r="I2321" s="9">
        <f t="shared" ref="I2321:I2384" si="257">-POWER(E2320-E2321-$C$5*$C$4+$C$4*E2321,2)/(2*POWER($C$6,2)*E2321*(1-POWER($C$7,2)))</f>
        <v>-7.7446257340345207E-4</v>
      </c>
      <c r="J2321" s="9">
        <f t="shared" ref="J2321:J2384" si="258">SUM(F2321:I2321)</f>
        <v>16.834525412296248</v>
      </c>
    </row>
    <row r="2322" spans="2:10" x14ac:dyDescent="0.25">
      <c r="B2322" s="1">
        <v>40911</v>
      </c>
      <c r="C2322" s="13">
        <v>14.686999999999999</v>
      </c>
      <c r="D2322" s="6">
        <f t="shared" si="252"/>
        <v>1.5417588495575174E-2</v>
      </c>
      <c r="E2322" s="14">
        <f t="shared" si="253"/>
        <v>3.6980300415715599E-4</v>
      </c>
      <c r="F2322" s="9">
        <f t="shared" si="254"/>
        <v>16.955123332733962</v>
      </c>
      <c r="G2322" s="9">
        <f t="shared" si="255"/>
        <v>-1.908561242205151E-2</v>
      </c>
      <c r="H2322" s="9">
        <f t="shared" si="256"/>
        <v>1.2082834703108806E-3</v>
      </c>
      <c r="I2322" s="9">
        <f t="shared" si="257"/>
        <v>-2.4927434822829518E-3</v>
      </c>
      <c r="J2322" s="9">
        <f t="shared" si="258"/>
        <v>16.934753260299939</v>
      </c>
    </row>
    <row r="2323" spans="2:10" x14ac:dyDescent="0.25">
      <c r="B2323" s="1">
        <v>40907</v>
      </c>
      <c r="C2323" s="13">
        <v>14.464</v>
      </c>
      <c r="D2323" s="6">
        <f t="shared" si="252"/>
        <v>-3.4556638330218714E-4</v>
      </c>
      <c r="E2323" s="14">
        <f t="shared" si="253"/>
        <v>3.6819246332610501E-4</v>
      </c>
      <c r="F2323" s="9">
        <f t="shared" si="254"/>
        <v>16.959487975767043</v>
      </c>
      <c r="G2323" s="9">
        <f t="shared" si="255"/>
        <v>-0.25901326541111058</v>
      </c>
      <c r="H2323" s="9">
        <f t="shared" si="256"/>
        <v>-2.2420156757073351E-3</v>
      </c>
      <c r="I2323" s="9">
        <f t="shared" si="257"/>
        <v>-5.050257914825094E-3</v>
      </c>
      <c r="J2323" s="9">
        <f t="shared" si="258"/>
        <v>16.693182436765401</v>
      </c>
    </row>
    <row r="2324" spans="2:10" x14ac:dyDescent="0.25">
      <c r="B2324" s="1">
        <v>40906</v>
      </c>
      <c r="C2324" s="13">
        <v>14.468999999999999</v>
      </c>
      <c r="D2324" s="6">
        <f t="shared" si="252"/>
        <v>6.1891515994436652E-3</v>
      </c>
      <c r="E2324" s="14">
        <f t="shared" si="253"/>
        <v>3.7061139814219821E-4</v>
      </c>
      <c r="F2324" s="9">
        <f t="shared" si="254"/>
        <v>16.952939706095286</v>
      </c>
      <c r="G2324" s="9">
        <f t="shared" si="255"/>
        <v>-5.2668546522026587E-3</v>
      </c>
      <c r="H2324" s="9">
        <f t="shared" si="256"/>
        <v>-1.2674447921519273E-3</v>
      </c>
      <c r="I2324" s="9">
        <f t="shared" si="257"/>
        <v>-1.6937891564141484E-2</v>
      </c>
      <c r="J2324" s="9">
        <f t="shared" si="258"/>
        <v>16.929467515086792</v>
      </c>
    </row>
    <row r="2325" spans="2:10" x14ac:dyDescent="0.25">
      <c r="B2325" s="1">
        <v>40905</v>
      </c>
      <c r="C2325" s="13">
        <v>14.38</v>
      </c>
      <c r="D2325" s="6">
        <f t="shared" si="252"/>
        <v>-9.5736620979406384E-3</v>
      </c>
      <c r="E2325" s="14">
        <f t="shared" si="253"/>
        <v>3.7069006595409534E-4</v>
      </c>
      <c r="F2325" s="9">
        <f t="shared" si="254"/>
        <v>16.952727463664907</v>
      </c>
      <c r="G2325" s="9">
        <f t="shared" si="255"/>
        <v>-2.8152394395542665E-2</v>
      </c>
      <c r="H2325" s="9">
        <f t="shared" si="256"/>
        <v>8.0044390078131799E-4</v>
      </c>
      <c r="I2325" s="9">
        <f t="shared" si="257"/>
        <v>-1.7678319942967551E-4</v>
      </c>
      <c r="J2325" s="9">
        <f t="shared" si="258"/>
        <v>16.925198729970717</v>
      </c>
    </row>
    <row r="2326" spans="2:10" x14ac:dyDescent="0.25">
      <c r="B2326" s="1">
        <v>40904</v>
      </c>
      <c r="C2326" s="13">
        <v>14.519</v>
      </c>
      <c r="D2326" s="6">
        <f t="shared" si="252"/>
        <v>7.9139187782020226E-3</v>
      </c>
      <c r="E2326" s="14">
        <f t="shared" si="253"/>
        <v>3.7138089835831909E-4</v>
      </c>
      <c r="F2326" s="9">
        <f t="shared" si="254"/>
        <v>16.950865559245997</v>
      </c>
      <c r="G2326" s="9">
        <f t="shared" si="255"/>
        <v>-0.16941355264220287</v>
      </c>
      <c r="H2326" s="9">
        <f t="shared" si="256"/>
        <v>-3.3269597313663165E-3</v>
      </c>
      <c r="I2326" s="9">
        <f t="shared" si="257"/>
        <v>-1.9147862801220507E-3</v>
      </c>
      <c r="J2326" s="9">
        <f t="shared" si="258"/>
        <v>16.776210260592304</v>
      </c>
    </row>
    <row r="2327" spans="2:10" x14ac:dyDescent="0.25">
      <c r="B2327" s="1">
        <v>40900</v>
      </c>
      <c r="C2327" s="13">
        <v>14.404999999999999</v>
      </c>
      <c r="D2327" s="6">
        <f t="shared" si="252"/>
        <v>1.2013488829562879E-2</v>
      </c>
      <c r="E2327" s="14">
        <f t="shared" si="253"/>
        <v>3.7125653240033756E-4</v>
      </c>
      <c r="F2327" s="9">
        <f t="shared" si="254"/>
        <v>16.951200489735609</v>
      </c>
      <c r="G2327" s="9">
        <f t="shared" si="255"/>
        <v>-5.3383454706047717E-2</v>
      </c>
      <c r="H2327" s="9">
        <f t="shared" si="256"/>
        <v>8.4718407857931153E-4</v>
      </c>
      <c r="I2327" s="9">
        <f t="shared" si="257"/>
        <v>-9.6789060181078868E-6</v>
      </c>
      <c r="J2327" s="9">
        <f t="shared" si="258"/>
        <v>16.898654540202124</v>
      </c>
    </row>
    <row r="2328" spans="2:10" x14ac:dyDescent="0.25">
      <c r="B2328" s="1">
        <v>40899</v>
      </c>
      <c r="C2328" s="13">
        <v>14.234</v>
      </c>
      <c r="D2328" s="6">
        <f t="shared" si="252"/>
        <v>5.2969842503001185E-3</v>
      </c>
      <c r="E2328" s="14">
        <f t="shared" si="253"/>
        <v>3.7262227460167655E-4</v>
      </c>
      <c r="F2328" s="9">
        <f t="shared" si="254"/>
        <v>16.94752853746856</v>
      </c>
      <c r="G2328" s="9">
        <f t="shared" si="255"/>
        <v>-0.14517532476403264</v>
      </c>
      <c r="H2328" s="9">
        <f t="shared" si="256"/>
        <v>4.4656418626763854E-3</v>
      </c>
      <c r="I2328" s="9">
        <f t="shared" si="257"/>
        <v>-5.9579897500745558E-3</v>
      </c>
      <c r="J2328" s="9">
        <f t="shared" si="258"/>
        <v>16.800860864817128</v>
      </c>
    </row>
    <row r="2329" spans="2:10" x14ac:dyDescent="0.25">
      <c r="B2329" s="1">
        <v>40898</v>
      </c>
      <c r="C2329" s="13">
        <v>14.159000000000001</v>
      </c>
      <c r="D2329" s="6">
        <f t="shared" si="252"/>
        <v>1.2728944204793979E-3</v>
      </c>
      <c r="E2329" s="14">
        <f t="shared" si="253"/>
        <v>3.7621676666157604E-4</v>
      </c>
      <c r="F2329" s="9">
        <f t="shared" si="254"/>
        <v>16.93792829103667</v>
      </c>
      <c r="G2329" s="9">
        <f t="shared" si="255"/>
        <v>-1.7949856013223072E-2</v>
      </c>
      <c r="H2329" s="9">
        <f t="shared" si="256"/>
        <v>3.1701891359803328E-3</v>
      </c>
      <c r="I2329" s="9">
        <f t="shared" si="257"/>
        <v>-3.4956175427391864E-2</v>
      </c>
      <c r="J2329" s="9">
        <f t="shared" si="258"/>
        <v>16.888192448732031</v>
      </c>
    </row>
    <row r="2330" spans="2:10" x14ac:dyDescent="0.25">
      <c r="B2330" s="1">
        <v>40897</v>
      </c>
      <c r="C2330" s="13">
        <v>14.141</v>
      </c>
      <c r="D2330" s="6">
        <f t="shared" si="252"/>
        <v>3.5970695970696021E-2</v>
      </c>
      <c r="E2330" s="14">
        <f t="shared" si="253"/>
        <v>3.7630585706420239E-4</v>
      </c>
      <c r="F2330" s="9">
        <f t="shared" si="254"/>
        <v>16.937691513030977</v>
      </c>
      <c r="G2330" s="9">
        <f t="shared" si="255"/>
        <v>-1.6742989470777732E-4</v>
      </c>
      <c r="H2330" s="9">
        <f t="shared" si="256"/>
        <v>-6.1992653576886539E-5</v>
      </c>
      <c r="I2330" s="9">
        <f t="shared" si="257"/>
        <v>-1.756273373100737E-4</v>
      </c>
      <c r="J2330" s="9">
        <f t="shared" si="258"/>
        <v>16.93728646314538</v>
      </c>
    </row>
    <row r="2331" spans="2:10" x14ac:dyDescent="0.25">
      <c r="B2331" s="1">
        <v>40896</v>
      </c>
      <c r="C2331" s="13">
        <v>13.65</v>
      </c>
      <c r="D2331" s="6">
        <f t="shared" si="252"/>
        <v>3.0864197530864335E-3</v>
      </c>
      <c r="E2331" s="14">
        <f t="shared" si="253"/>
        <v>3.6658006057421305E-4</v>
      </c>
      <c r="F2331" s="9">
        <f t="shared" si="254"/>
        <v>16.963876831603717</v>
      </c>
      <c r="G2331" s="9">
        <f t="shared" si="255"/>
        <v>-1.613502614736317</v>
      </c>
      <c r="H2331" s="9">
        <f t="shared" si="256"/>
        <v>-6.1825457464289101E-2</v>
      </c>
      <c r="I2331" s="9">
        <f t="shared" si="257"/>
        <v>-0.22894013323471993</v>
      </c>
      <c r="J2331" s="9">
        <f t="shared" si="258"/>
        <v>15.059608626168389</v>
      </c>
    </row>
    <row r="2332" spans="2:10" x14ac:dyDescent="0.25">
      <c r="B2332" s="1">
        <v>40893</v>
      </c>
      <c r="C2332" s="13">
        <v>13.608000000000001</v>
      </c>
      <c r="D2332" s="6">
        <f t="shared" si="252"/>
        <v>5.4677109501994892E-3</v>
      </c>
      <c r="E2332" s="14">
        <f t="shared" si="253"/>
        <v>3.6714193145096993E-4</v>
      </c>
      <c r="F2332" s="9">
        <f t="shared" si="254"/>
        <v>16.962345267897859</v>
      </c>
      <c r="G2332" s="9">
        <f t="shared" si="255"/>
        <v>-2.907850691823163E-3</v>
      </c>
      <c r="H2332" s="9">
        <f t="shared" si="256"/>
        <v>4.0048526928065399E-4</v>
      </c>
      <c r="I2332" s="9">
        <f t="shared" si="257"/>
        <v>-1.4358791804939353E-3</v>
      </c>
      <c r="J2332" s="9">
        <f t="shared" si="258"/>
        <v>16.958402023294823</v>
      </c>
    </row>
    <row r="2333" spans="2:10" x14ac:dyDescent="0.25">
      <c r="B2333" s="1">
        <v>40892</v>
      </c>
      <c r="C2333" s="13">
        <v>13.534000000000001</v>
      </c>
      <c r="D2333" s="6">
        <f t="shared" si="252"/>
        <v>-3.2405361614374906E-3</v>
      </c>
      <c r="E2333" s="14">
        <f t="shared" si="253"/>
        <v>3.691711366635454E-4</v>
      </c>
      <c r="F2333" s="9">
        <f t="shared" si="254"/>
        <v>16.956833453867297</v>
      </c>
      <c r="G2333" s="9">
        <f t="shared" si="255"/>
        <v>-2.0034102589994954E-2</v>
      </c>
      <c r="H2333" s="9">
        <f t="shared" si="256"/>
        <v>2.1769798034127989E-3</v>
      </c>
      <c r="I2333" s="9">
        <f t="shared" si="257"/>
        <v>-1.2326030839033676E-2</v>
      </c>
      <c r="J2333" s="9">
        <f t="shared" si="258"/>
        <v>16.926650300241679</v>
      </c>
    </row>
    <row r="2334" spans="2:10" x14ac:dyDescent="0.25">
      <c r="B2334" s="1">
        <v>40891</v>
      </c>
      <c r="C2334" s="13">
        <v>13.577999999999999</v>
      </c>
      <c r="D2334" s="6">
        <f t="shared" si="252"/>
        <v>-2.2180613567622021E-2</v>
      </c>
      <c r="E2334" s="14">
        <f t="shared" si="253"/>
        <v>3.7117125213041052E-4</v>
      </c>
      <c r="F2334" s="9">
        <f t="shared" si="254"/>
        <v>16.951430223245261</v>
      </c>
      <c r="G2334" s="9">
        <f t="shared" si="255"/>
        <v>-3.2015445843274745E-2</v>
      </c>
      <c r="H2334" s="9">
        <f t="shared" si="256"/>
        <v>-2.7163704261365849E-3</v>
      </c>
      <c r="I2334" s="9">
        <f t="shared" si="257"/>
        <v>-1.1904287396299559E-2</v>
      </c>
      <c r="J2334" s="9">
        <f t="shared" si="258"/>
        <v>16.904794119579552</v>
      </c>
    </row>
    <row r="2335" spans="2:10" x14ac:dyDescent="0.25">
      <c r="B2335" s="1">
        <v>40890</v>
      </c>
      <c r="C2335" s="13">
        <v>13.885999999999999</v>
      </c>
      <c r="D2335" s="6">
        <f t="shared" si="252"/>
        <v>-7.7175932542518089E-3</v>
      </c>
      <c r="E2335" s="14">
        <f t="shared" si="253"/>
        <v>3.7178239426640606E-4</v>
      </c>
      <c r="F2335" s="9">
        <f t="shared" si="254"/>
        <v>16.949785053921978</v>
      </c>
      <c r="G2335" s="9">
        <f t="shared" si="255"/>
        <v>-0.76455530708466835</v>
      </c>
      <c r="H2335" s="9">
        <f t="shared" si="256"/>
        <v>-6.6865394232937863E-3</v>
      </c>
      <c r="I2335" s="9">
        <f t="shared" si="257"/>
        <v>-1.5784032873967036E-3</v>
      </c>
      <c r="J2335" s="9">
        <f t="shared" si="258"/>
        <v>16.176964804126619</v>
      </c>
    </row>
    <row r="2336" spans="2:10" x14ac:dyDescent="0.25">
      <c r="B2336" s="1">
        <v>40889</v>
      </c>
      <c r="C2336" s="13">
        <v>13.994</v>
      </c>
      <c r="D2336" s="6">
        <f t="shared" si="252"/>
        <v>-4.5525679328496382E-3</v>
      </c>
      <c r="E2336" s="14">
        <f t="shared" si="253"/>
        <v>3.7187071960989934E-4</v>
      </c>
      <c r="F2336" s="9">
        <f t="shared" si="254"/>
        <v>16.949547509447918</v>
      </c>
      <c r="G2336" s="9">
        <f t="shared" si="255"/>
        <v>-0.11776453298245899</v>
      </c>
      <c r="H2336" s="9">
        <f t="shared" si="256"/>
        <v>-1.652464058850863E-3</v>
      </c>
      <c r="I2336" s="9">
        <f t="shared" si="257"/>
        <v>-1.8656418453099805E-4</v>
      </c>
      <c r="J2336" s="9">
        <f t="shared" si="258"/>
        <v>16.829943948222077</v>
      </c>
    </row>
    <row r="2337" spans="2:10" x14ac:dyDescent="0.25">
      <c r="B2337" s="1">
        <v>40886</v>
      </c>
      <c r="C2337" s="13">
        <v>14.058</v>
      </c>
      <c r="D2337" s="6">
        <f t="shared" si="252"/>
        <v>7.5974770642202039E-3</v>
      </c>
      <c r="E2337" s="14">
        <f t="shared" si="253"/>
        <v>3.7894146265070609E-4</v>
      </c>
      <c r="F2337" s="9">
        <f t="shared" si="254"/>
        <v>16.930712034344346</v>
      </c>
      <c r="G2337" s="9">
        <f t="shared" si="255"/>
        <v>-5.0541298209335984E-2</v>
      </c>
      <c r="H2337" s="9">
        <f t="shared" si="256"/>
        <v>-9.4923773760920115E-3</v>
      </c>
      <c r="I2337" s="9">
        <f t="shared" si="257"/>
        <v>-0.12795587061404318</v>
      </c>
      <c r="J2337" s="9">
        <f t="shared" si="258"/>
        <v>16.742722488144874</v>
      </c>
    </row>
    <row r="2338" spans="2:10" x14ac:dyDescent="0.25">
      <c r="B2338" s="1">
        <v>40885</v>
      </c>
      <c r="C2338" s="13">
        <v>13.952</v>
      </c>
      <c r="D2338" s="6">
        <f t="shared" si="252"/>
        <v>4.029936672423684E-3</v>
      </c>
      <c r="E2338" s="14">
        <f t="shared" si="253"/>
        <v>3.811972595370944E-4</v>
      </c>
      <c r="F2338" s="9">
        <f t="shared" si="254"/>
        <v>16.924776792676905</v>
      </c>
      <c r="G2338" s="9">
        <f t="shared" si="255"/>
        <v>-4.6888984264157912E-2</v>
      </c>
      <c r="H2338" s="9">
        <f t="shared" si="256"/>
        <v>3.5399137966176508E-3</v>
      </c>
      <c r="I2338" s="9">
        <f t="shared" si="257"/>
        <v>-1.4264145317557313E-2</v>
      </c>
      <c r="J2338" s="9">
        <f t="shared" si="258"/>
        <v>16.867163576891809</v>
      </c>
    </row>
    <row r="2339" spans="2:10" x14ac:dyDescent="0.25">
      <c r="B2339" s="1">
        <v>40884</v>
      </c>
      <c r="C2339" s="13">
        <v>13.896000000000001</v>
      </c>
      <c r="D2339" s="6">
        <f t="shared" si="252"/>
        <v>-4.7983957602233396E-3</v>
      </c>
      <c r="E2339" s="14">
        <f t="shared" si="253"/>
        <v>3.8351243009940799E-4</v>
      </c>
      <c r="F2339" s="9">
        <f t="shared" si="254"/>
        <v>16.918721742852817</v>
      </c>
      <c r="G2339" s="9">
        <f t="shared" si="255"/>
        <v>-7.5480085998618834E-3</v>
      </c>
      <c r="H2339" s="9">
        <f t="shared" si="256"/>
        <v>1.4434884418573373E-3</v>
      </c>
      <c r="I2339" s="9">
        <f t="shared" si="257"/>
        <v>-1.4834656498370326E-2</v>
      </c>
      <c r="J2339" s="9">
        <f t="shared" si="258"/>
        <v>16.897782566196444</v>
      </c>
    </row>
    <row r="2340" spans="2:10" x14ac:dyDescent="0.25">
      <c r="B2340" s="1">
        <v>40883</v>
      </c>
      <c r="C2340" s="13">
        <v>13.962999999999999</v>
      </c>
      <c r="D2340" s="6">
        <f t="shared" si="252"/>
        <v>-5.2009119407239179E-3</v>
      </c>
      <c r="E2340" s="14">
        <f t="shared" si="253"/>
        <v>3.835217605633296E-4</v>
      </c>
      <c r="F2340" s="9">
        <f t="shared" si="254"/>
        <v>16.918697414174812</v>
      </c>
      <c r="G2340" s="9">
        <f t="shared" si="255"/>
        <v>-5.3989608374719729E-2</v>
      </c>
      <c r="H2340" s="9">
        <f t="shared" si="256"/>
        <v>-1.0038794956878871E-3</v>
      </c>
      <c r="I2340" s="9">
        <f t="shared" si="257"/>
        <v>-7.4419683720507138E-5</v>
      </c>
      <c r="J2340" s="9">
        <f t="shared" si="258"/>
        <v>16.863629506620683</v>
      </c>
    </row>
    <row r="2341" spans="2:10" x14ac:dyDescent="0.25">
      <c r="B2341" s="1">
        <v>40882</v>
      </c>
      <c r="C2341" s="13">
        <v>14.036</v>
      </c>
      <c r="D2341" s="6">
        <f t="shared" si="252"/>
        <v>8.4782296306940008E-3</v>
      </c>
      <c r="E2341" s="14">
        <f t="shared" si="253"/>
        <v>3.860545394268743E-4</v>
      </c>
      <c r="F2341" s="9">
        <f t="shared" si="254"/>
        <v>16.912115122053059</v>
      </c>
      <c r="G2341" s="9">
        <f t="shared" si="255"/>
        <v>-6.0565429670596319E-2</v>
      </c>
      <c r="H2341" s="9">
        <f t="shared" si="256"/>
        <v>-4.3600414882788161E-3</v>
      </c>
      <c r="I2341" s="9">
        <f t="shared" si="257"/>
        <v>-1.738050035981812E-2</v>
      </c>
      <c r="J2341" s="9">
        <f t="shared" si="258"/>
        <v>16.829809150534366</v>
      </c>
    </row>
    <row r="2342" spans="2:10" x14ac:dyDescent="0.25">
      <c r="B2342" s="1">
        <v>40879</v>
      </c>
      <c r="C2342" s="13">
        <v>13.917999999999999</v>
      </c>
      <c r="D2342" s="6">
        <f t="shared" si="252"/>
        <v>4.5470949115842263E-3</v>
      </c>
      <c r="E2342" s="14">
        <f t="shared" si="253"/>
        <v>3.8787709753869935E-4</v>
      </c>
      <c r="F2342" s="9">
        <f t="shared" si="254"/>
        <v>16.907405244865171</v>
      </c>
      <c r="G2342" s="9">
        <f t="shared" si="255"/>
        <v>-6.0680892590552198E-2</v>
      </c>
      <c r="H2342" s="9">
        <f t="shared" si="256"/>
        <v>3.4263743046767463E-3</v>
      </c>
      <c r="I2342" s="9">
        <f t="shared" si="257"/>
        <v>-9.3541939884353234E-3</v>
      </c>
      <c r="J2342" s="9">
        <f t="shared" si="258"/>
        <v>16.840796532590861</v>
      </c>
    </row>
    <row r="2343" spans="2:10" x14ac:dyDescent="0.25">
      <c r="B2343" s="1">
        <v>40878</v>
      </c>
      <c r="C2343" s="13">
        <v>13.855</v>
      </c>
      <c r="D2343" s="6">
        <f t="shared" si="252"/>
        <v>1.5018315018314965E-2</v>
      </c>
      <c r="E2343" s="14">
        <f t="shared" si="253"/>
        <v>3.8780896216938378E-4</v>
      </c>
      <c r="F2343" s="9">
        <f t="shared" si="254"/>
        <v>16.907580922560129</v>
      </c>
      <c r="G2343" s="9">
        <f t="shared" si="255"/>
        <v>-1.1023654831937131E-2</v>
      </c>
      <c r="H2343" s="9">
        <f t="shared" si="256"/>
        <v>4.0797737675057606E-4</v>
      </c>
      <c r="I2343" s="9">
        <f t="shared" si="257"/>
        <v>-1.9818371618512329E-5</v>
      </c>
      <c r="J2343" s="9">
        <f t="shared" si="258"/>
        <v>16.896945426733321</v>
      </c>
    </row>
    <row r="2344" spans="2:10" x14ac:dyDescent="0.25">
      <c r="B2344" s="1">
        <v>40877</v>
      </c>
      <c r="C2344" s="13">
        <v>13.65</v>
      </c>
      <c r="D2344" s="6">
        <f t="shared" si="252"/>
        <v>2.4082826918748523E-2</v>
      </c>
      <c r="E2344" s="14">
        <f t="shared" si="253"/>
        <v>3.8910630447936144E-4</v>
      </c>
      <c r="F2344" s="9">
        <f t="shared" si="254"/>
        <v>16.904241192807021</v>
      </c>
      <c r="G2344" s="9">
        <f t="shared" si="255"/>
        <v>-0.2311047293995791</v>
      </c>
      <c r="H2344" s="9">
        <f t="shared" si="256"/>
        <v>5.3396300484067254E-3</v>
      </c>
      <c r="I2344" s="9">
        <f t="shared" si="257"/>
        <v>-5.0230671415874562E-3</v>
      </c>
      <c r="J2344" s="9">
        <f t="shared" si="258"/>
        <v>16.673453026314263</v>
      </c>
    </row>
    <row r="2345" spans="2:10" x14ac:dyDescent="0.25">
      <c r="B2345" s="1">
        <v>40876</v>
      </c>
      <c r="C2345" s="13">
        <v>13.329000000000001</v>
      </c>
      <c r="D2345" s="6">
        <f t="shared" si="252"/>
        <v>-7.7421275962181735E-3</v>
      </c>
      <c r="E2345" s="14">
        <f t="shared" si="253"/>
        <v>3.8487020968759199E-4</v>
      </c>
      <c r="F2345" s="9">
        <f t="shared" si="254"/>
        <v>16.915187615632586</v>
      </c>
      <c r="G2345" s="9">
        <f t="shared" si="255"/>
        <v>-0.65702756186002409</v>
      </c>
      <c r="H2345" s="9">
        <f t="shared" si="256"/>
        <v>-1.4819829379387349E-2</v>
      </c>
      <c r="I2345" s="9">
        <f t="shared" si="257"/>
        <v>-3.9797972744800916E-2</v>
      </c>
      <c r="J2345" s="9">
        <f t="shared" si="258"/>
        <v>16.203542251648376</v>
      </c>
    </row>
    <row r="2346" spans="2:10" x14ac:dyDescent="0.25">
      <c r="B2346" s="1">
        <v>40875</v>
      </c>
      <c r="C2346" s="13">
        <v>13.433</v>
      </c>
      <c r="D2346" s="6">
        <f t="shared" si="252"/>
        <v>3.4501347708894903E-2</v>
      </c>
      <c r="E2346" s="14">
        <f t="shared" si="253"/>
        <v>3.8420883839587701E-4</v>
      </c>
      <c r="F2346" s="9">
        <f t="shared" si="254"/>
        <v>16.916907520644678</v>
      </c>
      <c r="G2346" s="9">
        <f t="shared" si="255"/>
        <v>-0.1145820437987143</v>
      </c>
      <c r="H2346" s="9">
        <f t="shared" si="256"/>
        <v>-2.5174906034588606E-4</v>
      </c>
      <c r="I2346" s="9">
        <f t="shared" si="257"/>
        <v>-5.9169606369327012E-4</v>
      </c>
      <c r="J2346" s="9">
        <f t="shared" si="258"/>
        <v>16.801482031721925</v>
      </c>
    </row>
    <row r="2347" spans="2:10" x14ac:dyDescent="0.25">
      <c r="B2347" s="1">
        <v>40872</v>
      </c>
      <c r="C2347" s="13">
        <v>12.984999999999999</v>
      </c>
      <c r="D2347" s="6">
        <f t="shared" si="252"/>
        <v>-9.3080033569847842E-3</v>
      </c>
      <c r="E2347" s="14">
        <f t="shared" si="253"/>
        <v>3.7778247675175359E-4</v>
      </c>
      <c r="F2347" s="9">
        <f t="shared" si="254"/>
        <v>16.93377520373766</v>
      </c>
      <c r="G2347" s="9">
        <f t="shared" si="255"/>
        <v>-1.4345527927337836</v>
      </c>
      <c r="H2347" s="9">
        <f t="shared" si="256"/>
        <v>-3.6195690179350225E-2</v>
      </c>
      <c r="I2347" s="9">
        <f t="shared" si="257"/>
        <v>-9.5534778840407786E-2</v>
      </c>
      <c r="J2347" s="9">
        <f t="shared" si="258"/>
        <v>15.36749194198412</v>
      </c>
    </row>
    <row r="2348" spans="2:10" x14ac:dyDescent="0.25">
      <c r="B2348" s="1">
        <v>40870</v>
      </c>
      <c r="C2348" s="13">
        <v>13.106999999999999</v>
      </c>
      <c r="D2348" s="6">
        <f t="shared" si="252"/>
        <v>-2.5284450063211117E-2</v>
      </c>
      <c r="E2348" s="14">
        <f t="shared" si="253"/>
        <v>3.7920531488425888E-4</v>
      </c>
      <c r="F2348" s="9">
        <f t="shared" si="254"/>
        <v>16.930015989061232</v>
      </c>
      <c r="G2348" s="9">
        <f t="shared" si="255"/>
        <v>-0.15814097199907196</v>
      </c>
      <c r="H2348" s="9">
        <f t="shared" si="256"/>
        <v>-4.7419055563051446E-3</v>
      </c>
      <c r="I2348" s="9">
        <f t="shared" si="257"/>
        <v>-6.2087494096948912E-3</v>
      </c>
      <c r="J2348" s="9">
        <f t="shared" si="258"/>
        <v>16.760924362096162</v>
      </c>
    </row>
    <row r="2349" spans="2:10" x14ac:dyDescent="0.25">
      <c r="B2349" s="1">
        <v>40869</v>
      </c>
      <c r="C2349" s="13">
        <v>13.446999999999999</v>
      </c>
      <c r="D2349" s="6">
        <f t="shared" si="252"/>
        <v>2.0335382047196315E-2</v>
      </c>
      <c r="E2349" s="14">
        <f t="shared" si="253"/>
        <v>3.7413274363789584E-4</v>
      </c>
      <c r="F2349" s="9">
        <f t="shared" si="254"/>
        <v>16.943483111433817</v>
      </c>
      <c r="G2349" s="9">
        <f t="shared" si="255"/>
        <v>-0.97076254170705978</v>
      </c>
      <c r="H2349" s="9">
        <f t="shared" si="256"/>
        <v>2.2719603063253529E-2</v>
      </c>
      <c r="I2349" s="9">
        <f t="shared" si="257"/>
        <v>-5.9058457831581056E-2</v>
      </c>
      <c r="J2349" s="9">
        <f t="shared" si="258"/>
        <v>15.936381714958429</v>
      </c>
    </row>
    <row r="2350" spans="2:10" x14ac:dyDescent="0.25">
      <c r="B2350" s="1">
        <v>40868</v>
      </c>
      <c r="C2350" s="13">
        <v>13.179</v>
      </c>
      <c r="D2350" s="6">
        <f t="shared" si="252"/>
        <v>-1.5831528638637904E-2</v>
      </c>
      <c r="E2350" s="14">
        <f t="shared" si="253"/>
        <v>3.7096069551376061E-4</v>
      </c>
      <c r="F2350" s="9">
        <f t="shared" si="254"/>
        <v>16.951997660405105</v>
      </c>
      <c r="G2350" s="9">
        <f t="shared" si="255"/>
        <v>-0.47313125757358926</v>
      </c>
      <c r="H2350" s="9">
        <f t="shared" si="256"/>
        <v>-8.841744715749153E-3</v>
      </c>
      <c r="I2350" s="9">
        <f t="shared" si="257"/>
        <v>-2.2186768973451589E-2</v>
      </c>
      <c r="J2350" s="9">
        <f t="shared" si="258"/>
        <v>16.447837889142317</v>
      </c>
    </row>
    <row r="2351" spans="2:10" x14ac:dyDescent="0.25">
      <c r="B2351" s="1">
        <v>40865</v>
      </c>
      <c r="C2351" s="13">
        <v>13.391</v>
      </c>
      <c r="D2351" s="6">
        <f t="shared" si="252"/>
        <v>-6.5286742339936144E-3</v>
      </c>
      <c r="E2351" s="14">
        <f t="shared" si="253"/>
        <v>3.6912730012782533E-4</v>
      </c>
      <c r="F2351" s="9">
        <f t="shared" si="254"/>
        <v>16.956952204046321</v>
      </c>
      <c r="G2351" s="9">
        <f t="shared" si="255"/>
        <v>-0.41410429868282572</v>
      </c>
      <c r="H2351" s="9">
        <f t="shared" si="256"/>
        <v>3.6106661636561739E-3</v>
      </c>
      <c r="I2351" s="9">
        <f t="shared" si="257"/>
        <v>-6.7570423589215518E-3</v>
      </c>
      <c r="J2351" s="9">
        <f t="shared" si="258"/>
        <v>16.53970152916823</v>
      </c>
    </row>
    <row r="2352" spans="2:10" x14ac:dyDescent="0.25">
      <c r="B2352" s="1">
        <v>40864</v>
      </c>
      <c r="C2352" s="13">
        <v>13.478999999999999</v>
      </c>
      <c r="D2352" s="6">
        <f t="shared" si="252"/>
        <v>-1.9138407800902479E-2</v>
      </c>
      <c r="E2352" s="14">
        <f t="shared" si="253"/>
        <v>3.7615830990004115E-4</v>
      </c>
      <c r="F2352" s="9">
        <f t="shared" si="254"/>
        <v>16.938083683641963</v>
      </c>
      <c r="G2352" s="9">
        <f t="shared" si="255"/>
        <v>-8.8682821020649588E-2</v>
      </c>
      <c r="H2352" s="9">
        <f t="shared" si="256"/>
        <v>-1.2556673144843379E-2</v>
      </c>
      <c r="I2352" s="9">
        <f t="shared" si="257"/>
        <v>-0.12765558312176242</v>
      </c>
      <c r="J2352" s="9">
        <f t="shared" si="258"/>
        <v>16.709188606354708</v>
      </c>
    </row>
    <row r="2353" spans="2:10" x14ac:dyDescent="0.25">
      <c r="B2353" s="1">
        <v>40863</v>
      </c>
      <c r="C2353" s="13">
        <v>13.742000000000001</v>
      </c>
      <c r="D2353" s="6">
        <f t="shared" si="252"/>
        <v>-1.0441420033124427E-2</v>
      </c>
      <c r="E2353" s="14">
        <f t="shared" si="253"/>
        <v>3.7300047454780428E-4</v>
      </c>
      <c r="F2353" s="9">
        <f t="shared" si="254"/>
        <v>16.946514083499732</v>
      </c>
      <c r="G2353" s="9">
        <f t="shared" si="255"/>
        <v>-0.57974819696530233</v>
      </c>
      <c r="H2353" s="9">
        <f t="shared" si="256"/>
        <v>9.7020833995326572E-3</v>
      </c>
      <c r="I2353" s="9">
        <f t="shared" si="257"/>
        <v>-2.1905490489037401E-2</v>
      </c>
      <c r="J2353" s="9">
        <f t="shared" si="258"/>
        <v>16.354562479444926</v>
      </c>
    </row>
    <row r="2354" spans="2:10" x14ac:dyDescent="0.25">
      <c r="B2354" s="1">
        <v>40862</v>
      </c>
      <c r="C2354" s="13">
        <v>13.887</v>
      </c>
      <c r="D2354" s="6">
        <f t="shared" si="252"/>
        <v>2.5249169435215935E-2</v>
      </c>
      <c r="E2354" s="14">
        <f t="shared" si="253"/>
        <v>3.7221252100557822E-4</v>
      </c>
      <c r="F2354" s="9">
        <f t="shared" si="254"/>
        <v>16.948628791215704</v>
      </c>
      <c r="G2354" s="9">
        <f t="shared" si="255"/>
        <v>-0.19624031479999987</v>
      </c>
      <c r="H2354" s="9">
        <f t="shared" si="256"/>
        <v>-3.1241449918160035E-5</v>
      </c>
      <c r="I2354" s="9">
        <f t="shared" si="257"/>
        <v>-9.0186653125641991E-4</v>
      </c>
      <c r="J2354" s="9">
        <f t="shared" si="258"/>
        <v>16.751455368434527</v>
      </c>
    </row>
    <row r="2355" spans="2:10" x14ac:dyDescent="0.25">
      <c r="B2355" s="1">
        <v>40861</v>
      </c>
      <c r="C2355" s="13">
        <v>13.545</v>
      </c>
      <c r="D2355" s="6">
        <f t="shared" si="252"/>
        <v>-1.3905066977285996E-2</v>
      </c>
      <c r="E2355" s="14">
        <f t="shared" si="253"/>
        <v>3.6874467445988362E-4</v>
      </c>
      <c r="F2355" s="9">
        <f t="shared" si="254"/>
        <v>16.957989309981809</v>
      </c>
      <c r="G2355" s="9">
        <f t="shared" si="255"/>
        <v>-0.7588470499699258</v>
      </c>
      <c r="H2355" s="9">
        <f t="shared" si="256"/>
        <v>-1.2632307303126859E-2</v>
      </c>
      <c r="I2355" s="9">
        <f t="shared" si="257"/>
        <v>-2.6902951385343866E-2</v>
      </c>
      <c r="J2355" s="9">
        <f t="shared" si="258"/>
        <v>16.159607001323412</v>
      </c>
    </row>
    <row r="2356" spans="2:10" x14ac:dyDescent="0.25">
      <c r="B2356" s="1">
        <v>40858</v>
      </c>
      <c r="C2356" s="13">
        <v>13.736000000000001</v>
      </c>
      <c r="D2356" s="6">
        <f t="shared" si="252"/>
        <v>-1.5990696322139009E-3</v>
      </c>
      <c r="E2356" s="14">
        <f t="shared" si="253"/>
        <v>3.6733903855524098E-4</v>
      </c>
      <c r="F2356" s="9">
        <f t="shared" si="254"/>
        <v>16.961808543007624</v>
      </c>
      <c r="G2356" s="9">
        <f t="shared" si="255"/>
        <v>-0.32935495556145322</v>
      </c>
      <c r="H2356" s="9">
        <f t="shared" si="256"/>
        <v>1.890478328080887E-3</v>
      </c>
      <c r="I2356" s="9">
        <f t="shared" si="257"/>
        <v>-3.6967824773413262E-3</v>
      </c>
      <c r="J2356" s="9">
        <f t="shared" si="258"/>
        <v>16.630647283296913</v>
      </c>
    </row>
    <row r="2357" spans="2:10" x14ac:dyDescent="0.25">
      <c r="B2357" s="1">
        <v>40857</v>
      </c>
      <c r="C2357" s="13">
        <v>13.757999999999999</v>
      </c>
      <c r="D2357" s="6">
        <f t="shared" si="252"/>
        <v>-2.5430332223560392E-2</v>
      </c>
      <c r="E2357" s="14">
        <f t="shared" si="253"/>
        <v>3.673849488200785E-4</v>
      </c>
      <c r="F2357" s="9">
        <f t="shared" si="254"/>
        <v>16.961683570186032</v>
      </c>
      <c r="G2357" s="9">
        <f t="shared" si="255"/>
        <v>-1.4209319977704488E-2</v>
      </c>
      <c r="H2357" s="9">
        <f t="shared" si="256"/>
        <v>-5.4994982068112027E-4</v>
      </c>
      <c r="I2357" s="9">
        <f t="shared" si="257"/>
        <v>-1.4369369964546181E-4</v>
      </c>
      <c r="J2357" s="9">
        <f t="shared" si="258"/>
        <v>16.946780606688002</v>
      </c>
    </row>
    <row r="2358" spans="2:10" x14ac:dyDescent="0.25">
      <c r="B2358" s="1">
        <v>40856</v>
      </c>
      <c r="C2358" s="13">
        <v>14.117000000000001</v>
      </c>
      <c r="D2358" s="6">
        <f t="shared" si="252"/>
        <v>-2.6950647918389747E-2</v>
      </c>
      <c r="E2358" s="14">
        <f t="shared" si="253"/>
        <v>3.6380525375555561E-4</v>
      </c>
      <c r="F2358" s="9">
        <f t="shared" si="254"/>
        <v>16.971475068079933</v>
      </c>
      <c r="G2358" s="9">
        <f t="shared" si="255"/>
        <v>-1.0091726018144862</v>
      </c>
      <c r="H2358" s="9">
        <f t="shared" si="256"/>
        <v>1.5281269576736693E-2</v>
      </c>
      <c r="I2358" s="9">
        <f t="shared" si="257"/>
        <v>-2.9020929860636067E-2</v>
      </c>
      <c r="J2358" s="9">
        <f t="shared" si="258"/>
        <v>15.948562805981547</v>
      </c>
    </row>
    <row r="2359" spans="2:10" x14ac:dyDescent="0.25">
      <c r="B2359" s="1">
        <v>40855</v>
      </c>
      <c r="C2359" s="13">
        <v>14.507999999999999</v>
      </c>
      <c r="D2359" s="6">
        <f t="shared" si="252"/>
        <v>1.6251050714485737E-2</v>
      </c>
      <c r="E2359" s="14">
        <f t="shared" si="253"/>
        <v>3.5704614135494253E-4</v>
      </c>
      <c r="F2359" s="9">
        <f t="shared" si="254"/>
        <v>16.990228754468124</v>
      </c>
      <c r="G2359" s="9">
        <f t="shared" si="255"/>
        <v>-1.1470767903870718</v>
      </c>
      <c r="H2359" s="9">
        <f t="shared" si="256"/>
        <v>3.5262390416464277E-2</v>
      </c>
      <c r="I2359" s="9">
        <f t="shared" si="257"/>
        <v>-0.11096658575357096</v>
      </c>
      <c r="J2359" s="9">
        <f t="shared" si="258"/>
        <v>15.767447768743946</v>
      </c>
    </row>
    <row r="2360" spans="2:10" x14ac:dyDescent="0.25">
      <c r="B2360" s="1">
        <v>40854</v>
      </c>
      <c r="C2360" s="13">
        <v>14.276</v>
      </c>
      <c r="D2360" s="6">
        <f t="shared" si="252"/>
        <v>-1.2592696236183309E-3</v>
      </c>
      <c r="E2360" s="14">
        <f t="shared" si="253"/>
        <v>3.5600872702420012E-4</v>
      </c>
      <c r="F2360" s="9">
        <f t="shared" si="254"/>
        <v>16.993138530724373</v>
      </c>
      <c r="G2360" s="9">
        <f t="shared" si="255"/>
        <v>-0.30123628253230528</v>
      </c>
      <c r="H2360" s="9">
        <f t="shared" si="256"/>
        <v>-7.1811509689986895E-4</v>
      </c>
      <c r="I2360" s="9">
        <f t="shared" si="257"/>
        <v>-1.7681061660840319E-3</v>
      </c>
      <c r="J2360" s="9">
        <f t="shared" si="258"/>
        <v>16.689416026929088</v>
      </c>
    </row>
    <row r="2361" spans="2:10" x14ac:dyDescent="0.25">
      <c r="B2361" s="1">
        <v>40851</v>
      </c>
      <c r="C2361" s="13">
        <v>14.294</v>
      </c>
      <c r="D2361" s="6">
        <f t="shared" si="252"/>
        <v>-7.0163251128863013E-3</v>
      </c>
      <c r="E2361" s="14">
        <f t="shared" si="253"/>
        <v>3.563275210816806E-4</v>
      </c>
      <c r="F2361" s="9">
        <f t="shared" si="254"/>
        <v>16.992243464441813</v>
      </c>
      <c r="G2361" s="9">
        <f t="shared" si="255"/>
        <v>-1.1726884991953379E-2</v>
      </c>
      <c r="H2361" s="9">
        <f t="shared" si="256"/>
        <v>-6.707589707619974E-4</v>
      </c>
      <c r="I2361" s="9">
        <f t="shared" si="257"/>
        <v>-7.2888628153147466E-4</v>
      </c>
      <c r="J2361" s="9">
        <f t="shared" si="258"/>
        <v>16.979116934197563</v>
      </c>
    </row>
    <row r="2362" spans="2:10" x14ac:dyDescent="0.25">
      <c r="B2362" s="1">
        <v>40850</v>
      </c>
      <c r="C2362" s="13">
        <v>14.395</v>
      </c>
      <c r="D2362" s="6">
        <f t="shared" si="252"/>
        <v>1.4232368068766377E-2</v>
      </c>
      <c r="E2362" s="14">
        <f t="shared" si="253"/>
        <v>3.6002288638921852E-4</v>
      </c>
      <c r="F2362" s="9">
        <f t="shared" si="254"/>
        <v>16.981926172656017</v>
      </c>
      <c r="G2362" s="9">
        <f t="shared" si="255"/>
        <v>-0.10406864799874281</v>
      </c>
      <c r="H2362" s="9">
        <f t="shared" si="256"/>
        <v>-7.9822033446485478E-3</v>
      </c>
      <c r="I2362" s="9">
        <f t="shared" si="257"/>
        <v>-3.9042336192493469E-2</v>
      </c>
      <c r="J2362" s="9">
        <f t="shared" si="258"/>
        <v>16.830832985120129</v>
      </c>
    </row>
    <row r="2363" spans="2:10" x14ac:dyDescent="0.25">
      <c r="B2363" s="1">
        <v>40849</v>
      </c>
      <c r="C2363" s="13">
        <v>14.193</v>
      </c>
      <c r="D2363" s="6">
        <f t="shared" si="252"/>
        <v>2.2597274203799422E-3</v>
      </c>
      <c r="E2363" s="14">
        <f t="shared" si="253"/>
        <v>3.6165938860282219E-4</v>
      </c>
      <c r="F2363" s="9">
        <f t="shared" si="254"/>
        <v>16.977390921963728</v>
      </c>
      <c r="G2363" s="9">
        <f t="shared" si="255"/>
        <v>-0.2203132188587521</v>
      </c>
      <c r="H2363" s="9">
        <f t="shared" si="256"/>
        <v>6.2817468273871097E-3</v>
      </c>
      <c r="I2363" s="9">
        <f t="shared" si="257"/>
        <v>-8.6397631767408008E-3</v>
      </c>
      <c r="J2363" s="9">
        <f t="shared" si="258"/>
        <v>16.754719686755621</v>
      </c>
    </row>
    <row r="2364" spans="2:10" x14ac:dyDescent="0.25">
      <c r="B2364" s="1">
        <v>40848</v>
      </c>
      <c r="C2364" s="13">
        <v>14.161</v>
      </c>
      <c r="D2364" s="6">
        <f t="shared" si="252"/>
        <v>-2.0406751521859445E-2</v>
      </c>
      <c r="E2364" s="14">
        <f t="shared" si="253"/>
        <v>3.6173421258236372E-4</v>
      </c>
      <c r="F2364" s="9">
        <f t="shared" si="254"/>
        <v>16.977184052619887</v>
      </c>
      <c r="G2364" s="9">
        <f t="shared" si="255"/>
        <v>-5.5439337836844457E-4</v>
      </c>
      <c r="H2364" s="9">
        <f t="shared" si="256"/>
        <v>1.1321162528907845E-4</v>
      </c>
      <c r="I2364" s="9">
        <f t="shared" si="257"/>
        <v>-1.9639602499141437E-4</v>
      </c>
      <c r="J2364" s="9">
        <f t="shared" si="258"/>
        <v>16.976546474841815</v>
      </c>
    </row>
    <row r="2365" spans="2:10" x14ac:dyDescent="0.25">
      <c r="B2365" s="1">
        <v>40847</v>
      </c>
      <c r="C2365" s="13">
        <v>14.456</v>
      </c>
      <c r="D2365" s="6">
        <f t="shared" si="252"/>
        <v>-4.8399363894069403E-4</v>
      </c>
      <c r="E2365" s="14">
        <f t="shared" si="253"/>
        <v>3.582846718768346E-4</v>
      </c>
      <c r="F2365" s="9">
        <f t="shared" si="254"/>
        <v>16.986765932130268</v>
      </c>
      <c r="G2365" s="9">
        <f t="shared" si="255"/>
        <v>-0.67954103724689796</v>
      </c>
      <c r="H2365" s="9">
        <f t="shared" si="256"/>
        <v>1.2044001721243015E-2</v>
      </c>
      <c r="I2365" s="9">
        <f t="shared" si="257"/>
        <v>-2.7089841202877139E-2</v>
      </c>
      <c r="J2365" s="9">
        <f t="shared" si="258"/>
        <v>16.292179055401736</v>
      </c>
    </row>
    <row r="2366" spans="2:10" x14ac:dyDescent="0.25">
      <c r="B2366" s="1">
        <v>40844</v>
      </c>
      <c r="C2366" s="13">
        <v>14.462999999999999</v>
      </c>
      <c r="D2366" s="6">
        <f t="shared" si="252"/>
        <v>6.9189787587342622E-4</v>
      </c>
      <c r="E2366" s="14">
        <f t="shared" si="253"/>
        <v>3.5838128246931921E-4</v>
      </c>
      <c r="F2366" s="9">
        <f t="shared" si="254"/>
        <v>16.986496320904887</v>
      </c>
      <c r="G2366" s="9">
        <f t="shared" si="255"/>
        <v>-6.2377118725269196E-3</v>
      </c>
      <c r="H2366" s="9">
        <f t="shared" si="256"/>
        <v>-3.9101023405581359E-4</v>
      </c>
      <c r="I2366" s="9">
        <f t="shared" si="257"/>
        <v>-2.3923835031795527E-4</v>
      </c>
      <c r="J2366" s="9">
        <f t="shared" si="258"/>
        <v>16.97962836044799</v>
      </c>
    </row>
    <row r="2367" spans="2:10" x14ac:dyDescent="0.25">
      <c r="B2367" s="1">
        <v>40843</v>
      </c>
      <c r="C2367" s="13">
        <v>14.452999999999999</v>
      </c>
      <c r="D2367" s="6">
        <f t="shared" si="252"/>
        <v>1.0204794855664945E-2</v>
      </c>
      <c r="E2367" s="14">
        <f t="shared" si="253"/>
        <v>3.5838883237087791E-4</v>
      </c>
      <c r="F2367" s="9">
        <f t="shared" si="254"/>
        <v>16.98647525445303</v>
      </c>
      <c r="G2367" s="9">
        <f t="shared" si="255"/>
        <v>-1.2244493551877226E-3</v>
      </c>
      <c r="H2367" s="9">
        <f t="shared" si="256"/>
        <v>-1.5604840112880988E-4</v>
      </c>
      <c r="I2367" s="9">
        <f t="shared" si="257"/>
        <v>-1.1978959724657671E-4</v>
      </c>
      <c r="J2367" s="9">
        <f t="shared" si="258"/>
        <v>16.984974967099468</v>
      </c>
    </row>
    <row r="2368" spans="2:10" x14ac:dyDescent="0.25">
      <c r="B2368" s="1">
        <v>40842</v>
      </c>
      <c r="C2368" s="13">
        <v>14.307</v>
      </c>
      <c r="D2368" s="6">
        <f t="shared" si="252"/>
        <v>7.1096719695904476E-3</v>
      </c>
      <c r="E2368" s="14">
        <f t="shared" si="253"/>
        <v>3.5776772203344127E-4</v>
      </c>
      <c r="F2368" s="9">
        <f t="shared" si="254"/>
        <v>16.988209820699321</v>
      </c>
      <c r="G2368" s="9">
        <f t="shared" si="255"/>
        <v>-0.10312598425501319</v>
      </c>
      <c r="H2368" s="9">
        <f t="shared" si="256"/>
        <v>3.1887410110664684E-4</v>
      </c>
      <c r="I2368" s="9">
        <f t="shared" si="257"/>
        <v>-4.3843245758782396E-4</v>
      </c>
      <c r="J2368" s="9">
        <f t="shared" si="258"/>
        <v>16.884964278087828</v>
      </c>
    </row>
    <row r="2369" spans="2:10" x14ac:dyDescent="0.25">
      <c r="B2369" s="1">
        <v>40841</v>
      </c>
      <c r="C2369" s="13">
        <v>14.206</v>
      </c>
      <c r="D2369" s="6">
        <f t="shared" si="252"/>
        <v>-1.9735026221363583E-2</v>
      </c>
      <c r="E2369" s="14">
        <f t="shared" si="253"/>
        <v>3.5822322745446451E-4</v>
      </c>
      <c r="F2369" s="9">
        <f t="shared" si="254"/>
        <v>16.986937442933087</v>
      </c>
      <c r="G2369" s="9">
        <f t="shared" si="255"/>
        <v>-4.207545235801452E-2</v>
      </c>
      <c r="H2369" s="9">
        <f t="shared" si="256"/>
        <v>1.4218842466861056E-3</v>
      </c>
      <c r="I2369" s="9">
        <f t="shared" si="257"/>
        <v>-1.1363403194385728E-3</v>
      </c>
      <c r="J2369" s="9">
        <f t="shared" si="258"/>
        <v>16.945147534502322</v>
      </c>
    </row>
    <row r="2370" spans="2:10" x14ac:dyDescent="0.25">
      <c r="B2370" s="1">
        <v>40840</v>
      </c>
      <c r="C2370" s="13">
        <v>14.492000000000001</v>
      </c>
      <c r="D2370" s="6">
        <f t="shared" si="252"/>
        <v>3.2855819257358698E-2</v>
      </c>
      <c r="E2370" s="14">
        <f t="shared" si="253"/>
        <v>3.5457702823249866E-4</v>
      </c>
      <c r="F2370" s="9">
        <f t="shared" si="254"/>
        <v>16.997168166045466</v>
      </c>
      <c r="G2370" s="9">
        <f t="shared" si="255"/>
        <v>-0.64541900057923807</v>
      </c>
      <c r="H2370" s="9">
        <f t="shared" si="256"/>
        <v>1.2675015637661085E-2</v>
      </c>
      <c r="I2370" s="9">
        <f t="shared" si="257"/>
        <v>-3.0685627970815244E-2</v>
      </c>
      <c r="J2370" s="9">
        <f t="shared" si="258"/>
        <v>16.333738553133074</v>
      </c>
    </row>
    <row r="2371" spans="2:10" x14ac:dyDescent="0.25">
      <c r="B2371" s="1">
        <v>40837</v>
      </c>
      <c r="C2371" s="13">
        <v>14.031000000000001</v>
      </c>
      <c r="D2371" s="6">
        <f t="shared" si="252"/>
        <v>-6.1623459413514547E-3</v>
      </c>
      <c r="E2371" s="14">
        <f t="shared" si="253"/>
        <v>3.4644439604694693E-4</v>
      </c>
      <c r="F2371" s="9">
        <f t="shared" si="254"/>
        <v>17.020371442805086</v>
      </c>
      <c r="G2371" s="9">
        <f t="shared" si="255"/>
        <v>-1.411630905566871</v>
      </c>
      <c r="H2371" s="9">
        <f t="shared" si="256"/>
        <v>-4.8866726191013989E-2</v>
      </c>
      <c r="I2371" s="9">
        <f t="shared" si="257"/>
        <v>-0.16662397824739525</v>
      </c>
      <c r="J2371" s="9">
        <f t="shared" si="258"/>
        <v>15.393249832799807</v>
      </c>
    </row>
    <row r="2372" spans="2:10" x14ac:dyDescent="0.25">
      <c r="B2372" s="1">
        <v>40836</v>
      </c>
      <c r="C2372" s="13">
        <v>14.118</v>
      </c>
      <c r="D2372" s="6">
        <f t="shared" si="252"/>
        <v>-8.2888451812307418E-3</v>
      </c>
      <c r="E2372" s="14">
        <f t="shared" si="253"/>
        <v>3.4723990062722113E-4</v>
      </c>
      <c r="F2372" s="9">
        <f t="shared" si="254"/>
        <v>17.018077878044245</v>
      </c>
      <c r="G2372" s="9">
        <f t="shared" si="255"/>
        <v>-8.7632364063706822E-2</v>
      </c>
      <c r="H2372" s="9">
        <f t="shared" si="256"/>
        <v>-2.6482021753949972E-3</v>
      </c>
      <c r="I2372" s="9">
        <f t="shared" si="257"/>
        <v>-2.7786521606432352E-3</v>
      </c>
      <c r="J2372" s="9">
        <f t="shared" si="258"/>
        <v>16.9250186596445</v>
      </c>
    </row>
    <row r="2373" spans="2:10" x14ac:dyDescent="0.25">
      <c r="B2373" s="1">
        <v>40835</v>
      </c>
      <c r="C2373" s="13">
        <v>14.236000000000001</v>
      </c>
      <c r="D2373" s="6">
        <f t="shared" si="252"/>
        <v>-5.5968169761273168E-2</v>
      </c>
      <c r="E2373" s="14">
        <f t="shared" si="253"/>
        <v>3.470867042905859E-4</v>
      </c>
      <c r="F2373" s="9">
        <f t="shared" si="254"/>
        <v>17.018519158381299</v>
      </c>
      <c r="G2373" s="9">
        <f t="shared" si="255"/>
        <v>-0.14207096254587775</v>
      </c>
      <c r="H2373" s="9">
        <f t="shared" si="256"/>
        <v>-1.3684668305735017E-3</v>
      </c>
      <c r="I2373" s="9">
        <f t="shared" si="257"/>
        <v>-1.4389115624385159E-5</v>
      </c>
      <c r="J2373" s="9">
        <f t="shared" si="258"/>
        <v>16.875065339889225</v>
      </c>
    </row>
    <row r="2374" spans="2:10" x14ac:dyDescent="0.25">
      <c r="B2374" s="1">
        <v>40834</v>
      </c>
      <c r="C2374" s="13">
        <v>15.08</v>
      </c>
      <c r="D2374" s="6">
        <f t="shared" si="252"/>
        <v>5.3333333333334121E-3</v>
      </c>
      <c r="E2374" s="14">
        <f t="shared" si="253"/>
        <v>3.2059380821647946E-4</v>
      </c>
      <c r="F2374" s="9">
        <f t="shared" si="254"/>
        <v>17.097918848511327</v>
      </c>
      <c r="G2374" s="9">
        <f t="shared" si="255"/>
        <v>-5.1889027052430992</v>
      </c>
      <c r="H2374" s="9">
        <f t="shared" si="256"/>
        <v>0.34129069765340747</v>
      </c>
      <c r="I2374" s="9">
        <f t="shared" si="257"/>
        <v>-1.9813988667563733</v>
      </c>
      <c r="J2374" s="9">
        <f t="shared" si="258"/>
        <v>10.268907974165263</v>
      </c>
    </row>
    <row r="2375" spans="2:10" x14ac:dyDescent="0.25">
      <c r="B2375" s="1">
        <v>40833</v>
      </c>
      <c r="C2375" s="13">
        <v>15</v>
      </c>
      <c r="D2375" s="6">
        <f t="shared" si="252"/>
        <v>-4.7110344369981627E-3</v>
      </c>
      <c r="E2375" s="14">
        <f t="shared" si="253"/>
        <v>3.2053397702348129E-4</v>
      </c>
      <c r="F2375" s="9">
        <f t="shared" si="254"/>
        <v>17.098105492093307</v>
      </c>
      <c r="G2375" s="9">
        <f t="shared" si="255"/>
        <v>-2.1487525420663293E-2</v>
      </c>
      <c r="H2375" s="9">
        <f t="shared" si="256"/>
        <v>6.3362432328203456E-4</v>
      </c>
      <c r="I2375" s="9">
        <f t="shared" si="257"/>
        <v>-1.2809985644418161E-4</v>
      </c>
      <c r="J2375" s="9">
        <f t="shared" si="258"/>
        <v>17.077123491139481</v>
      </c>
    </row>
    <row r="2376" spans="2:10" x14ac:dyDescent="0.25">
      <c r="B2376" s="1">
        <v>40830</v>
      </c>
      <c r="C2376" s="13">
        <v>15.071</v>
      </c>
      <c r="D2376" s="6">
        <f t="shared" si="252"/>
        <v>3.318022897100148E-2</v>
      </c>
      <c r="E2376" s="14">
        <f t="shared" si="253"/>
        <v>3.208637558120507E-4</v>
      </c>
      <c r="F2376" s="9">
        <f t="shared" si="254"/>
        <v>17.097077179080188</v>
      </c>
      <c r="G2376" s="9">
        <f t="shared" si="255"/>
        <v>-6.2789872189702056E-2</v>
      </c>
      <c r="H2376" s="9">
        <f t="shared" si="256"/>
        <v>-1.6516722136525196E-3</v>
      </c>
      <c r="I2376" s="9">
        <f t="shared" si="257"/>
        <v>-1.0361050966601058E-3</v>
      </c>
      <c r="J2376" s="9">
        <f t="shared" si="258"/>
        <v>17.031599529580177</v>
      </c>
    </row>
    <row r="2377" spans="2:10" x14ac:dyDescent="0.25">
      <c r="B2377" s="1">
        <v>40829</v>
      </c>
      <c r="C2377" s="13">
        <v>14.587</v>
      </c>
      <c r="D2377" s="6">
        <f t="shared" si="252"/>
        <v>1.5524923419660164E-2</v>
      </c>
      <c r="E2377" s="14">
        <f t="shared" si="253"/>
        <v>3.1272346286648033E-4</v>
      </c>
      <c r="F2377" s="9">
        <f t="shared" si="254"/>
        <v>17.12277448058839</v>
      </c>
      <c r="G2377" s="9">
        <f t="shared" si="255"/>
        <v>-1.5965069803197267</v>
      </c>
      <c r="H2377" s="9">
        <f t="shared" si="256"/>
        <v>-5.4755552599907685E-2</v>
      </c>
      <c r="I2377" s="9">
        <f t="shared" si="257"/>
        <v>-0.18234998433745686</v>
      </c>
      <c r="J2377" s="9">
        <f t="shared" si="258"/>
        <v>15.289161963331299</v>
      </c>
    </row>
    <row r="2378" spans="2:10" x14ac:dyDescent="0.25">
      <c r="B2378" s="1">
        <v>40828</v>
      </c>
      <c r="C2378" s="13">
        <v>14.364000000000001</v>
      </c>
      <c r="D2378" s="6">
        <f t="shared" si="252"/>
        <v>4.756575265808749E-3</v>
      </c>
      <c r="E2378" s="14">
        <f t="shared" si="253"/>
        <v>3.1538731188266621E-4</v>
      </c>
      <c r="F2378" s="9">
        <f t="shared" si="254"/>
        <v>17.11429233032268</v>
      </c>
      <c r="G2378" s="9">
        <f t="shared" si="255"/>
        <v>-0.30710513861052363</v>
      </c>
      <c r="H2378" s="9">
        <f t="shared" si="256"/>
        <v>1.1289418925856446E-2</v>
      </c>
      <c r="I2378" s="9">
        <f t="shared" si="257"/>
        <v>-2.537032817665737E-2</v>
      </c>
      <c r="J2378" s="9">
        <f t="shared" si="258"/>
        <v>16.793106282461356</v>
      </c>
    </row>
    <row r="2379" spans="2:10" x14ac:dyDescent="0.25">
      <c r="B2379" s="1">
        <v>40827</v>
      </c>
      <c r="C2379" s="13">
        <v>14.295999999999999</v>
      </c>
      <c r="D2379" s="6">
        <f t="shared" si="252"/>
        <v>2.9526141437419051E-2</v>
      </c>
      <c r="E2379" s="14">
        <f t="shared" si="253"/>
        <v>3.1649741246397503E-4</v>
      </c>
      <c r="F2379" s="9">
        <f t="shared" si="254"/>
        <v>17.110778709307322</v>
      </c>
      <c r="G2379" s="9">
        <f t="shared" si="255"/>
        <v>-1.5515189912224153E-2</v>
      </c>
      <c r="H2379" s="9">
        <f t="shared" si="256"/>
        <v>1.3971442161128758E-3</v>
      </c>
      <c r="I2379" s="9">
        <f t="shared" si="257"/>
        <v>-5.6187360370492153E-3</v>
      </c>
      <c r="J2379" s="9">
        <f t="shared" si="258"/>
        <v>17.09104192757416</v>
      </c>
    </row>
    <row r="2380" spans="2:10" x14ac:dyDescent="0.25">
      <c r="B2380" s="1">
        <v>40826</v>
      </c>
      <c r="C2380" s="13">
        <v>13.885999999999999</v>
      </c>
      <c r="D2380" s="6">
        <f t="shared" si="252"/>
        <v>5.1412129931097006E-2</v>
      </c>
      <c r="E2380" s="14">
        <f t="shared" si="253"/>
        <v>3.1223827339838835E-4</v>
      </c>
      <c r="F2380" s="9">
        <f t="shared" si="254"/>
        <v>17.12432718225768</v>
      </c>
      <c r="G2380" s="9">
        <f t="shared" si="255"/>
        <v>-1.2500804205676859</v>
      </c>
      <c r="H2380" s="9">
        <f t="shared" si="256"/>
        <v>-2.2847473411362354E-2</v>
      </c>
      <c r="I2380" s="9">
        <f t="shared" si="257"/>
        <v>-4.6743322367335916E-2</v>
      </c>
      <c r="J2380" s="9">
        <f t="shared" si="258"/>
        <v>15.804655965911296</v>
      </c>
    </row>
    <row r="2381" spans="2:10" x14ac:dyDescent="0.25">
      <c r="B2381" s="1">
        <v>40823</v>
      </c>
      <c r="C2381" s="13">
        <v>13.207000000000001</v>
      </c>
      <c r="D2381" s="6">
        <f t="shared" si="252"/>
        <v>-2.0106840777563417E-2</v>
      </c>
      <c r="E2381" s="14">
        <f t="shared" si="253"/>
        <v>2.9254100445670102E-4</v>
      </c>
      <c r="F2381" s="9">
        <f t="shared" si="254"/>
        <v>17.189488932365357</v>
      </c>
      <c r="G2381" s="9">
        <f t="shared" si="255"/>
        <v>-4.2487358202220902</v>
      </c>
      <c r="H2381" s="9">
        <f t="shared" si="256"/>
        <v>-0.23778296806406762</v>
      </c>
      <c r="I2381" s="9">
        <f t="shared" si="257"/>
        <v>-1.1860919343437213</v>
      </c>
      <c r="J2381" s="9">
        <f t="shared" si="258"/>
        <v>11.516878209735477</v>
      </c>
    </row>
    <row r="2382" spans="2:10" x14ac:dyDescent="0.25">
      <c r="B2382" s="1">
        <v>40822</v>
      </c>
      <c r="C2382" s="13">
        <v>13.478</v>
      </c>
      <c r="D2382" s="6">
        <f t="shared" si="252"/>
        <v>-2.2947664519950006E-3</v>
      </c>
      <c r="E2382" s="14">
        <f t="shared" si="253"/>
        <v>2.9092278171310998E-4</v>
      </c>
      <c r="F2382" s="9">
        <f t="shared" si="254"/>
        <v>17.195035898367983</v>
      </c>
      <c r="G2382" s="9">
        <f t="shared" si="255"/>
        <v>-0.8142587660215882</v>
      </c>
      <c r="H2382" s="9">
        <f t="shared" si="256"/>
        <v>4.5144936923670626E-3</v>
      </c>
      <c r="I2382" s="9">
        <f t="shared" si="257"/>
        <v>-5.3547713038065393E-3</v>
      </c>
      <c r="J2382" s="9">
        <f t="shared" si="258"/>
        <v>16.379936854734954</v>
      </c>
    </row>
    <row r="2383" spans="2:10" x14ac:dyDescent="0.25">
      <c r="B2383" s="1">
        <v>40821</v>
      </c>
      <c r="C2383" s="13">
        <v>13.509</v>
      </c>
      <c r="D2383" s="6">
        <f t="shared" si="252"/>
        <v>1.5408899579073987E-2</v>
      </c>
      <c r="E2383" s="14">
        <f t="shared" si="253"/>
        <v>2.9207108588386786E-4</v>
      </c>
      <c r="F2383" s="9">
        <f t="shared" si="254"/>
        <v>17.191096557940689</v>
      </c>
      <c r="G2383" s="9">
        <f t="shared" si="255"/>
        <v>-2.6412250709106858E-2</v>
      </c>
      <c r="H2383" s="9">
        <f t="shared" si="256"/>
        <v>-1.9355408070622358E-3</v>
      </c>
      <c r="I2383" s="9">
        <f t="shared" si="257"/>
        <v>-6.7982002552816048E-3</v>
      </c>
      <c r="J2383" s="9">
        <f t="shared" si="258"/>
        <v>17.155950566169238</v>
      </c>
    </row>
    <row r="2384" spans="2:10" x14ac:dyDescent="0.25">
      <c r="B2384" s="1">
        <v>40820</v>
      </c>
      <c r="C2384" s="13">
        <v>13.304</v>
      </c>
      <c r="D2384" s="6">
        <f t="shared" ref="D2384:D2447" si="259">C2384/C2385-1</f>
        <v>-5.6058001345391517E-3</v>
      </c>
      <c r="E2384" s="14">
        <f t="shared" ref="E2384:E2447" si="260">_xlfn.VAR.S(D2384:D2504)</f>
        <v>2.912300903595604E-4</v>
      </c>
      <c r="F2384" s="9">
        <f t="shared" si="254"/>
        <v>17.193980132126033</v>
      </c>
      <c r="G2384" s="9">
        <f t="shared" si="255"/>
        <v>-0.32704928652480364</v>
      </c>
      <c r="H2384" s="9">
        <f t="shared" si="256"/>
        <v>-1.4000377945926255E-4</v>
      </c>
      <c r="I2384" s="9">
        <f t="shared" si="257"/>
        <v>-8.6387466003140544E-4</v>
      </c>
      <c r="J2384" s="9">
        <f t="shared" si="258"/>
        <v>16.865926967161737</v>
      </c>
    </row>
    <row r="2385" spans="2:10" x14ac:dyDescent="0.25">
      <c r="B2385" s="1">
        <v>40819</v>
      </c>
      <c r="C2385" s="13">
        <v>13.379</v>
      </c>
      <c r="D2385" s="6">
        <f t="shared" si="259"/>
        <v>-1.7622439239298071E-2</v>
      </c>
      <c r="E2385" s="14">
        <f t="shared" si="260"/>
        <v>2.909658201683832E-4</v>
      </c>
      <c r="F2385" s="9">
        <f t="shared" ref="F2385:F2448" si="261">LN(2*PI())-LN($C$6)-LN(E2385)-0.5*LN(1-POWER($C$7,2))</f>
        <v>17.194887971581956</v>
      </c>
      <c r="G2385" s="9">
        <f t="shared" ref="G2385:G2448" si="262">-POWER(D2384-1-$C$3,2)/(2*E2385*(1-POWER($C$7,2)))</f>
        <v>-9.0170839451717638E-2</v>
      </c>
      <c r="H2385" s="9">
        <f t="shared" ref="H2385:H2448" si="263">$C$7*(D2384-1-$C$3)*(E2384-E2385-$C$5*$C$4)/(E2385*$C$6*(1-POWER($C$7,2)))</f>
        <v>-9.8655837721314506E-4</v>
      </c>
      <c r="I2385" s="9">
        <f t="shared" ref="I2385:I2448" si="264">-POWER(E2384-E2385-$C$5*$C$4+$C$4*E2385,2)/(2*POWER($C$6,2)*E2385*(1-POWER($C$7,2)))</f>
        <v>-9.7113981952940706E-6</v>
      </c>
      <c r="J2385" s="9">
        <f t="shared" ref="J2385:J2448" si="265">SUM(F2385:I2385)</f>
        <v>17.103720862354827</v>
      </c>
    </row>
    <row r="2386" spans="2:10" x14ac:dyDescent="0.25">
      <c r="B2386" s="1">
        <v>40816</v>
      </c>
      <c r="C2386" s="13">
        <v>13.619</v>
      </c>
      <c r="D2386" s="6">
        <f t="shared" si="259"/>
        <v>-2.3657609864506379E-2</v>
      </c>
      <c r="E2386" s="14">
        <f t="shared" si="260"/>
        <v>2.896247174488687E-4</v>
      </c>
      <c r="F2386" s="9">
        <f t="shared" si="261"/>
        <v>17.199507768212563</v>
      </c>
      <c r="G2386" s="9">
        <f t="shared" si="262"/>
        <v>-0.64160767886211623</v>
      </c>
      <c r="H2386" s="9">
        <f t="shared" si="263"/>
        <v>2.6544460347792749E-3</v>
      </c>
      <c r="I2386" s="9">
        <f t="shared" si="264"/>
        <v>-3.3140522706690675E-3</v>
      </c>
      <c r="J2386" s="9">
        <f t="shared" si="265"/>
        <v>16.557240483114558</v>
      </c>
    </row>
    <row r="2387" spans="2:10" x14ac:dyDescent="0.25">
      <c r="B2387" s="1">
        <v>40815</v>
      </c>
      <c r="C2387" s="13">
        <v>13.949</v>
      </c>
      <c r="D2387" s="6">
        <f t="shared" si="259"/>
        <v>-1.6221172156005381E-2</v>
      </c>
      <c r="E2387" s="14">
        <f t="shared" si="260"/>
        <v>2.8531499415517599E-4</v>
      </c>
      <c r="F2387" s="9">
        <f t="shared" si="261"/>
        <v>17.214499962801462</v>
      </c>
      <c r="G2387" s="9">
        <f t="shared" si="262"/>
        <v>-1.1237072235369578</v>
      </c>
      <c r="H2387" s="9">
        <f t="shared" si="263"/>
        <v>2.2992341337649325E-2</v>
      </c>
      <c r="I2387" s="9">
        <f t="shared" si="264"/>
        <v>-5.1309742339516538E-2</v>
      </c>
      <c r="J2387" s="9">
        <f t="shared" si="265"/>
        <v>16.062475338262637</v>
      </c>
    </row>
    <row r="2388" spans="2:10" x14ac:dyDescent="0.25">
      <c r="B2388" s="1">
        <v>40814</v>
      </c>
      <c r="C2388" s="13">
        <v>14.179</v>
      </c>
      <c r="D2388" s="6">
        <f t="shared" si="259"/>
        <v>-5.6104916193281396E-3</v>
      </c>
      <c r="E2388" s="14">
        <f t="shared" si="260"/>
        <v>2.8274125680628249E-4</v>
      </c>
      <c r="F2388" s="9">
        <f t="shared" si="261"/>
        <v>17.22356158286442</v>
      </c>
      <c r="G2388" s="9">
        <f t="shared" si="262"/>
        <v>-0.56502615968594105</v>
      </c>
      <c r="H2388" s="9">
        <f t="shared" si="263"/>
        <v>8.2747673277592075E-3</v>
      </c>
      <c r="I2388" s="9">
        <f t="shared" si="264"/>
        <v>-1.6402336047274941E-2</v>
      </c>
      <c r="J2388" s="9">
        <f t="shared" si="265"/>
        <v>16.650407854458962</v>
      </c>
    </row>
    <row r="2389" spans="2:10" x14ac:dyDescent="0.25">
      <c r="B2389" s="1">
        <v>40813</v>
      </c>
      <c r="C2389" s="13">
        <v>14.259</v>
      </c>
      <c r="D2389" s="6">
        <f t="shared" si="259"/>
        <v>-9.7228974234322418E-3</v>
      </c>
      <c r="E2389" s="14">
        <f t="shared" si="260"/>
        <v>2.8245275295712827E-4</v>
      </c>
      <c r="F2389" s="9">
        <f t="shared" si="261"/>
        <v>17.224582484959022</v>
      </c>
      <c r="G2389" s="9">
        <f t="shared" si="262"/>
        <v>-9.3009105577250145E-2</v>
      </c>
      <c r="H2389" s="9">
        <f t="shared" si="263"/>
        <v>-9.7103488780032735E-4</v>
      </c>
      <c r="I2389" s="9">
        <f t="shared" si="264"/>
        <v>-6.6694428595953809E-6</v>
      </c>
      <c r="J2389" s="9">
        <f t="shared" si="265"/>
        <v>17.130595675051111</v>
      </c>
    </row>
    <row r="2390" spans="2:10" x14ac:dyDescent="0.25">
      <c r="B2390" s="1">
        <v>40812</v>
      </c>
      <c r="C2390" s="13">
        <v>14.399000000000001</v>
      </c>
      <c r="D2390" s="6">
        <f t="shared" si="259"/>
        <v>-2.7702749497886536E-3</v>
      </c>
      <c r="E2390" s="14">
        <f t="shared" si="260"/>
        <v>2.8196712562048796E-4</v>
      </c>
      <c r="F2390" s="9">
        <f t="shared" si="261"/>
        <v>17.226303287060109</v>
      </c>
      <c r="G2390" s="9">
        <f t="shared" si="262"/>
        <v>-0.22912124542242177</v>
      </c>
      <c r="H2390" s="9">
        <f t="shared" si="263"/>
        <v>-9.3864958152036144E-4</v>
      </c>
      <c r="I2390" s="9">
        <f t="shared" si="264"/>
        <v>-7.4864581668404435E-5</v>
      </c>
      <c r="J2390" s="9">
        <f t="shared" si="265"/>
        <v>16.996168527474495</v>
      </c>
    </row>
    <row r="2391" spans="2:10" x14ac:dyDescent="0.25">
      <c r="B2391" s="1">
        <v>40809</v>
      </c>
      <c r="C2391" s="13">
        <v>14.439</v>
      </c>
      <c r="D2391" s="6">
        <f t="shared" si="259"/>
        <v>6.1319768657237539E-3</v>
      </c>
      <c r="E2391" s="14">
        <f t="shared" si="260"/>
        <v>2.8288436075282834E-4</v>
      </c>
      <c r="F2391" s="9">
        <f t="shared" si="261"/>
        <v>17.223055580501175</v>
      </c>
      <c r="G2391" s="9">
        <f t="shared" si="262"/>
        <v>-3.4283130681713625E-2</v>
      </c>
      <c r="H2391" s="9">
        <f t="shared" si="263"/>
        <v>-1.9750686019192076E-3</v>
      </c>
      <c r="I2391" s="9">
        <f t="shared" si="264"/>
        <v>-5.1041290143284054E-3</v>
      </c>
      <c r="J2391" s="9">
        <f t="shared" si="265"/>
        <v>17.181693252203214</v>
      </c>
    </row>
    <row r="2392" spans="2:10" x14ac:dyDescent="0.25">
      <c r="B2392" s="1">
        <v>40808</v>
      </c>
      <c r="C2392" s="13">
        <v>14.350999999999999</v>
      </c>
      <c r="D2392" s="6">
        <f t="shared" si="259"/>
        <v>-2.5001698484951485E-2</v>
      </c>
      <c r="E2392" s="14">
        <f t="shared" si="260"/>
        <v>2.8404483652105626E-4</v>
      </c>
      <c r="F2392" s="9">
        <f t="shared" si="261"/>
        <v>17.218961674614469</v>
      </c>
      <c r="G2392" s="9">
        <f t="shared" si="262"/>
        <v>-3.5824839109181932E-2</v>
      </c>
      <c r="H2392" s="9">
        <f t="shared" si="263"/>
        <v>2.3000958860709322E-3</v>
      </c>
      <c r="I2392" s="9">
        <f t="shared" si="264"/>
        <v>-7.2351117022214943E-3</v>
      </c>
      <c r="J2392" s="9">
        <f t="shared" si="265"/>
        <v>17.178201819689136</v>
      </c>
    </row>
    <row r="2393" spans="2:10" x14ac:dyDescent="0.25">
      <c r="B2393" s="1">
        <v>40807</v>
      </c>
      <c r="C2393" s="13">
        <v>14.718999999999999</v>
      </c>
      <c r="D2393" s="6">
        <f t="shared" si="259"/>
        <v>-3.1829879452797138E-3</v>
      </c>
      <c r="E2393" s="14">
        <f t="shared" si="260"/>
        <v>2.782526764440414E-4</v>
      </c>
      <c r="F2393" s="9">
        <f t="shared" si="261"/>
        <v>17.239564166432956</v>
      </c>
      <c r="G2393" s="9">
        <f t="shared" si="262"/>
        <v>-1.2779833027510503</v>
      </c>
      <c r="H2393" s="9">
        <f t="shared" si="263"/>
        <v>3.5319424666750858E-2</v>
      </c>
      <c r="I2393" s="9">
        <f t="shared" si="264"/>
        <v>-9.8669926383640763E-2</v>
      </c>
      <c r="J2393" s="9">
        <f t="shared" si="265"/>
        <v>15.898230361965016</v>
      </c>
    </row>
    <row r="2394" spans="2:10" x14ac:dyDescent="0.25">
      <c r="B2394" s="1">
        <v>40806</v>
      </c>
      <c r="C2394" s="13">
        <v>14.766</v>
      </c>
      <c r="D2394" s="6">
        <f t="shared" si="259"/>
        <v>4.4214679273517632E-3</v>
      </c>
      <c r="E2394" s="14">
        <f t="shared" si="260"/>
        <v>2.7862007398735057E-4</v>
      </c>
      <c r="F2394" s="9">
        <f t="shared" si="261"/>
        <v>17.238244663561503</v>
      </c>
      <c r="G2394" s="9">
        <f t="shared" si="262"/>
        <v>-4.1647777462323572E-2</v>
      </c>
      <c r="H2394" s="9">
        <f t="shared" si="263"/>
        <v>-1.4915653498275723E-3</v>
      </c>
      <c r="I2394" s="9">
        <f t="shared" si="264"/>
        <v>-1.6592104153335492E-3</v>
      </c>
      <c r="J2394" s="9">
        <f t="shared" si="265"/>
        <v>17.193446110334019</v>
      </c>
    </row>
    <row r="2395" spans="2:10" x14ac:dyDescent="0.25">
      <c r="B2395" s="1">
        <v>40805</v>
      </c>
      <c r="C2395" s="13">
        <v>14.701000000000001</v>
      </c>
      <c r="D2395" s="6">
        <f t="shared" si="259"/>
        <v>2.7754474272930763E-2</v>
      </c>
      <c r="E2395" s="14">
        <f t="shared" si="260"/>
        <v>2.7854803302270804E-4</v>
      </c>
      <c r="F2395" s="9">
        <f t="shared" si="261"/>
        <v>17.238503260434285</v>
      </c>
      <c r="G2395" s="9">
        <f t="shared" si="262"/>
        <v>-1.4055393562518934E-2</v>
      </c>
      <c r="H2395" s="9">
        <f t="shared" si="263"/>
        <v>5.4067086394500585E-4</v>
      </c>
      <c r="I2395" s="9">
        <f t="shared" si="264"/>
        <v>-2.3834940783521008E-4</v>
      </c>
      <c r="J2395" s="9">
        <f t="shared" si="265"/>
        <v>17.224750188327878</v>
      </c>
    </row>
    <row r="2396" spans="2:10" x14ac:dyDescent="0.25">
      <c r="B2396" s="1">
        <v>40802</v>
      </c>
      <c r="C2396" s="13">
        <v>14.304</v>
      </c>
      <c r="D2396" s="6">
        <f t="shared" si="259"/>
        <v>1.9238991021804264E-2</v>
      </c>
      <c r="E2396" s="14">
        <f t="shared" si="260"/>
        <v>2.728989676901383E-4</v>
      </c>
      <c r="F2396" s="9">
        <f t="shared" si="261"/>
        <v>17.258992130422147</v>
      </c>
      <c r="G2396" s="9">
        <f t="shared" si="262"/>
        <v>-1.2543959436606651</v>
      </c>
      <c r="H2396" s="9">
        <f t="shared" si="263"/>
        <v>-3.4320537880612151E-2</v>
      </c>
      <c r="I2396" s="9">
        <f t="shared" si="264"/>
        <v>-9.5075370624211605E-2</v>
      </c>
      <c r="J2396" s="9">
        <f t="shared" si="265"/>
        <v>15.875200278256658</v>
      </c>
    </row>
    <row r="2397" spans="2:10" x14ac:dyDescent="0.25">
      <c r="B2397" s="1">
        <v>40801</v>
      </c>
      <c r="C2397" s="13">
        <v>14.034000000000001</v>
      </c>
      <c r="D2397" s="6">
        <f t="shared" si="259"/>
        <v>9.349827387802101E-3</v>
      </c>
      <c r="E2397" s="14">
        <f t="shared" si="260"/>
        <v>2.7284982646603989E-4</v>
      </c>
      <c r="F2397" s="9">
        <f t="shared" si="261"/>
        <v>17.259172217761808</v>
      </c>
      <c r="G2397" s="9">
        <f t="shared" si="262"/>
        <v>-0.5700714591340037</v>
      </c>
      <c r="H2397" s="9">
        <f t="shared" si="263"/>
        <v>3.5883744444439743E-3</v>
      </c>
      <c r="I2397" s="9">
        <f t="shared" si="264"/>
        <v>-3.0555060960008647E-4</v>
      </c>
      <c r="J2397" s="9">
        <f t="shared" si="265"/>
        <v>16.69238358246265</v>
      </c>
    </row>
    <row r="2398" spans="2:10" x14ac:dyDescent="0.25">
      <c r="B2398" s="1">
        <v>40800</v>
      </c>
      <c r="C2398" s="13">
        <v>13.904</v>
      </c>
      <c r="D2398" s="6">
        <f t="shared" si="259"/>
        <v>1.2230634828188647E-2</v>
      </c>
      <c r="E2398" s="14">
        <f t="shared" si="260"/>
        <v>2.7437241783633465E-4</v>
      </c>
      <c r="F2398" s="9">
        <f t="shared" si="261"/>
        <v>17.253607402678572</v>
      </c>
      <c r="G2398" s="9">
        <f t="shared" si="262"/>
        <v>-0.10899993692442303</v>
      </c>
      <c r="H2398" s="9">
        <f t="shared" si="263"/>
        <v>4.8357909580998351E-3</v>
      </c>
      <c r="I2398" s="9">
        <f t="shared" si="264"/>
        <v>-1.1769310085227356E-2</v>
      </c>
      <c r="J2398" s="9">
        <f t="shared" si="265"/>
        <v>17.137673946627022</v>
      </c>
    </row>
    <row r="2399" spans="2:10" x14ac:dyDescent="0.25">
      <c r="B2399" s="1">
        <v>40799</v>
      </c>
      <c r="C2399" s="13">
        <v>13.736000000000001</v>
      </c>
      <c r="D2399" s="6">
        <f t="shared" si="259"/>
        <v>1.2307465546466334E-2</v>
      </c>
      <c r="E2399" s="14">
        <f t="shared" si="260"/>
        <v>2.7377969515027999E-4</v>
      </c>
      <c r="F2399" s="9">
        <f t="shared" si="261"/>
        <v>17.255770024706372</v>
      </c>
      <c r="G2399" s="9">
        <f t="shared" si="262"/>
        <v>-0.2059363398799835</v>
      </c>
      <c r="H2399" s="9">
        <f t="shared" si="263"/>
        <v>5.9640685348665576E-4</v>
      </c>
      <c r="I2399" s="9">
        <f t="shared" si="264"/>
        <v>-2.0206617258911787E-4</v>
      </c>
      <c r="J2399" s="9">
        <f t="shared" si="265"/>
        <v>17.050228025507284</v>
      </c>
    </row>
    <row r="2400" spans="2:10" x14ac:dyDescent="0.25">
      <c r="B2400" s="1">
        <v>40798</v>
      </c>
      <c r="C2400" s="13">
        <v>13.568999999999999</v>
      </c>
      <c r="D2400" s="6">
        <f t="shared" si="259"/>
        <v>6.5277056598174177E-3</v>
      </c>
      <c r="E2400" s="14">
        <f t="shared" si="260"/>
        <v>2.729023446410414E-4</v>
      </c>
      <c r="F2400" s="9">
        <f t="shared" si="261"/>
        <v>17.258979756135655</v>
      </c>
      <c r="G2400" s="9">
        <f t="shared" si="262"/>
        <v>-0.20960324639769473</v>
      </c>
      <c r="H2400" s="9">
        <f t="shared" si="263"/>
        <v>-2.2098626104640609E-4</v>
      </c>
      <c r="I2400" s="9">
        <f t="shared" si="264"/>
        <v>-9.4332407164858523E-4</v>
      </c>
      <c r="J2400" s="9">
        <f t="shared" si="265"/>
        <v>17.048212199405267</v>
      </c>
    </row>
    <row r="2401" spans="2:10" x14ac:dyDescent="0.25">
      <c r="B2401" s="1">
        <v>40795</v>
      </c>
      <c r="C2401" s="13">
        <v>13.481</v>
      </c>
      <c r="D2401" s="6">
        <f t="shared" si="259"/>
        <v>-1.7348203221809189E-2</v>
      </c>
      <c r="E2401" s="14">
        <f t="shared" si="260"/>
        <v>2.7784005618575024E-4</v>
      </c>
      <c r="F2401" s="9">
        <f t="shared" si="261"/>
        <v>17.241048164729662</v>
      </c>
      <c r="G2401" s="9">
        <f t="shared" si="262"/>
        <v>-4.3342487106108538E-2</v>
      </c>
      <c r="H2401" s="9">
        <f t="shared" si="263"/>
        <v>7.4841159881396998E-3</v>
      </c>
      <c r="I2401" s="9">
        <f t="shared" si="264"/>
        <v>-9.2660215893744749E-2</v>
      </c>
      <c r="J2401" s="9">
        <f t="shared" si="265"/>
        <v>17.112529577717947</v>
      </c>
    </row>
    <row r="2402" spans="2:10" x14ac:dyDescent="0.25">
      <c r="B2402" s="1">
        <v>40794</v>
      </c>
      <c r="C2402" s="13">
        <v>13.718999999999999</v>
      </c>
      <c r="D2402" s="6">
        <f t="shared" si="259"/>
        <v>5.105017502917697E-4</v>
      </c>
      <c r="E2402" s="14">
        <f t="shared" si="260"/>
        <v>2.7637596568784814E-4</v>
      </c>
      <c r="F2402" s="9">
        <f t="shared" si="261"/>
        <v>17.24633164209579</v>
      </c>
      <c r="G2402" s="9">
        <f t="shared" si="262"/>
        <v>-0.65334389487714872</v>
      </c>
      <c r="H2402" s="9">
        <f t="shared" si="263"/>
        <v>3.3664471009873524E-3</v>
      </c>
      <c r="I2402" s="9">
        <f t="shared" si="264"/>
        <v>-4.19576377938126E-3</v>
      </c>
      <c r="J2402" s="9">
        <f t="shared" si="265"/>
        <v>16.592158430540245</v>
      </c>
    </row>
    <row r="2403" spans="2:10" x14ac:dyDescent="0.25">
      <c r="B2403" s="1">
        <v>40793</v>
      </c>
      <c r="C2403" s="13">
        <v>13.712</v>
      </c>
      <c r="D2403" s="6">
        <f t="shared" si="259"/>
        <v>1.1060315587671399E-2</v>
      </c>
      <c r="E2403" s="14">
        <f t="shared" si="260"/>
        <v>2.7770727125060122E-4</v>
      </c>
      <c r="F2403" s="9">
        <f t="shared" si="261"/>
        <v>17.241526197585259</v>
      </c>
      <c r="G2403" s="9">
        <f t="shared" si="262"/>
        <v>-2.2524410256428303E-3</v>
      </c>
      <c r="H2403" s="9">
        <f t="shared" si="263"/>
        <v>-6.3408448811807041E-4</v>
      </c>
      <c r="I2403" s="9">
        <f t="shared" si="264"/>
        <v>-9.3088119014090951E-3</v>
      </c>
      <c r="J2403" s="9">
        <f t="shared" si="265"/>
        <v>17.229330860170087</v>
      </c>
    </row>
    <row r="2404" spans="2:10" x14ac:dyDescent="0.25">
      <c r="B2404" s="1">
        <v>40792</v>
      </c>
      <c r="C2404" s="13">
        <v>13.561999999999999</v>
      </c>
      <c r="D2404" s="6">
        <f t="shared" si="259"/>
        <v>1.5195748184744229E-2</v>
      </c>
      <c r="E2404" s="14">
        <f t="shared" si="260"/>
        <v>2.9438687583688305E-4</v>
      </c>
      <c r="F2404" s="9">
        <f t="shared" si="261"/>
        <v>17.183198968886245</v>
      </c>
      <c r="G2404" s="9">
        <f t="shared" si="262"/>
        <v>-0.15157634743252679</v>
      </c>
      <c r="H2404" s="9">
        <f t="shared" si="263"/>
        <v>4.1417166119799689E-2</v>
      </c>
      <c r="I2404" s="9">
        <f t="shared" si="264"/>
        <v>-0.90621742175932185</v>
      </c>
      <c r="J2404" s="9">
        <f t="shared" si="265"/>
        <v>16.166822365814195</v>
      </c>
    </row>
    <row r="2405" spans="2:10" x14ac:dyDescent="0.25">
      <c r="B2405" s="1">
        <v>40788</v>
      </c>
      <c r="C2405" s="13">
        <v>13.359</v>
      </c>
      <c r="D2405" s="6">
        <f t="shared" si="259"/>
        <v>-1.8298059964726665E-2</v>
      </c>
      <c r="E2405" s="14">
        <f t="shared" si="260"/>
        <v>2.9734852896666806E-4</v>
      </c>
      <c r="F2405" s="9">
        <f t="shared" si="261"/>
        <v>17.17318882639271</v>
      </c>
      <c r="G2405" s="9">
        <f t="shared" si="262"/>
        <v>-0.31048792465498071</v>
      </c>
      <c r="H2405" s="9">
        <f t="shared" si="263"/>
        <v>1.2695495108103918E-2</v>
      </c>
      <c r="I2405" s="9">
        <f t="shared" si="264"/>
        <v>-3.3234676787949245E-2</v>
      </c>
      <c r="J2405" s="9">
        <f t="shared" si="265"/>
        <v>16.842161720057884</v>
      </c>
    </row>
    <row r="2406" spans="2:10" x14ac:dyDescent="0.25">
      <c r="B2406" s="1">
        <v>40787</v>
      </c>
      <c r="C2406" s="13">
        <v>13.608000000000001</v>
      </c>
      <c r="D2406" s="6">
        <f t="shared" si="259"/>
        <v>-9.8952270081489324E-3</v>
      </c>
      <c r="E2406" s="14">
        <f t="shared" si="260"/>
        <v>2.9445553733631536E-4</v>
      </c>
      <c r="F2406" s="9">
        <f t="shared" si="261"/>
        <v>17.18296576048207</v>
      </c>
      <c r="G2406" s="9">
        <f t="shared" si="262"/>
        <v>-0.67615774326089484</v>
      </c>
      <c r="H2406" s="9">
        <f t="shared" si="263"/>
        <v>1.04675540212471E-2</v>
      </c>
      <c r="I2406" s="9">
        <f t="shared" si="264"/>
        <v>-2.0870408048795485E-2</v>
      </c>
      <c r="J2406" s="9">
        <f t="shared" si="265"/>
        <v>16.496405163193625</v>
      </c>
    </row>
    <row r="2407" spans="2:10" x14ac:dyDescent="0.25">
      <c r="B2407" s="1">
        <v>40786</v>
      </c>
      <c r="C2407" s="13">
        <v>13.744</v>
      </c>
      <c r="D2407" s="6">
        <f t="shared" si="259"/>
        <v>-1.3210798391729006E-2</v>
      </c>
      <c r="E2407" s="14">
        <f t="shared" si="260"/>
        <v>2.9522112731503381E-4</v>
      </c>
      <c r="F2407" s="9">
        <f t="shared" si="261"/>
        <v>17.180369115728148</v>
      </c>
      <c r="G2407" s="9">
        <f t="shared" si="262"/>
        <v>-0.22553034618594692</v>
      </c>
      <c r="H2407" s="9">
        <f t="shared" si="263"/>
        <v>-4.5211358285910542E-3</v>
      </c>
      <c r="I2407" s="9">
        <f t="shared" si="264"/>
        <v>-3.6372675224845908E-3</v>
      </c>
      <c r="J2407" s="9">
        <f t="shared" si="265"/>
        <v>16.946680366191124</v>
      </c>
    </row>
    <row r="2408" spans="2:10" x14ac:dyDescent="0.25">
      <c r="B2408" s="1">
        <v>40785</v>
      </c>
      <c r="C2408" s="13">
        <v>13.928000000000001</v>
      </c>
      <c r="D2408" s="6">
        <f t="shared" si="259"/>
        <v>0</v>
      </c>
      <c r="E2408" s="14">
        <f t="shared" si="260"/>
        <v>2.9607389395627716E-4</v>
      </c>
      <c r="F2408" s="9">
        <f t="shared" si="261"/>
        <v>17.177484710475937</v>
      </c>
      <c r="G2408" s="9">
        <f t="shared" si="262"/>
        <v>-0.37291727905145039</v>
      </c>
      <c r="H2408" s="9">
        <f t="shared" si="263"/>
        <v>-6.1283574578195584E-3</v>
      </c>
      <c r="I2408" s="9">
        <f t="shared" si="264"/>
        <v>-4.2267711745058115E-3</v>
      </c>
      <c r="J2408" s="9">
        <f t="shared" si="265"/>
        <v>16.794212302792165</v>
      </c>
    </row>
    <row r="2409" spans="2:10" x14ac:dyDescent="0.25">
      <c r="B2409" s="1">
        <v>40784</v>
      </c>
      <c r="C2409" s="13">
        <v>13.928000000000001</v>
      </c>
      <c r="D2409" s="6">
        <f t="shared" si="259"/>
        <v>1.6716548653186392E-2</v>
      </c>
      <c r="E2409" s="14">
        <f t="shared" si="260"/>
        <v>2.9693885965177658E-4</v>
      </c>
      <c r="F2409" s="9">
        <f t="shared" si="261"/>
        <v>17.174567517536516</v>
      </c>
      <c r="G2409" s="9">
        <f t="shared" si="262"/>
        <v>-4.4724710225583341E-3</v>
      </c>
      <c r="H2409" s="9">
        <f t="shared" si="263"/>
        <v>-6.7510294200792036E-4</v>
      </c>
      <c r="I2409" s="9">
        <f t="shared" si="264"/>
        <v>-4.2928012475290439E-3</v>
      </c>
      <c r="J2409" s="9">
        <f t="shared" si="265"/>
        <v>17.165127142324419</v>
      </c>
    </row>
    <row r="2410" spans="2:10" x14ac:dyDescent="0.25">
      <c r="B2410" s="1">
        <v>40781</v>
      </c>
      <c r="C2410" s="13">
        <v>13.699</v>
      </c>
      <c r="D2410" s="6">
        <f t="shared" si="259"/>
        <v>2.6372967708099271E-2</v>
      </c>
      <c r="E2410" s="14">
        <f t="shared" si="260"/>
        <v>2.9483986903616261E-4</v>
      </c>
      <c r="F2410" s="9">
        <f t="shared" si="261"/>
        <v>17.181661383253996</v>
      </c>
      <c r="G2410" s="9">
        <f t="shared" si="262"/>
        <v>-0.38725718443811952</v>
      </c>
      <c r="H2410" s="9">
        <f t="shared" si="263"/>
        <v>-4.911920400610597E-3</v>
      </c>
      <c r="I2410" s="9">
        <f t="shared" si="264"/>
        <v>-9.9925297533590002E-3</v>
      </c>
      <c r="J2410" s="9">
        <f t="shared" si="265"/>
        <v>16.779499748661909</v>
      </c>
    </row>
    <row r="2411" spans="2:10" x14ac:dyDescent="0.25">
      <c r="B2411" s="1">
        <v>40780</v>
      </c>
      <c r="C2411" s="13">
        <v>13.347</v>
      </c>
      <c r="D2411" s="6">
        <f t="shared" si="259"/>
        <v>-6.5500558243394291E-3</v>
      </c>
      <c r="E2411" s="14">
        <f t="shared" si="260"/>
        <v>2.9083604741816395E-4</v>
      </c>
      <c r="F2411" s="9">
        <f t="shared" si="261"/>
        <v>17.195334077927093</v>
      </c>
      <c r="G2411" s="9">
        <f t="shared" si="262"/>
        <v>-1.0558486739979951</v>
      </c>
      <c r="H2411" s="9">
        <f t="shared" si="263"/>
        <v>-2.0150204163469652E-2</v>
      </c>
      <c r="I2411" s="9">
        <f t="shared" si="264"/>
        <v>-4.3110441345432529E-2</v>
      </c>
      <c r="J2411" s="9">
        <f t="shared" si="265"/>
        <v>16.076224758420192</v>
      </c>
    </row>
    <row r="2412" spans="2:10" x14ac:dyDescent="0.25">
      <c r="B2412" s="1">
        <v>40779</v>
      </c>
      <c r="C2412" s="13">
        <v>13.435</v>
      </c>
      <c r="D2412" s="6">
        <f t="shared" si="259"/>
        <v>6.8950011241850628E-3</v>
      </c>
      <c r="E2412" s="14">
        <f t="shared" si="260"/>
        <v>2.9042836470347089E-4</v>
      </c>
      <c r="F2412" s="9">
        <f t="shared" si="261"/>
        <v>17.196736822609346</v>
      </c>
      <c r="G2412" s="9">
        <f t="shared" si="262"/>
        <v>-0.11546363305252945</v>
      </c>
      <c r="H2412" s="9">
        <f t="shared" si="263"/>
        <v>-8.1883510921956673E-4</v>
      </c>
      <c r="I2412" s="9">
        <f t="shared" si="264"/>
        <v>-2.4196549459091351E-5</v>
      </c>
      <c r="J2412" s="9">
        <f t="shared" si="265"/>
        <v>17.080430157898142</v>
      </c>
    </row>
    <row r="2413" spans="2:10" x14ac:dyDescent="0.25">
      <c r="B2413" s="1">
        <v>40778</v>
      </c>
      <c r="C2413" s="13">
        <v>13.343</v>
      </c>
      <c r="D2413" s="6">
        <f t="shared" si="259"/>
        <v>4.8153967007069864E-2</v>
      </c>
      <c r="E2413" s="14">
        <f t="shared" si="260"/>
        <v>2.9359620414743862E-4</v>
      </c>
      <c r="F2413" s="9">
        <f t="shared" si="261"/>
        <v>17.185888407385214</v>
      </c>
      <c r="G2413" s="9">
        <f t="shared" si="262"/>
        <v>-4.7395492501367403E-2</v>
      </c>
      <c r="H2413" s="9">
        <f t="shared" si="263"/>
        <v>5.2652976387235657E-3</v>
      </c>
      <c r="I2413" s="9">
        <f t="shared" si="264"/>
        <v>-3.8173013283433574E-2</v>
      </c>
      <c r="J2413" s="9">
        <f t="shared" si="265"/>
        <v>17.105585199239137</v>
      </c>
    </row>
    <row r="2414" spans="2:10" x14ac:dyDescent="0.25">
      <c r="B2414" s="1">
        <v>40777</v>
      </c>
      <c r="C2414" s="13">
        <v>12.73</v>
      </c>
      <c r="D2414" s="6">
        <f t="shared" si="259"/>
        <v>1.1797090051122172E-3</v>
      </c>
      <c r="E2414" s="14">
        <f t="shared" si="260"/>
        <v>2.7513247568766616E-4</v>
      </c>
      <c r="F2414" s="9">
        <f t="shared" si="261"/>
        <v>17.250841063943497</v>
      </c>
      <c r="G2414" s="9">
        <f t="shared" si="262"/>
        <v>-3.9456121281970007</v>
      </c>
      <c r="H2414" s="9">
        <f t="shared" si="263"/>
        <v>-0.2208575636355139</v>
      </c>
      <c r="I2414" s="9">
        <f t="shared" si="264"/>
        <v>-1.1022007203485007</v>
      </c>
      <c r="J2414" s="9">
        <f t="shared" si="265"/>
        <v>11.982170651762482</v>
      </c>
    </row>
    <row r="2415" spans="2:10" x14ac:dyDescent="0.25">
      <c r="B2415" s="1">
        <v>40774</v>
      </c>
      <c r="C2415" s="13">
        <v>12.715</v>
      </c>
      <c r="D2415" s="6">
        <f t="shared" si="259"/>
        <v>-2.7384685994033542E-2</v>
      </c>
      <c r="E2415" s="14">
        <f t="shared" si="260"/>
        <v>2.7619904484849214E-4</v>
      </c>
      <c r="F2415" s="9">
        <f t="shared" si="261"/>
        <v>17.246971992607584</v>
      </c>
      <c r="G2415" s="9">
        <f t="shared" si="262"/>
        <v>-3.6382160801934333E-4</v>
      </c>
      <c r="H2415" s="9">
        <f t="shared" si="263"/>
        <v>-2.2380716950878453E-4</v>
      </c>
      <c r="I2415" s="9">
        <f t="shared" si="264"/>
        <v>-6.6551144886890738E-3</v>
      </c>
      <c r="J2415" s="9">
        <f t="shared" si="265"/>
        <v>17.239729249341366</v>
      </c>
    </row>
    <row r="2416" spans="2:10" x14ac:dyDescent="0.25">
      <c r="B2416" s="1">
        <v>40773</v>
      </c>
      <c r="C2416" s="13">
        <v>13.073</v>
      </c>
      <c r="D2416" s="6">
        <f t="shared" si="259"/>
        <v>-3.7830278943107309E-2</v>
      </c>
      <c r="E2416" s="14">
        <f t="shared" si="260"/>
        <v>2.7145289676809516E-4</v>
      </c>
      <c r="F2416" s="9">
        <f t="shared" si="261"/>
        <v>17.264305143633315</v>
      </c>
      <c r="G2416" s="9">
        <f t="shared" si="262"/>
        <v>-1.5549454974204693</v>
      </c>
      <c r="H2416" s="9">
        <f t="shared" si="263"/>
        <v>3.1177639208568076E-2</v>
      </c>
      <c r="I2416" s="9">
        <f t="shared" si="264"/>
        <v>-6.5715322107401261E-2</v>
      </c>
      <c r="J2416" s="9">
        <f t="shared" si="265"/>
        <v>15.674821963314013</v>
      </c>
    </row>
    <row r="2417" spans="2:10" x14ac:dyDescent="0.25">
      <c r="B2417" s="1">
        <v>40772</v>
      </c>
      <c r="C2417" s="13">
        <v>13.587</v>
      </c>
      <c r="D2417" s="6">
        <f t="shared" si="259"/>
        <v>-1.4717786444928826E-4</v>
      </c>
      <c r="E2417" s="14">
        <f t="shared" si="260"/>
        <v>2.6080937270040979E-4</v>
      </c>
      <c r="F2417" s="9">
        <f t="shared" si="261"/>
        <v>17.304304007713682</v>
      </c>
      <c r="G2417" s="9">
        <f t="shared" si="262"/>
        <v>-2.993587937291752</v>
      </c>
      <c r="H2417" s="9">
        <f t="shared" si="263"/>
        <v>0.11010560449874897</v>
      </c>
      <c r="I2417" s="9">
        <f t="shared" si="264"/>
        <v>-0.37389066343034022</v>
      </c>
      <c r="J2417" s="9">
        <f t="shared" si="265"/>
        <v>14.04693101149034</v>
      </c>
    </row>
    <row r="2418" spans="2:10" x14ac:dyDescent="0.25">
      <c r="B2418" s="1">
        <v>40771</v>
      </c>
      <c r="C2418" s="13">
        <v>13.589</v>
      </c>
      <c r="D2418" s="6">
        <f t="shared" si="259"/>
        <v>-7.5951215949754403E-3</v>
      </c>
      <c r="E2418" s="14">
        <f t="shared" si="260"/>
        <v>2.6079880363048976E-4</v>
      </c>
      <c r="F2418" s="9">
        <f t="shared" si="261"/>
        <v>17.304344532653289</v>
      </c>
      <c r="G2418" s="9">
        <f t="shared" si="262"/>
        <v>-6.0549803731079826E-3</v>
      </c>
      <c r="H2418" s="9">
        <f t="shared" si="263"/>
        <v>-3.9767347000692213E-4</v>
      </c>
      <c r="I2418" s="9">
        <f t="shared" si="264"/>
        <v>-4.5632125320977708E-4</v>
      </c>
      <c r="J2418" s="9">
        <f t="shared" si="265"/>
        <v>17.297435557556962</v>
      </c>
    </row>
    <row r="2419" spans="2:10" x14ac:dyDescent="0.25">
      <c r="B2419" s="1">
        <v>40770</v>
      </c>
      <c r="C2419" s="13">
        <v>13.693</v>
      </c>
      <c r="D2419" s="6">
        <f t="shared" si="259"/>
        <v>1.7008318478906714E-2</v>
      </c>
      <c r="E2419" s="14">
        <f t="shared" si="260"/>
        <v>2.6113482019931872E-4</v>
      </c>
      <c r="F2419" s="9">
        <f t="shared" si="261"/>
        <v>17.303056948945667</v>
      </c>
      <c r="G2419" s="9">
        <f t="shared" si="262"/>
        <v>-0.16333641794163134</v>
      </c>
      <c r="H2419" s="9">
        <f t="shared" si="263"/>
        <v>-2.9691879462634468E-3</v>
      </c>
      <c r="I2419" s="9">
        <f t="shared" si="264"/>
        <v>-1.7580612277839293E-3</v>
      </c>
      <c r="J2419" s="9">
        <f t="shared" si="265"/>
        <v>17.134993281829988</v>
      </c>
    </row>
    <row r="2420" spans="2:10" x14ac:dyDescent="0.25">
      <c r="B2420" s="1">
        <v>40767</v>
      </c>
      <c r="C2420" s="13">
        <v>13.464</v>
      </c>
      <c r="D2420" s="6">
        <f t="shared" si="259"/>
        <v>8.8416004795444092E-3</v>
      </c>
      <c r="E2420" s="14">
        <f t="shared" si="260"/>
        <v>2.692230541345899E-4</v>
      </c>
      <c r="F2420" s="9">
        <f t="shared" si="261"/>
        <v>17.272553541855011</v>
      </c>
      <c r="G2420" s="9">
        <f t="shared" si="262"/>
        <v>-0.44066489779690093</v>
      </c>
      <c r="H2420" s="9">
        <f t="shared" si="263"/>
        <v>3.7551690649765129E-2</v>
      </c>
      <c r="I2420" s="9">
        <f t="shared" si="264"/>
        <v>-0.24465048918686239</v>
      </c>
      <c r="J2420" s="9">
        <f t="shared" si="265"/>
        <v>16.624789845521011</v>
      </c>
    </row>
    <row r="2421" spans="2:10" x14ac:dyDescent="0.25">
      <c r="B2421" s="1">
        <v>40766</v>
      </c>
      <c r="C2421" s="13">
        <v>13.346</v>
      </c>
      <c r="D2421" s="6">
        <f t="shared" si="259"/>
        <v>2.7484794826391434E-2</v>
      </c>
      <c r="E2421" s="14">
        <f t="shared" si="260"/>
        <v>2.7275718828192352E-4</v>
      </c>
      <c r="F2421" s="9">
        <f t="shared" si="261"/>
        <v>17.259511796185478</v>
      </c>
      <c r="G2421" s="9">
        <f t="shared" si="262"/>
        <v>-9.5688477583716083E-2</v>
      </c>
      <c r="H2421" s="9">
        <f t="shared" si="263"/>
        <v>8.478333608676742E-3</v>
      </c>
      <c r="I2421" s="9">
        <f t="shared" si="264"/>
        <v>-5.1089285176790143E-2</v>
      </c>
      <c r="J2421" s="9">
        <f t="shared" si="265"/>
        <v>17.121212367033646</v>
      </c>
    </row>
    <row r="2422" spans="2:10" x14ac:dyDescent="0.25">
      <c r="B2422" s="1">
        <v>40765</v>
      </c>
      <c r="C2422" s="13">
        <v>12.989000000000001</v>
      </c>
      <c r="D2422" s="6">
        <f t="shared" si="259"/>
        <v>-2.7623895792783348E-2</v>
      </c>
      <c r="E2422" s="14">
        <f t="shared" si="260"/>
        <v>2.6815897881485979E-4</v>
      </c>
      <c r="F2422" s="9">
        <f t="shared" si="261"/>
        <v>17.276513766221207</v>
      </c>
      <c r="G2422" s="9">
        <f t="shared" si="262"/>
        <v>-1.2503516815324025</v>
      </c>
      <c r="H2422" s="9">
        <f t="shared" si="263"/>
        <v>-2.7074105403953816E-2</v>
      </c>
      <c r="I2422" s="9">
        <f t="shared" si="264"/>
        <v>-6.1959472520808766E-2</v>
      </c>
      <c r="J2422" s="9">
        <f t="shared" si="265"/>
        <v>15.937128506764042</v>
      </c>
    </row>
    <row r="2423" spans="2:10" x14ac:dyDescent="0.25">
      <c r="B2423" s="1">
        <v>40764</v>
      </c>
      <c r="C2423" s="13">
        <v>13.358000000000001</v>
      </c>
      <c r="D2423" s="6">
        <f t="shared" si="259"/>
        <v>5.8898137138327478E-2</v>
      </c>
      <c r="E2423" s="14">
        <f t="shared" si="260"/>
        <v>2.6228596375109272E-4</v>
      </c>
      <c r="F2423" s="9">
        <f t="shared" si="261"/>
        <v>17.298658402143467</v>
      </c>
      <c r="G2423" s="9">
        <f t="shared" si="262"/>
        <v>-1.635938303941938</v>
      </c>
      <c r="H2423" s="9">
        <f t="shared" si="263"/>
        <v>4.1825934733043822E-2</v>
      </c>
      <c r="I2423" s="9">
        <f t="shared" si="264"/>
        <v>-0.10677746099490332</v>
      </c>
      <c r="J2423" s="9">
        <f t="shared" si="265"/>
        <v>15.597768571939669</v>
      </c>
    </row>
    <row r="2424" spans="2:10" x14ac:dyDescent="0.25">
      <c r="B2424" s="1">
        <v>40763</v>
      </c>
      <c r="C2424" s="13">
        <v>12.615</v>
      </c>
      <c r="D2424" s="6">
        <f t="shared" si="259"/>
        <v>-5.4631294964028743E-2</v>
      </c>
      <c r="E2424" s="14">
        <f t="shared" si="260"/>
        <v>2.3361396160872231E-4</v>
      </c>
      <c r="F2424" s="9">
        <f t="shared" si="261"/>
        <v>17.414423759060149</v>
      </c>
      <c r="G2424" s="9">
        <f t="shared" si="262"/>
        <v>-7.0407804222855495</v>
      </c>
      <c r="H2424" s="9">
        <f t="shared" si="263"/>
        <v>-0.50522131255279068</v>
      </c>
      <c r="I2424" s="9">
        <f t="shared" si="264"/>
        <v>-3.1575769745818483</v>
      </c>
      <c r="J2424" s="9">
        <f t="shared" si="265"/>
        <v>6.7108450496399588</v>
      </c>
    </row>
    <row r="2425" spans="2:10" x14ac:dyDescent="0.25">
      <c r="B2425" s="1">
        <v>40760</v>
      </c>
      <c r="C2425" s="13">
        <v>13.343999999999999</v>
      </c>
      <c r="D2425" s="6">
        <f t="shared" si="259"/>
        <v>-9.9421279121532091E-3</v>
      </c>
      <c r="E2425" s="14">
        <f t="shared" si="260"/>
        <v>2.0886071206670234E-4</v>
      </c>
      <c r="F2425" s="9">
        <f t="shared" si="261"/>
        <v>17.526426195041815</v>
      </c>
      <c r="G2425" s="9">
        <f t="shared" si="262"/>
        <v>-7.5993252853143938</v>
      </c>
      <c r="H2425" s="9">
        <f t="shared" si="263"/>
        <v>0.47706061450423787</v>
      </c>
      <c r="I2425" s="9">
        <f t="shared" si="264"/>
        <v>-2.6113335097121966</v>
      </c>
      <c r="J2425" s="9">
        <f t="shared" si="265"/>
        <v>7.7928280145194631</v>
      </c>
    </row>
    <row r="2426" spans="2:10" x14ac:dyDescent="0.25">
      <c r="B2426" s="1">
        <v>40759</v>
      </c>
      <c r="C2426" s="13">
        <v>13.478</v>
      </c>
      <c r="D2426" s="6">
        <f t="shared" si="259"/>
        <v>-3.8659058487874431E-2</v>
      </c>
      <c r="E2426" s="14">
        <f t="shared" si="260"/>
        <v>2.0824339938777881E-4</v>
      </c>
      <c r="F2426" s="9">
        <f t="shared" si="261"/>
        <v>17.529386190461132</v>
      </c>
      <c r="G2426" s="9">
        <f t="shared" si="262"/>
        <v>-0.32233648114008018</v>
      </c>
      <c r="H2426" s="9">
        <f t="shared" si="263"/>
        <v>-7.5453370462836699E-4</v>
      </c>
      <c r="I2426" s="9">
        <f t="shared" si="264"/>
        <v>-1.1480707346502795E-4</v>
      </c>
      <c r="J2426" s="9">
        <f t="shared" si="265"/>
        <v>17.206180368542956</v>
      </c>
    </row>
    <row r="2427" spans="2:10" x14ac:dyDescent="0.25">
      <c r="B2427" s="1">
        <v>40758</v>
      </c>
      <c r="C2427" s="13">
        <v>14.02</v>
      </c>
      <c r="D2427" s="6">
        <f t="shared" si="259"/>
        <v>9.3592512598992261E-3</v>
      </c>
      <c r="E2427" s="14">
        <f t="shared" si="260"/>
        <v>1.9628524714635482E-4</v>
      </c>
      <c r="F2427" s="9">
        <f t="shared" si="261"/>
        <v>17.588524831559557</v>
      </c>
      <c r="G2427" s="9">
        <f t="shared" si="262"/>
        <v>-4.1465097536118103</v>
      </c>
      <c r="H2427" s="9">
        <f t="shared" si="263"/>
        <v>0.16932431221702238</v>
      </c>
      <c r="I2427" s="9">
        <f t="shared" si="264"/>
        <v>-0.62047736577503676</v>
      </c>
      <c r="J2427" s="9">
        <f t="shared" si="265"/>
        <v>12.990862024389733</v>
      </c>
    </row>
    <row r="2428" spans="2:10" x14ac:dyDescent="0.25">
      <c r="B2428" s="1">
        <v>40757</v>
      </c>
      <c r="C2428" s="13">
        <v>13.89</v>
      </c>
      <c r="D2428" s="6">
        <f t="shared" si="259"/>
        <v>-1.9760056457304165E-2</v>
      </c>
      <c r="E2428" s="14">
        <f t="shared" si="260"/>
        <v>1.9614152855856759E-4</v>
      </c>
      <c r="F2428" s="9">
        <f t="shared" si="261"/>
        <v>17.589257292253425</v>
      </c>
      <c r="G2428" s="9">
        <f t="shared" si="262"/>
        <v>-0.1528468346439634</v>
      </c>
      <c r="H2428" s="9">
        <f t="shared" si="263"/>
        <v>1.9158087558425235E-3</v>
      </c>
      <c r="I2428" s="9">
        <f t="shared" si="264"/>
        <v>-5.214825688301312E-4</v>
      </c>
      <c r="J2428" s="9">
        <f t="shared" si="265"/>
        <v>17.437804783796476</v>
      </c>
    </row>
    <row r="2429" spans="2:10" x14ac:dyDescent="0.25">
      <c r="B2429" s="1">
        <v>40756</v>
      </c>
      <c r="C2429" s="13">
        <v>14.17</v>
      </c>
      <c r="D2429" s="6">
        <f t="shared" si="259"/>
        <v>1.6061953248243332E-2</v>
      </c>
      <c r="E2429" s="14">
        <f t="shared" si="260"/>
        <v>1.9316346354586933E-4</v>
      </c>
      <c r="F2429" s="9">
        <f t="shared" si="261"/>
        <v>17.604556983575812</v>
      </c>
      <c r="G2429" s="9">
        <f t="shared" si="262"/>
        <v>-1.1875297157728419</v>
      </c>
      <c r="H2429" s="9">
        <f t="shared" si="263"/>
        <v>1.7823875457645057E-2</v>
      </c>
      <c r="I2429" s="9">
        <f t="shared" si="264"/>
        <v>-2.9811416334041427E-2</v>
      </c>
      <c r="J2429" s="9">
        <f t="shared" si="265"/>
        <v>16.405039726926571</v>
      </c>
    </row>
    <row r="2430" spans="2:10" x14ac:dyDescent="0.25">
      <c r="B2430" s="1">
        <v>40753</v>
      </c>
      <c r="C2430" s="13">
        <v>13.946</v>
      </c>
      <c r="D2430" s="6">
        <f t="shared" si="259"/>
        <v>-3.4300414463341866E-3</v>
      </c>
      <c r="E2430" s="14">
        <f t="shared" si="260"/>
        <v>1.9302947654167572E-4</v>
      </c>
      <c r="F2430" s="9">
        <f t="shared" si="261"/>
        <v>17.605250869950527</v>
      </c>
      <c r="G2430" s="9">
        <f t="shared" si="262"/>
        <v>-0.54130172813956667</v>
      </c>
      <c r="H2430" s="9">
        <f t="shared" si="263"/>
        <v>3.6880745818551912E-3</v>
      </c>
      <c r="I2430" s="9">
        <f t="shared" si="264"/>
        <v>-5.7834352875034466E-4</v>
      </c>
      <c r="J2430" s="9">
        <f t="shared" si="265"/>
        <v>17.067058872864067</v>
      </c>
    </row>
    <row r="2431" spans="2:10" x14ac:dyDescent="0.25">
      <c r="B2431" s="1">
        <v>40752</v>
      </c>
      <c r="C2431" s="13">
        <v>13.994</v>
      </c>
      <c r="D2431" s="6">
        <f t="shared" si="259"/>
        <v>-1.9256829042151313E-3</v>
      </c>
      <c r="E2431" s="14">
        <f t="shared" si="260"/>
        <v>1.9335652332729325E-4</v>
      </c>
      <c r="F2431" s="9">
        <f t="shared" si="261"/>
        <v>17.603558019465101</v>
      </c>
      <c r="G2431" s="9">
        <f t="shared" si="262"/>
        <v>-6.6335709422476949E-2</v>
      </c>
      <c r="H2431" s="9">
        <f t="shared" si="263"/>
        <v>-2.1816401296197866E-3</v>
      </c>
      <c r="I2431" s="9">
        <f t="shared" si="264"/>
        <v>-3.1201536807234599E-3</v>
      </c>
      <c r="J2431" s="9">
        <f t="shared" si="265"/>
        <v>17.53192051623228</v>
      </c>
    </row>
    <row r="2432" spans="2:10" x14ac:dyDescent="0.25">
      <c r="B2432" s="1">
        <v>40751</v>
      </c>
      <c r="C2432" s="13">
        <v>14.021000000000001</v>
      </c>
      <c r="D2432" s="6">
        <f t="shared" si="259"/>
        <v>-2.6860077734591759E-2</v>
      </c>
      <c r="E2432" s="14">
        <f t="shared" si="260"/>
        <v>1.9339032078705612E-4</v>
      </c>
      <c r="F2432" s="9">
        <f t="shared" si="261"/>
        <v>17.603383241258825</v>
      </c>
      <c r="G2432" s="9">
        <f t="shared" si="262"/>
        <v>-3.2735328661733946E-2</v>
      </c>
      <c r="H2432" s="9">
        <f t="shared" si="263"/>
        <v>-1.1340486549284753E-3</v>
      </c>
      <c r="I2432" s="9">
        <f t="shared" si="264"/>
        <v>-1.2660467692286708E-3</v>
      </c>
      <c r="J2432" s="9">
        <f t="shared" si="265"/>
        <v>17.568247817172935</v>
      </c>
    </row>
    <row r="2433" spans="2:10" x14ac:dyDescent="0.25">
      <c r="B2433" s="1">
        <v>40750</v>
      </c>
      <c r="C2433" s="13">
        <v>14.407999999999999</v>
      </c>
      <c r="D2433" s="6">
        <f t="shared" si="259"/>
        <v>1.2366498032602591E-2</v>
      </c>
      <c r="E2433" s="14">
        <f t="shared" si="260"/>
        <v>1.8688590422795621E-4</v>
      </c>
      <c r="F2433" s="9">
        <f t="shared" si="261"/>
        <v>17.637595482562517</v>
      </c>
      <c r="G2433" s="9">
        <f t="shared" si="262"/>
        <v>-2.177625345146585</v>
      </c>
      <c r="H2433" s="9">
        <f t="shared" si="263"/>
        <v>6.4284672436868542E-2</v>
      </c>
      <c r="I2433" s="9">
        <f t="shared" si="264"/>
        <v>-0.17870544808673233</v>
      </c>
      <c r="J2433" s="9">
        <f t="shared" si="265"/>
        <v>15.345549361766068</v>
      </c>
    </row>
    <row r="2434" spans="2:10" x14ac:dyDescent="0.25">
      <c r="B2434" s="1">
        <v>40749</v>
      </c>
      <c r="C2434" s="13">
        <v>14.231999999999999</v>
      </c>
      <c r="D2434" s="6">
        <f t="shared" si="259"/>
        <v>1.3242204186245221E-2</v>
      </c>
      <c r="E2434" s="14">
        <f t="shared" si="260"/>
        <v>1.8786824361041545E-4</v>
      </c>
      <c r="F2434" s="9">
        <f t="shared" si="261"/>
        <v>17.632352890115854</v>
      </c>
      <c r="G2434" s="9">
        <f t="shared" si="262"/>
        <v>-0.30785034975471026</v>
      </c>
      <c r="H2434" s="9">
        <f t="shared" si="263"/>
        <v>7.5377391990682652E-3</v>
      </c>
      <c r="I2434" s="9">
        <f t="shared" si="264"/>
        <v>-1.0661951652071783E-2</v>
      </c>
      <c r="J2434" s="9">
        <f t="shared" si="265"/>
        <v>17.321378327908143</v>
      </c>
    </row>
    <row r="2435" spans="2:10" x14ac:dyDescent="0.25">
      <c r="B2435" s="1">
        <v>40746</v>
      </c>
      <c r="C2435" s="13">
        <v>14.045999999999999</v>
      </c>
      <c r="D2435" s="6">
        <f t="shared" si="259"/>
        <v>1.5471370734528422E-2</v>
      </c>
      <c r="E2435" s="14">
        <f t="shared" si="260"/>
        <v>1.8725765909505116E-4</v>
      </c>
      <c r="F2435" s="9">
        <f t="shared" si="261"/>
        <v>17.635608250783704</v>
      </c>
      <c r="G2435" s="9">
        <f t="shared" si="262"/>
        <v>-0.3612778164876273</v>
      </c>
      <c r="H2435" s="9">
        <f t="shared" si="263"/>
        <v>8.7324236098873975E-4</v>
      </c>
      <c r="I2435" s="9">
        <f t="shared" si="264"/>
        <v>-7.0357472296421418E-5</v>
      </c>
      <c r="J2435" s="9">
        <f t="shared" si="265"/>
        <v>17.275133319184768</v>
      </c>
    </row>
    <row r="2436" spans="2:10" x14ac:dyDescent="0.25">
      <c r="B2436" s="1">
        <v>40745</v>
      </c>
      <c r="C2436" s="13">
        <v>13.832000000000001</v>
      </c>
      <c r="D2436" s="6">
        <f t="shared" si="259"/>
        <v>1.0131712259373593E-3</v>
      </c>
      <c r="E2436" s="14">
        <f t="shared" si="260"/>
        <v>1.8959053268815114E-4</v>
      </c>
      <c r="F2436" s="9">
        <f t="shared" si="261"/>
        <v>17.623227119894011</v>
      </c>
      <c r="G2436" s="9">
        <f t="shared" si="262"/>
        <v>-0.50694539503539926</v>
      </c>
      <c r="H2436" s="9">
        <f t="shared" si="263"/>
        <v>1.6920740867362751E-2</v>
      </c>
      <c r="I2436" s="9">
        <f t="shared" si="264"/>
        <v>-3.8754322590760913E-2</v>
      </c>
      <c r="J2436" s="9">
        <f t="shared" si="265"/>
        <v>17.094448143135214</v>
      </c>
    </row>
    <row r="2437" spans="2:10" x14ac:dyDescent="0.25">
      <c r="B2437" s="1">
        <v>40744</v>
      </c>
      <c r="C2437" s="13">
        <v>13.818</v>
      </c>
      <c r="D2437" s="6">
        <f t="shared" si="259"/>
        <v>2.6673601307675154E-2</v>
      </c>
      <c r="E2437" s="14">
        <f t="shared" si="260"/>
        <v>1.8965927490525663E-4</v>
      </c>
      <c r="F2437" s="9">
        <f t="shared" si="261"/>
        <v>17.622864603070099</v>
      </c>
      <c r="G2437" s="9">
        <f t="shared" si="262"/>
        <v>-9.9739481269115176E-4</v>
      </c>
      <c r="H2437" s="9">
        <f t="shared" si="263"/>
        <v>-2.0825573748626036E-4</v>
      </c>
      <c r="I2437" s="9">
        <f t="shared" si="264"/>
        <v>-1.5054031633341066E-3</v>
      </c>
      <c r="J2437" s="9">
        <f t="shared" si="265"/>
        <v>17.620153549356584</v>
      </c>
    </row>
    <row r="2438" spans="2:10" x14ac:dyDescent="0.25">
      <c r="B2438" s="1">
        <v>40743</v>
      </c>
      <c r="C2438" s="13">
        <v>13.459</v>
      </c>
      <c r="D2438" s="6">
        <f t="shared" si="259"/>
        <v>8.1647940074907055E-3</v>
      </c>
      <c r="E2438" s="14">
        <f t="shared" si="260"/>
        <v>1.8447661097426962E-4</v>
      </c>
      <c r="F2438" s="9">
        <f t="shared" si="261"/>
        <v>17.650571089731404</v>
      </c>
      <c r="G2438" s="9">
        <f t="shared" si="262"/>
        <v>-1.7052869544760092</v>
      </c>
      <c r="H2438" s="9">
        <f t="shared" si="263"/>
        <v>-4.398823560829266E-2</v>
      </c>
      <c r="I2438" s="9">
        <f t="shared" si="264"/>
        <v>-0.11000543769226263</v>
      </c>
      <c r="J2438" s="9">
        <f t="shared" si="265"/>
        <v>15.791290461954841</v>
      </c>
    </row>
    <row r="2439" spans="2:10" x14ac:dyDescent="0.25">
      <c r="B2439" s="1">
        <v>40742</v>
      </c>
      <c r="C2439" s="13">
        <v>13.35</v>
      </c>
      <c r="D2439" s="6">
        <f t="shared" si="259"/>
        <v>2.4322872707741805E-2</v>
      </c>
      <c r="E2439" s="14">
        <f t="shared" si="260"/>
        <v>1.8500732391123746E-4</v>
      </c>
      <c r="F2439" s="9">
        <f t="shared" si="261"/>
        <v>17.647698362384759</v>
      </c>
      <c r="G2439" s="9">
        <f t="shared" si="262"/>
        <v>-0.11584584824702653</v>
      </c>
      <c r="H2439" s="9">
        <f t="shared" si="263"/>
        <v>3.4795177371793134E-3</v>
      </c>
      <c r="I2439" s="9">
        <f t="shared" si="264"/>
        <v>-5.2523114833276895E-3</v>
      </c>
      <c r="J2439" s="9">
        <f t="shared" si="265"/>
        <v>17.530079720391583</v>
      </c>
    </row>
    <row r="2440" spans="2:10" x14ac:dyDescent="0.25">
      <c r="B2440" s="1">
        <v>40739</v>
      </c>
      <c r="C2440" s="13">
        <v>13.032999999999999</v>
      </c>
      <c r="D2440" s="6">
        <f t="shared" si="259"/>
        <v>1.9956174675223037E-2</v>
      </c>
      <c r="E2440" s="14">
        <f t="shared" si="260"/>
        <v>1.8891689373371024E-4</v>
      </c>
      <c r="F2440" s="9">
        <f t="shared" si="261"/>
        <v>17.62678657272717</v>
      </c>
      <c r="G2440" s="9">
        <f t="shared" si="262"/>
        <v>-1.3672971258803821</v>
      </c>
      <c r="H2440" s="9">
        <f t="shared" si="263"/>
        <v>4.1844257390969045E-2</v>
      </c>
      <c r="I2440" s="9">
        <f t="shared" si="264"/>
        <v>-9.4584796296287812E-2</v>
      </c>
      <c r="J2440" s="9">
        <f t="shared" si="265"/>
        <v>16.206748907941471</v>
      </c>
    </row>
    <row r="2441" spans="2:10" x14ac:dyDescent="0.25">
      <c r="B2441" s="1">
        <v>40738</v>
      </c>
      <c r="C2441" s="13">
        <v>12.778</v>
      </c>
      <c r="D2441" s="6">
        <f t="shared" si="259"/>
        <v>-6.256843422492997E-4</v>
      </c>
      <c r="E2441" s="14">
        <f t="shared" si="260"/>
        <v>1.8878793913164205E-4</v>
      </c>
      <c r="F2441" s="9">
        <f t="shared" si="261"/>
        <v>17.627469405435981</v>
      </c>
      <c r="G2441" s="9">
        <f t="shared" si="262"/>
        <v>-0.89237689474566229</v>
      </c>
      <c r="H2441" s="9">
        <f t="shared" si="263"/>
        <v>4.8243991635770261E-3</v>
      </c>
      <c r="I2441" s="9">
        <f t="shared" si="264"/>
        <v>-6.3304401261339224E-4</v>
      </c>
      <c r="J2441" s="9">
        <f t="shared" si="265"/>
        <v>16.739283865841283</v>
      </c>
    </row>
    <row r="2442" spans="2:10" x14ac:dyDescent="0.25">
      <c r="B2442" s="1">
        <v>40737</v>
      </c>
      <c r="C2442" s="13">
        <v>12.786</v>
      </c>
      <c r="D2442" s="6">
        <f t="shared" si="259"/>
        <v>1.2031027386417481E-2</v>
      </c>
      <c r="E2442" s="14">
        <f t="shared" si="260"/>
        <v>1.9172127448010268E-4</v>
      </c>
      <c r="F2442" s="9">
        <f t="shared" si="261"/>
        <v>17.612051153507892</v>
      </c>
      <c r="G2442" s="9">
        <f t="shared" si="262"/>
        <v>-1.3277555577417841E-2</v>
      </c>
      <c r="H2442" s="9">
        <f t="shared" si="263"/>
        <v>-3.244914147198625E-3</v>
      </c>
      <c r="I2442" s="9">
        <f t="shared" si="264"/>
        <v>-5.626425267364818E-2</v>
      </c>
      <c r="J2442" s="9">
        <f t="shared" si="265"/>
        <v>17.539264431109626</v>
      </c>
    </row>
    <row r="2443" spans="2:10" x14ac:dyDescent="0.25">
      <c r="B2443" s="1">
        <v>40736</v>
      </c>
      <c r="C2443" s="13">
        <v>12.634</v>
      </c>
      <c r="D2443" s="6">
        <f t="shared" si="259"/>
        <v>-7.1185636320492129E-4</v>
      </c>
      <c r="E2443" s="14">
        <f t="shared" si="260"/>
        <v>1.9089149795082237E-4</v>
      </c>
      <c r="F2443" s="9">
        <f t="shared" si="261"/>
        <v>17.61638858231305</v>
      </c>
      <c r="G2443" s="9">
        <f t="shared" si="262"/>
        <v>-0.28434168895653095</v>
      </c>
      <c r="H2443" s="9">
        <f t="shared" si="263"/>
        <v>-1.1603054567904653E-4</v>
      </c>
      <c r="I2443" s="9">
        <f t="shared" si="264"/>
        <v>-5.7476890868479746E-4</v>
      </c>
      <c r="J2443" s="9">
        <f t="shared" si="265"/>
        <v>17.331356093902155</v>
      </c>
    </row>
    <row r="2444" spans="2:10" x14ac:dyDescent="0.25">
      <c r="B2444" s="1">
        <v>40735</v>
      </c>
      <c r="C2444" s="13">
        <v>12.643000000000001</v>
      </c>
      <c r="D2444" s="6">
        <f t="shared" si="259"/>
        <v>-1.5879193586051166E-2</v>
      </c>
      <c r="E2444" s="14">
        <f t="shared" si="260"/>
        <v>1.9521996243921142E-4</v>
      </c>
      <c r="F2444" s="9">
        <f t="shared" si="261"/>
        <v>17.59396684004442</v>
      </c>
      <c r="G2444" s="9">
        <f t="shared" si="262"/>
        <v>-1.4056127164988268E-2</v>
      </c>
      <c r="H2444" s="9">
        <f t="shared" si="263"/>
        <v>-4.5447420655118512E-3</v>
      </c>
      <c r="I2444" s="9">
        <f t="shared" si="264"/>
        <v>-0.10932246986327353</v>
      </c>
      <c r="J2444" s="9">
        <f t="shared" si="265"/>
        <v>17.466043500950647</v>
      </c>
    </row>
    <row r="2445" spans="2:10" x14ac:dyDescent="0.25">
      <c r="B2445" s="1">
        <v>40732</v>
      </c>
      <c r="C2445" s="13">
        <v>12.847</v>
      </c>
      <c r="D2445" s="6">
        <f t="shared" si="259"/>
        <v>7.0549502234067418E-3</v>
      </c>
      <c r="E2445" s="14">
        <f t="shared" si="260"/>
        <v>1.9353525061771001E-4</v>
      </c>
      <c r="F2445" s="9">
        <f t="shared" si="261"/>
        <v>17.602634105775707</v>
      </c>
      <c r="G2445" s="9">
        <f t="shared" si="262"/>
        <v>-0.79413429668949886</v>
      </c>
      <c r="H2445" s="9">
        <f t="shared" si="263"/>
        <v>5.9108946352703631E-3</v>
      </c>
      <c r="I2445" s="9">
        <f t="shared" si="264"/>
        <v>-6.9187931917255368E-3</v>
      </c>
      <c r="J2445" s="9">
        <f t="shared" si="265"/>
        <v>16.807491910529752</v>
      </c>
    </row>
    <row r="2446" spans="2:10" x14ac:dyDescent="0.25">
      <c r="B2446" s="1">
        <v>40731</v>
      </c>
      <c r="C2446" s="13">
        <v>12.757</v>
      </c>
      <c r="D2446" s="6">
        <f t="shared" si="259"/>
        <v>1.5442171455862352E-2</v>
      </c>
      <c r="E2446" s="14">
        <f t="shared" si="260"/>
        <v>1.9325526114084772E-4</v>
      </c>
      <c r="F2446" s="9">
        <f t="shared" si="261"/>
        <v>17.60408186375971</v>
      </c>
      <c r="G2446" s="9">
        <f t="shared" si="262"/>
        <v>-7.6443020769978567E-2</v>
      </c>
      <c r="H2446" s="9">
        <f t="shared" si="263"/>
        <v>1.0819429707329966E-3</v>
      </c>
      <c r="I2446" s="9">
        <f t="shared" si="264"/>
        <v>-1.936091740640908E-4</v>
      </c>
      <c r="J2446" s="9">
        <f t="shared" si="265"/>
        <v>17.528527176786397</v>
      </c>
    </row>
    <row r="2447" spans="2:10" x14ac:dyDescent="0.25">
      <c r="B2447" s="1">
        <v>40730</v>
      </c>
      <c r="C2447" s="13">
        <v>12.563000000000001</v>
      </c>
      <c r="D2447" s="6">
        <f t="shared" si="259"/>
        <v>6.6506410256410575E-3</v>
      </c>
      <c r="E2447" s="14">
        <f t="shared" si="260"/>
        <v>1.9187218545892637E-4</v>
      </c>
      <c r="F2447" s="9">
        <f t="shared" si="261"/>
        <v>17.611264325772957</v>
      </c>
      <c r="G2447" s="9">
        <f t="shared" si="262"/>
        <v>-0.49880623995142526</v>
      </c>
      <c r="H2447" s="9">
        <f t="shared" si="263"/>
        <v>-3.0989818734664665E-3</v>
      </c>
      <c r="I2447" s="9">
        <f t="shared" si="264"/>
        <v>-3.8960129595591681E-3</v>
      </c>
      <c r="J2447" s="9">
        <f t="shared" si="265"/>
        <v>17.105463090988508</v>
      </c>
    </row>
    <row r="2448" spans="2:10" x14ac:dyDescent="0.25">
      <c r="B2448" s="1">
        <v>40729</v>
      </c>
      <c r="C2448" s="13">
        <v>12.48</v>
      </c>
      <c r="D2448" s="6">
        <f t="shared" ref="D2448:D2511" si="266">C2448/C2449-1</f>
        <v>1.8027571580063739E-2</v>
      </c>
      <c r="E2448" s="14">
        <f t="shared" ref="E2448:E2454" si="267">_xlfn.VAR.S(D2448:D2568)</f>
        <v>1.9159913617539144E-4</v>
      </c>
      <c r="F2448" s="9">
        <f t="shared" si="261"/>
        <v>17.612688418341431</v>
      </c>
      <c r="G2448" s="9">
        <f t="shared" si="262"/>
        <v>-6.6044493130981499E-2</v>
      </c>
      <c r="H2448" s="9">
        <f t="shared" si="263"/>
        <v>1.023457250180423E-3</v>
      </c>
      <c r="I2448" s="9">
        <f t="shared" si="264"/>
        <v>-2.1452096413494283E-4</v>
      </c>
      <c r="J2448" s="9">
        <f t="shared" si="265"/>
        <v>17.547452861496495</v>
      </c>
    </row>
    <row r="2449" spans="2:10" x14ac:dyDescent="0.25">
      <c r="B2449" s="1">
        <v>40725</v>
      </c>
      <c r="C2449" s="13">
        <v>12.259</v>
      </c>
      <c r="D2449" s="6">
        <f t="shared" si="266"/>
        <v>2.2605939272605902E-2</v>
      </c>
      <c r="E2449" s="14">
        <f t="shared" si="267"/>
        <v>1.9186697009550578E-4</v>
      </c>
      <c r="F2449" s="9">
        <f t="shared" ref="F2449:F2454" si="268">LN(2*PI())-LN($C$6)-LN(E2449)-0.5*LN(1-POWER($C$7,2))</f>
        <v>17.611291507588238</v>
      </c>
      <c r="G2449" s="9">
        <f t="shared" ref="G2449:G2454" si="269">-POWER(D2448-1-$C$3,2)/(2*E2449*(1-POWER($C$7,2)))</f>
        <v>-0.70299550724351456</v>
      </c>
      <c r="H2449" s="9">
        <f t="shared" ref="H2449:H2454" si="270">$C$7*(D2448-1-$C$3)*(E2448-E2449-$C$5*$C$4)/(E2449*$C$6*(1-POWER($C$7,2)))</f>
        <v>6.755348870475345E-3</v>
      </c>
      <c r="I2449" s="9">
        <f t="shared" ref="I2449:I2454" si="271">-POWER(E2448-E2449-$C$5*$C$4+$C$4*E2449,2)/(2*POWER($C$6,2)*E2449*(1-POWER($C$7,2)))</f>
        <v>-2.718268741947034E-3</v>
      </c>
      <c r="J2449" s="9">
        <f t="shared" ref="J2449:J2454" si="272">SUM(F2449:I2449)</f>
        <v>16.91233308047325</v>
      </c>
    </row>
    <row r="2450" spans="2:10" x14ac:dyDescent="0.25">
      <c r="B2450" s="1">
        <v>40724</v>
      </c>
      <c r="C2450" s="13">
        <v>11.988</v>
      </c>
      <c r="D2450" s="6">
        <f t="shared" si="266"/>
        <v>4.8616932103939803E-3</v>
      </c>
      <c r="E2450" s="14">
        <f t="shared" si="267"/>
        <v>1.8808508998842109E-4</v>
      </c>
      <c r="F2450" s="9">
        <f t="shared" si="268"/>
        <v>17.631199308632869</v>
      </c>
      <c r="G2450" s="9">
        <f t="shared" si="269"/>
        <v>-1.1734146683661903</v>
      </c>
      <c r="H2450" s="9">
        <f t="shared" si="270"/>
        <v>-2.4584604025592503E-2</v>
      </c>
      <c r="I2450" s="9">
        <f t="shared" si="271"/>
        <v>-5.3231924271199771E-2</v>
      </c>
      <c r="J2450" s="9">
        <f t="shared" si="272"/>
        <v>16.379968111969887</v>
      </c>
    </row>
    <row r="2451" spans="2:10" x14ac:dyDescent="0.25">
      <c r="B2451" s="1">
        <v>40723</v>
      </c>
      <c r="C2451" s="13">
        <v>11.93</v>
      </c>
      <c r="D2451" s="6">
        <f t="shared" si="266"/>
        <v>-3.6746283614498276E-3</v>
      </c>
      <c r="E2451" s="14">
        <f t="shared" si="267"/>
        <v>1.8790514307491017E-4</v>
      </c>
      <c r="F2451" s="9">
        <f t="shared" si="268"/>
        <v>17.632156498003368</v>
      </c>
      <c r="G2451" s="9">
        <f t="shared" si="269"/>
        <v>-2.7918181818450356E-2</v>
      </c>
      <c r="H2451" s="9">
        <f t="shared" si="270"/>
        <v>7.9042324185954048E-4</v>
      </c>
      <c r="I2451" s="9">
        <f t="shared" si="271"/>
        <v>-4.7290545114201407E-4</v>
      </c>
      <c r="J2451" s="9">
        <f t="shared" si="272"/>
        <v>17.604555833975635</v>
      </c>
    </row>
    <row r="2452" spans="2:10" x14ac:dyDescent="0.25">
      <c r="B2452" s="1">
        <v>40722</v>
      </c>
      <c r="C2452" s="13">
        <v>11.974</v>
      </c>
      <c r="D2452" s="6">
        <f t="shared" si="266"/>
        <v>9.6972763302134446E-3</v>
      </c>
      <c r="E2452" s="14">
        <f t="shared" si="267"/>
        <v>1.8832439202371923E-4</v>
      </c>
      <c r="F2452" s="9">
        <f t="shared" si="268"/>
        <v>17.629927810017804</v>
      </c>
      <c r="G2452" s="9">
        <f t="shared" si="269"/>
        <v>-7.4855274023559779E-2</v>
      </c>
      <c r="H2452" s="9">
        <f t="shared" si="270"/>
        <v>-2.5402037039298411E-3</v>
      </c>
      <c r="I2452" s="9">
        <f t="shared" si="271"/>
        <v>-4.0501202227953255E-3</v>
      </c>
      <c r="J2452" s="9">
        <f t="shared" si="272"/>
        <v>17.548482212067519</v>
      </c>
    </row>
    <row r="2453" spans="2:10" x14ac:dyDescent="0.25">
      <c r="B2453" s="1">
        <v>40721</v>
      </c>
      <c r="C2453" s="13">
        <v>11.859</v>
      </c>
      <c r="D2453" s="6">
        <f t="shared" si="266"/>
        <v>1.7503217503217483E-2</v>
      </c>
      <c r="E2453" s="14">
        <f t="shared" si="267"/>
        <v>1.8778481145713299E-4</v>
      </c>
      <c r="F2453" s="9">
        <f t="shared" si="268"/>
        <v>17.632797088045454</v>
      </c>
      <c r="G2453" s="9">
        <f t="shared" si="269"/>
        <v>-0.17391301266163209</v>
      </c>
      <c r="H2453" s="9">
        <f t="shared" si="270"/>
        <v>8.3064446497228643E-4</v>
      </c>
      <c r="I2453" s="9">
        <f t="shared" si="271"/>
        <v>-1.1951933439331582E-5</v>
      </c>
      <c r="J2453" s="9">
        <f t="shared" si="272"/>
        <v>17.459702767915356</v>
      </c>
    </row>
    <row r="2454" spans="2:10" x14ac:dyDescent="0.25">
      <c r="B2454" s="1">
        <v>40718</v>
      </c>
      <c r="C2454" s="13">
        <v>11.654999999999999</v>
      </c>
      <c r="D2454" s="6">
        <f t="shared" si="266"/>
        <v>-1.4792899408284099E-2</v>
      </c>
      <c r="E2454" s="14">
        <f t="shared" si="267"/>
        <v>1.8914428279962175E-4</v>
      </c>
      <c r="F2454" s="9">
        <f t="shared" si="268"/>
        <v>17.625583650515392</v>
      </c>
      <c r="G2454" s="9">
        <f t="shared" si="269"/>
        <v>-0.66824397277900827</v>
      </c>
      <c r="H2454" s="9">
        <f t="shared" si="270"/>
        <v>1.3408619539571119E-2</v>
      </c>
      <c r="I2454" s="9">
        <f t="shared" si="271"/>
        <v>-1.6671161010201409E-2</v>
      </c>
      <c r="J2454" s="9">
        <f t="shared" si="272"/>
        <v>16.954077136265752</v>
      </c>
    </row>
    <row r="2455" spans="2:10" x14ac:dyDescent="0.25">
      <c r="B2455" s="1">
        <v>40717</v>
      </c>
      <c r="C2455" s="13">
        <v>11.83</v>
      </c>
      <c r="D2455" s="6">
        <f t="shared" si="266"/>
        <v>2.6731470230862753E-2</v>
      </c>
      <c r="E2455" s="14"/>
      <c r="F2455" s="9"/>
      <c r="G2455" s="9"/>
      <c r="H2455" s="9"/>
      <c r="I2455" s="9"/>
      <c r="J2455" s="9"/>
    </row>
    <row r="2456" spans="2:10" x14ac:dyDescent="0.25">
      <c r="B2456" s="1">
        <v>40716</v>
      </c>
      <c r="C2456" s="13">
        <v>11.522</v>
      </c>
      <c r="D2456" s="6">
        <f t="shared" si="266"/>
        <v>-8.2630401101738693E-3</v>
      </c>
      <c r="E2456" s="14"/>
      <c r="F2456" s="9"/>
      <c r="G2456" s="9"/>
      <c r="H2456" s="9"/>
      <c r="I2456" s="9"/>
      <c r="J2456" s="9"/>
    </row>
    <row r="2457" spans="2:10" x14ac:dyDescent="0.25">
      <c r="B2457" s="1">
        <v>40715</v>
      </c>
      <c r="C2457" s="13">
        <v>11.618</v>
      </c>
      <c r="D2457" s="6">
        <f t="shared" si="266"/>
        <v>3.1702335494183664E-2</v>
      </c>
      <c r="E2457" s="14"/>
      <c r="F2457" s="9"/>
      <c r="G2457" s="9"/>
      <c r="H2457" s="9"/>
      <c r="I2457" s="9"/>
      <c r="J2457" s="9"/>
    </row>
    <row r="2458" spans="2:10" x14ac:dyDescent="0.25">
      <c r="B2458" s="1">
        <v>40714</v>
      </c>
      <c r="C2458" s="13">
        <v>11.260999999999999</v>
      </c>
      <c r="D2458" s="6">
        <f t="shared" si="266"/>
        <v>-1.5474733344990499E-2</v>
      </c>
      <c r="E2458" s="14"/>
      <c r="F2458" s="9"/>
      <c r="G2458" s="9"/>
      <c r="H2458" s="9"/>
      <c r="I2458" s="9"/>
      <c r="J2458" s="9"/>
    </row>
    <row r="2459" spans="2:10" x14ac:dyDescent="0.25">
      <c r="B2459" s="1">
        <v>40711</v>
      </c>
      <c r="C2459" s="13">
        <v>11.438000000000001</v>
      </c>
      <c r="D2459" s="6">
        <f t="shared" si="266"/>
        <v>-1.5069318866787085E-2</v>
      </c>
      <c r="E2459" s="14"/>
      <c r="F2459" s="9"/>
      <c r="G2459" s="9"/>
      <c r="H2459" s="9"/>
      <c r="I2459" s="9"/>
      <c r="J2459" s="9"/>
    </row>
    <row r="2460" spans="2:10" x14ac:dyDescent="0.25">
      <c r="B2460" s="1">
        <v>40710</v>
      </c>
      <c r="C2460" s="13">
        <v>11.613</v>
      </c>
      <c r="D2460" s="6">
        <f t="shared" si="266"/>
        <v>-4.8843187660668752E-3</v>
      </c>
      <c r="E2460" s="14"/>
      <c r="F2460" s="9"/>
      <c r="G2460" s="9"/>
      <c r="H2460" s="9"/>
      <c r="I2460" s="9"/>
      <c r="J2460" s="9"/>
    </row>
    <row r="2461" spans="2:10" x14ac:dyDescent="0.25">
      <c r="B2461" s="1">
        <v>40709</v>
      </c>
      <c r="C2461" s="13">
        <v>11.67</v>
      </c>
      <c r="D2461" s="6">
        <f t="shared" si="266"/>
        <v>-1.7097616440663654E-2</v>
      </c>
      <c r="E2461" s="14"/>
      <c r="F2461" s="9"/>
      <c r="G2461" s="9"/>
      <c r="H2461" s="9"/>
      <c r="I2461" s="9"/>
      <c r="J2461" s="9"/>
    </row>
    <row r="2462" spans="2:10" x14ac:dyDescent="0.25">
      <c r="B2462" s="1">
        <v>40708</v>
      </c>
      <c r="C2462" s="13">
        <v>11.872999999999999</v>
      </c>
      <c r="D2462" s="6">
        <f t="shared" si="266"/>
        <v>1.7918381344307344E-2</v>
      </c>
      <c r="E2462" s="14"/>
      <c r="F2462" s="9"/>
      <c r="G2462" s="9"/>
      <c r="H2462" s="9"/>
      <c r="I2462" s="9"/>
      <c r="J2462" s="9"/>
    </row>
    <row r="2463" spans="2:10" x14ac:dyDescent="0.25">
      <c r="B2463" s="1">
        <v>40707</v>
      </c>
      <c r="C2463" s="13">
        <v>11.664</v>
      </c>
      <c r="D2463" s="6">
        <f t="shared" si="266"/>
        <v>2.1479508548845061E-3</v>
      </c>
      <c r="E2463" s="14"/>
      <c r="F2463" s="9"/>
      <c r="G2463" s="9"/>
      <c r="H2463" s="9"/>
      <c r="I2463" s="9"/>
      <c r="J2463" s="9"/>
    </row>
    <row r="2464" spans="2:10" x14ac:dyDescent="0.25">
      <c r="B2464" s="1">
        <v>40704</v>
      </c>
      <c r="C2464" s="13">
        <v>11.638999999999999</v>
      </c>
      <c r="D2464" s="6">
        <f t="shared" si="266"/>
        <v>-1.6893318692457249E-2</v>
      </c>
      <c r="E2464" s="14"/>
      <c r="F2464" s="9"/>
      <c r="G2464" s="9"/>
      <c r="H2464" s="9"/>
      <c r="I2464" s="9"/>
      <c r="J2464" s="9"/>
    </row>
    <row r="2465" spans="2:10" x14ac:dyDescent="0.25">
      <c r="B2465" s="1">
        <v>40703</v>
      </c>
      <c r="C2465" s="13">
        <v>11.839</v>
      </c>
      <c r="D2465" s="6">
        <f t="shared" si="266"/>
        <v>-2.2754087308275439E-3</v>
      </c>
      <c r="E2465" s="14"/>
      <c r="F2465" s="9"/>
      <c r="G2465" s="9"/>
      <c r="H2465" s="9"/>
      <c r="I2465" s="9"/>
      <c r="J2465" s="9"/>
    </row>
    <row r="2466" spans="2:10" x14ac:dyDescent="0.25">
      <c r="B2466" s="1">
        <v>40702</v>
      </c>
      <c r="C2466" s="13">
        <v>11.866</v>
      </c>
      <c r="D2466" s="6">
        <f t="shared" si="266"/>
        <v>5.9026899401293242E-4</v>
      </c>
      <c r="E2466" s="14"/>
      <c r="F2466" s="9"/>
      <c r="G2466" s="9"/>
      <c r="H2466" s="9"/>
      <c r="I2466" s="9"/>
      <c r="J2466" s="9"/>
    </row>
    <row r="2467" spans="2:10" x14ac:dyDescent="0.25">
      <c r="B2467" s="1">
        <v>40701</v>
      </c>
      <c r="C2467" s="13">
        <v>11.859</v>
      </c>
      <c r="D2467" s="6">
        <f t="shared" si="266"/>
        <v>-1.7725503188934066E-2</v>
      </c>
      <c r="E2467" s="14"/>
      <c r="F2467" s="9"/>
      <c r="G2467" s="9"/>
      <c r="H2467" s="9"/>
      <c r="I2467" s="9"/>
      <c r="J2467" s="9"/>
    </row>
    <row r="2468" spans="2:10" x14ac:dyDescent="0.25">
      <c r="B2468" s="1">
        <v>40700</v>
      </c>
      <c r="C2468" s="13">
        <v>12.073</v>
      </c>
      <c r="D2468" s="6">
        <f t="shared" si="266"/>
        <v>-1.573455079080377E-2</v>
      </c>
      <c r="E2468" s="14"/>
      <c r="F2468" s="9"/>
      <c r="G2468" s="9"/>
      <c r="H2468" s="9"/>
      <c r="I2468" s="9"/>
      <c r="J2468" s="9"/>
    </row>
    <row r="2469" spans="2:10" x14ac:dyDescent="0.25">
      <c r="B2469" s="1">
        <v>40697</v>
      </c>
      <c r="C2469" s="13">
        <v>12.266</v>
      </c>
      <c r="D2469" s="6">
        <f t="shared" si="266"/>
        <v>-7.6854623412345724E-3</v>
      </c>
      <c r="E2469" s="14"/>
      <c r="F2469" s="9"/>
      <c r="G2469" s="9"/>
      <c r="H2469" s="9"/>
      <c r="I2469" s="9"/>
      <c r="J2469" s="9"/>
    </row>
    <row r="2470" spans="2:10" x14ac:dyDescent="0.25">
      <c r="B2470" s="1">
        <v>40696</v>
      </c>
      <c r="C2470" s="13">
        <v>12.361000000000001</v>
      </c>
      <c r="D2470" s="6">
        <f t="shared" si="266"/>
        <v>1.7017828200973639E-3</v>
      </c>
      <c r="E2470" s="14"/>
      <c r="F2470" s="9"/>
      <c r="G2470" s="9"/>
      <c r="H2470" s="9"/>
      <c r="I2470" s="9"/>
      <c r="J2470" s="9"/>
    </row>
    <row r="2471" spans="2:10" x14ac:dyDescent="0.25">
      <c r="B2471" s="1">
        <v>40695</v>
      </c>
      <c r="C2471" s="13">
        <v>12.34</v>
      </c>
      <c r="D2471" s="6">
        <f t="shared" si="266"/>
        <v>-6.6811559204701387E-3</v>
      </c>
      <c r="E2471" s="14"/>
      <c r="F2471" s="9"/>
      <c r="G2471" s="9"/>
      <c r="H2471" s="9"/>
      <c r="I2471" s="9"/>
      <c r="J2471" s="9"/>
    </row>
    <row r="2472" spans="2:10" x14ac:dyDescent="0.25">
      <c r="B2472" s="1">
        <v>40694</v>
      </c>
      <c r="C2472" s="13">
        <v>12.423</v>
      </c>
      <c r="D2472" s="6">
        <f t="shared" si="266"/>
        <v>3.0954356846472963E-2</v>
      </c>
      <c r="E2472" s="14"/>
      <c r="F2472" s="9"/>
      <c r="G2472" s="9"/>
      <c r="H2472" s="9"/>
      <c r="I2472" s="9"/>
      <c r="J2472" s="9"/>
    </row>
    <row r="2473" spans="2:10" x14ac:dyDescent="0.25">
      <c r="B2473" s="1">
        <v>40690</v>
      </c>
      <c r="C2473" s="13">
        <v>12.05</v>
      </c>
      <c r="D2473" s="6">
        <f t="shared" si="266"/>
        <v>7.1882313607489756E-3</v>
      </c>
      <c r="E2473" s="14"/>
      <c r="F2473" s="9"/>
      <c r="G2473" s="9"/>
      <c r="H2473" s="9"/>
      <c r="I2473" s="9"/>
      <c r="J2473" s="9"/>
    </row>
    <row r="2474" spans="2:10" x14ac:dyDescent="0.25">
      <c r="B2474" s="1">
        <v>40689</v>
      </c>
      <c r="C2474" s="13">
        <v>11.964</v>
      </c>
      <c r="D2474" s="6">
        <f t="shared" si="266"/>
        <v>-5.3209178583305539E-3</v>
      </c>
      <c r="E2474" s="14"/>
      <c r="F2474" s="9"/>
      <c r="G2474" s="9"/>
      <c r="H2474" s="9"/>
      <c r="I2474" s="9"/>
      <c r="J2474" s="9"/>
    </row>
    <row r="2475" spans="2:10" x14ac:dyDescent="0.25">
      <c r="B2475" s="1">
        <v>40688</v>
      </c>
      <c r="C2475" s="13">
        <v>12.028</v>
      </c>
      <c r="D2475" s="6">
        <f t="shared" si="266"/>
        <v>1.3823331085637269E-2</v>
      </c>
      <c r="E2475" s="14"/>
      <c r="F2475" s="9"/>
      <c r="G2475" s="9"/>
      <c r="H2475" s="9"/>
      <c r="I2475" s="9"/>
      <c r="J2475" s="9"/>
    </row>
    <row r="2476" spans="2:10" x14ac:dyDescent="0.25">
      <c r="B2476" s="1">
        <v>40687</v>
      </c>
      <c r="C2476" s="13">
        <v>11.864000000000001</v>
      </c>
      <c r="D2476" s="6">
        <f t="shared" si="266"/>
        <v>-6.6147534120404305E-3</v>
      </c>
      <c r="E2476" s="14"/>
      <c r="F2476" s="9"/>
      <c r="G2476" s="9"/>
      <c r="H2476" s="9"/>
      <c r="I2476" s="9"/>
      <c r="J2476" s="9"/>
    </row>
    <row r="2477" spans="2:10" x14ac:dyDescent="0.25">
      <c r="B2477" s="1">
        <v>40686</v>
      </c>
      <c r="C2477" s="13">
        <v>11.943</v>
      </c>
      <c r="D2477" s="6">
        <f t="shared" si="266"/>
        <v>-2.42231874373533E-3</v>
      </c>
      <c r="E2477" s="14"/>
      <c r="F2477" s="9"/>
      <c r="G2477" s="9"/>
      <c r="H2477" s="9"/>
      <c r="I2477" s="9"/>
      <c r="J2477" s="9"/>
    </row>
    <row r="2478" spans="2:10" x14ac:dyDescent="0.25">
      <c r="B2478" s="1">
        <v>40683</v>
      </c>
      <c r="C2478" s="13">
        <v>11.972</v>
      </c>
      <c r="D2478" s="6">
        <f t="shared" si="266"/>
        <v>-1.5622430521295971E-2</v>
      </c>
      <c r="E2478" s="14"/>
      <c r="F2478" s="9"/>
      <c r="G2478" s="9"/>
      <c r="H2478" s="9"/>
      <c r="I2478" s="9"/>
      <c r="J2478" s="9"/>
    </row>
    <row r="2479" spans="2:10" x14ac:dyDescent="0.25">
      <c r="B2479" s="1">
        <v>40682</v>
      </c>
      <c r="C2479" s="13">
        <v>12.162000000000001</v>
      </c>
      <c r="D2479" s="6">
        <f t="shared" si="266"/>
        <v>1.9772614928323939E-3</v>
      </c>
      <c r="E2479" s="14"/>
      <c r="F2479" s="9"/>
      <c r="G2479" s="9"/>
      <c r="H2479" s="9"/>
      <c r="I2479" s="9"/>
      <c r="J2479" s="9"/>
    </row>
    <row r="2480" spans="2:10" x14ac:dyDescent="0.25">
      <c r="B2480" s="1">
        <v>40681</v>
      </c>
      <c r="C2480" s="13">
        <v>12.138</v>
      </c>
      <c r="D2480" s="6">
        <f t="shared" si="266"/>
        <v>1.1078717201166155E-2</v>
      </c>
      <c r="E2480" s="14"/>
      <c r="F2480" s="9"/>
      <c r="G2480" s="9"/>
      <c r="H2480" s="9"/>
      <c r="I2480" s="9"/>
      <c r="J2480" s="9"/>
    </row>
    <row r="2481" spans="2:10" x14ac:dyDescent="0.25">
      <c r="B2481" s="1">
        <v>40680</v>
      </c>
      <c r="C2481" s="13">
        <v>12.005000000000001</v>
      </c>
      <c r="D2481" s="6">
        <f t="shared" si="266"/>
        <v>8.4845430107527431E-3</v>
      </c>
      <c r="E2481" s="14"/>
      <c r="F2481" s="9"/>
      <c r="G2481" s="9"/>
      <c r="H2481" s="9"/>
      <c r="I2481" s="9"/>
      <c r="J2481" s="9"/>
    </row>
    <row r="2482" spans="2:10" x14ac:dyDescent="0.25">
      <c r="B2482" s="1">
        <v>40679</v>
      </c>
      <c r="C2482" s="13">
        <v>11.904</v>
      </c>
      <c r="D2482" s="6">
        <f t="shared" si="266"/>
        <v>-2.1133130499136565E-2</v>
      </c>
      <c r="E2482" s="14"/>
      <c r="F2482" s="9"/>
      <c r="G2482" s="9"/>
      <c r="H2482" s="9"/>
      <c r="I2482" s="9"/>
      <c r="J2482" s="9"/>
    </row>
    <row r="2483" spans="2:10" x14ac:dyDescent="0.25">
      <c r="B2483" s="1">
        <v>40676</v>
      </c>
      <c r="C2483" s="13">
        <v>12.161</v>
      </c>
      <c r="D2483" s="6">
        <f t="shared" si="266"/>
        <v>-1.7531103570851525E-2</v>
      </c>
      <c r="E2483" s="14"/>
      <c r="F2483" s="9"/>
      <c r="G2483" s="9"/>
      <c r="H2483" s="9"/>
      <c r="I2483" s="9"/>
      <c r="J2483" s="9"/>
    </row>
    <row r="2484" spans="2:10" x14ac:dyDescent="0.25">
      <c r="B2484" s="1">
        <v>40675</v>
      </c>
      <c r="C2484" s="13">
        <v>12.378</v>
      </c>
      <c r="D2484" s="6">
        <f t="shared" si="266"/>
        <v>-1.8546891379727093E-3</v>
      </c>
      <c r="E2484" s="14"/>
      <c r="F2484" s="9"/>
      <c r="G2484" s="9"/>
      <c r="H2484" s="9"/>
      <c r="I2484" s="9"/>
      <c r="J2484" s="9"/>
    </row>
    <row r="2485" spans="2:10" x14ac:dyDescent="0.25">
      <c r="B2485" s="1">
        <v>40674</v>
      </c>
      <c r="C2485" s="13">
        <v>12.401</v>
      </c>
      <c r="D2485" s="6">
        <f t="shared" si="266"/>
        <v>-6.3301282051282382E-3</v>
      </c>
      <c r="E2485" s="14"/>
      <c r="F2485" s="9"/>
      <c r="G2485" s="9"/>
      <c r="H2485" s="9"/>
      <c r="I2485" s="9"/>
      <c r="J2485" s="9"/>
    </row>
    <row r="2486" spans="2:10" x14ac:dyDescent="0.25">
      <c r="B2486" s="1">
        <v>40673</v>
      </c>
      <c r="C2486" s="13">
        <v>12.48</v>
      </c>
      <c r="D2486" s="6">
        <f t="shared" si="266"/>
        <v>5.3165780570323395E-3</v>
      </c>
      <c r="E2486" s="14"/>
      <c r="F2486" s="9"/>
      <c r="G2486" s="9"/>
      <c r="H2486" s="9"/>
      <c r="I2486" s="9"/>
      <c r="J2486" s="9"/>
    </row>
    <row r="2487" spans="2:10" x14ac:dyDescent="0.25">
      <c r="B2487" s="1">
        <v>40672</v>
      </c>
      <c r="C2487" s="13">
        <v>12.414</v>
      </c>
      <c r="D2487" s="6">
        <f t="shared" si="266"/>
        <v>2.6653743639446503E-3</v>
      </c>
      <c r="E2487" s="14"/>
      <c r="F2487" s="9"/>
      <c r="G2487" s="9"/>
      <c r="H2487" s="9"/>
      <c r="I2487" s="9"/>
      <c r="J2487" s="9"/>
    </row>
    <row r="2488" spans="2:10" x14ac:dyDescent="0.25">
      <c r="B2488" s="1">
        <v>40669</v>
      </c>
      <c r="C2488" s="13">
        <v>12.381</v>
      </c>
      <c r="D2488" s="6">
        <f t="shared" si="266"/>
        <v>-2.4224806201555982E-4</v>
      </c>
      <c r="E2488" s="14"/>
      <c r="F2488" s="9"/>
      <c r="G2488" s="9"/>
      <c r="H2488" s="9"/>
      <c r="I2488" s="9"/>
      <c r="J2488" s="9"/>
    </row>
    <row r="2489" spans="2:10" x14ac:dyDescent="0.25">
      <c r="B2489" s="1">
        <v>40668</v>
      </c>
      <c r="C2489" s="13">
        <v>12.384</v>
      </c>
      <c r="D2489" s="6">
        <f t="shared" si="266"/>
        <v>-8.0897076491789344E-3</v>
      </c>
      <c r="E2489" s="14"/>
      <c r="F2489" s="9"/>
      <c r="G2489" s="9"/>
      <c r="H2489" s="9"/>
      <c r="I2489" s="9"/>
      <c r="J2489" s="9"/>
    </row>
    <row r="2490" spans="2:10" x14ac:dyDescent="0.25">
      <c r="B2490" s="1">
        <v>40667</v>
      </c>
      <c r="C2490" s="13">
        <v>12.484999999999999</v>
      </c>
      <c r="D2490" s="6">
        <f t="shared" si="266"/>
        <v>3.9401736892892281E-3</v>
      </c>
      <c r="E2490" s="14"/>
      <c r="F2490" s="9"/>
      <c r="G2490" s="9"/>
      <c r="H2490" s="9"/>
      <c r="I2490" s="9"/>
      <c r="J2490" s="9"/>
    </row>
    <row r="2491" spans="2:10" x14ac:dyDescent="0.25">
      <c r="B2491" s="1">
        <v>40666</v>
      </c>
      <c r="C2491" s="13">
        <v>12.436</v>
      </c>
      <c r="D2491" s="6">
        <f t="shared" si="266"/>
        <v>5.5793644376160856E-3</v>
      </c>
      <c r="E2491" s="14"/>
      <c r="F2491" s="9"/>
      <c r="G2491" s="9"/>
      <c r="H2491" s="9"/>
      <c r="I2491" s="9"/>
      <c r="J2491" s="9"/>
    </row>
    <row r="2492" spans="2:10" x14ac:dyDescent="0.25">
      <c r="B2492" s="1">
        <v>40665</v>
      </c>
      <c r="C2492" s="13">
        <v>12.367000000000001</v>
      </c>
      <c r="D2492" s="6">
        <f t="shared" si="266"/>
        <v>-1.1035585765693745E-2</v>
      </c>
      <c r="E2492" s="14"/>
      <c r="F2492" s="9"/>
      <c r="G2492" s="9"/>
      <c r="H2492" s="9"/>
      <c r="I2492" s="9"/>
      <c r="J2492" s="9"/>
    </row>
    <row r="2493" spans="2:10" x14ac:dyDescent="0.25">
      <c r="B2493" s="1">
        <v>40662</v>
      </c>
      <c r="C2493" s="13">
        <v>12.505000000000001</v>
      </c>
      <c r="D2493" s="6">
        <f t="shared" si="266"/>
        <v>9.7706718346253218E-3</v>
      </c>
      <c r="E2493" s="14"/>
      <c r="F2493" s="9"/>
      <c r="G2493" s="9"/>
      <c r="H2493" s="9"/>
      <c r="I2493" s="9"/>
      <c r="J2493" s="9"/>
    </row>
    <row r="2494" spans="2:10" x14ac:dyDescent="0.25">
      <c r="B2494" s="1">
        <v>40661</v>
      </c>
      <c r="C2494" s="13">
        <v>12.384</v>
      </c>
      <c r="D2494" s="6">
        <f t="shared" si="266"/>
        <v>-9.6761295481807563E-3</v>
      </c>
      <c r="E2494" s="14"/>
      <c r="F2494" s="9"/>
      <c r="G2494" s="9"/>
      <c r="H2494" s="9"/>
      <c r="I2494" s="9"/>
      <c r="J2494" s="9"/>
    </row>
    <row r="2495" spans="2:10" x14ac:dyDescent="0.25">
      <c r="B2495" s="1">
        <v>40660</v>
      </c>
      <c r="C2495" s="13">
        <v>12.505000000000001</v>
      </c>
      <c r="D2495" s="6">
        <f t="shared" si="266"/>
        <v>-7.9904115061923964E-4</v>
      </c>
      <c r="E2495" s="14"/>
      <c r="F2495" s="9"/>
      <c r="G2495" s="9"/>
      <c r="H2495" s="9"/>
      <c r="I2495" s="9"/>
      <c r="J2495" s="9"/>
    </row>
    <row r="2496" spans="2:10" x14ac:dyDescent="0.25">
      <c r="B2496" s="1">
        <v>40659</v>
      </c>
      <c r="C2496" s="13">
        <v>12.515000000000001</v>
      </c>
      <c r="D2496" s="6">
        <f t="shared" si="266"/>
        <v>-7.297533116522481E-3</v>
      </c>
      <c r="E2496" s="14"/>
      <c r="F2496" s="9"/>
      <c r="G2496" s="9"/>
      <c r="H2496" s="9"/>
      <c r="I2496" s="9"/>
      <c r="J2496" s="9"/>
    </row>
    <row r="2497" spans="2:10" x14ac:dyDescent="0.25">
      <c r="B2497" s="1">
        <v>40658</v>
      </c>
      <c r="C2497" s="13">
        <v>12.606999999999999</v>
      </c>
      <c r="D2497" s="6">
        <f t="shared" si="266"/>
        <v>6.546906187624657E-3</v>
      </c>
      <c r="E2497" s="14"/>
      <c r="F2497" s="9"/>
      <c r="G2497" s="9"/>
      <c r="H2497" s="9"/>
      <c r="I2497" s="9"/>
      <c r="J2497" s="9"/>
    </row>
    <row r="2498" spans="2:10" x14ac:dyDescent="0.25">
      <c r="B2498" s="1">
        <v>40654</v>
      </c>
      <c r="C2498" s="13">
        <v>12.525</v>
      </c>
      <c r="D2498" s="6">
        <f t="shared" si="266"/>
        <v>2.420475917900089E-2</v>
      </c>
      <c r="E2498" s="14"/>
      <c r="F2498" s="9"/>
      <c r="G2498" s="9"/>
      <c r="H2498" s="9"/>
      <c r="I2498" s="9"/>
      <c r="J2498" s="9"/>
    </row>
    <row r="2499" spans="2:10" x14ac:dyDescent="0.25">
      <c r="B2499" s="1">
        <v>40653</v>
      </c>
      <c r="C2499" s="13">
        <v>12.228999999999999</v>
      </c>
      <c r="D2499" s="6">
        <f t="shared" si="266"/>
        <v>1.3509033648267721E-2</v>
      </c>
      <c r="E2499" s="14"/>
      <c r="F2499" s="9"/>
      <c r="G2499" s="9"/>
      <c r="H2499" s="9"/>
      <c r="I2499" s="9"/>
      <c r="J2499" s="9"/>
    </row>
    <row r="2500" spans="2:10" x14ac:dyDescent="0.25">
      <c r="B2500" s="1">
        <v>40652</v>
      </c>
      <c r="C2500" s="13">
        <v>12.066000000000001</v>
      </c>
      <c r="D2500" s="6">
        <f t="shared" si="266"/>
        <v>1.8056024299696327E-2</v>
      </c>
      <c r="E2500" s="14"/>
      <c r="F2500" s="9"/>
      <c r="G2500" s="9"/>
      <c r="H2500" s="9"/>
      <c r="I2500" s="9"/>
      <c r="J2500" s="9"/>
    </row>
    <row r="2501" spans="2:10" x14ac:dyDescent="0.25">
      <c r="B2501" s="1">
        <v>40651</v>
      </c>
      <c r="C2501" s="13">
        <v>11.852</v>
      </c>
      <c r="D2501" s="6">
        <f t="shared" si="266"/>
        <v>1.3424540401881124E-2</v>
      </c>
      <c r="E2501" s="14"/>
      <c r="F2501" s="9"/>
      <c r="G2501" s="9"/>
      <c r="H2501" s="9"/>
      <c r="I2501" s="9"/>
      <c r="J2501" s="9"/>
    </row>
    <row r="2502" spans="2:10" x14ac:dyDescent="0.25">
      <c r="B2502" s="1">
        <v>40648</v>
      </c>
      <c r="C2502" s="13">
        <v>11.695</v>
      </c>
      <c r="D2502" s="6">
        <f t="shared" si="266"/>
        <v>-1.4909029649595618E-2</v>
      </c>
      <c r="E2502" s="14"/>
      <c r="F2502" s="9"/>
      <c r="G2502" s="9"/>
      <c r="H2502" s="9"/>
      <c r="I2502" s="9"/>
      <c r="J2502" s="9"/>
    </row>
    <row r="2503" spans="2:10" x14ac:dyDescent="0.25">
      <c r="B2503" s="1">
        <v>40647</v>
      </c>
      <c r="C2503" s="13">
        <v>11.872</v>
      </c>
      <c r="D2503" s="6">
        <f t="shared" si="266"/>
        <v>-1.1078717201166266E-2</v>
      </c>
      <c r="E2503" s="14"/>
      <c r="F2503" s="9"/>
      <c r="G2503" s="9"/>
      <c r="H2503" s="9"/>
      <c r="I2503" s="9"/>
      <c r="J2503" s="9"/>
    </row>
    <row r="2504" spans="2:10" x14ac:dyDescent="0.25">
      <c r="B2504" s="1">
        <v>40646</v>
      </c>
      <c r="C2504" s="13">
        <v>12.005000000000001</v>
      </c>
      <c r="D2504" s="6">
        <f t="shared" si="266"/>
        <v>1.128801280431313E-2</v>
      </c>
      <c r="E2504" s="14"/>
      <c r="F2504" s="9"/>
      <c r="G2504" s="9"/>
      <c r="H2504" s="9"/>
      <c r="I2504" s="9"/>
      <c r="J2504" s="9"/>
    </row>
    <row r="2505" spans="2:10" x14ac:dyDescent="0.25">
      <c r="B2505" s="1">
        <v>40645</v>
      </c>
      <c r="C2505" s="13">
        <v>11.871</v>
      </c>
      <c r="D2505" s="6">
        <f t="shared" si="266"/>
        <v>4.8247841543931358E-3</v>
      </c>
      <c r="E2505" s="14"/>
      <c r="F2505" s="9"/>
      <c r="G2505" s="9"/>
      <c r="H2505" s="9"/>
      <c r="I2505" s="9"/>
      <c r="J2505" s="9"/>
    </row>
    <row r="2506" spans="2:10" x14ac:dyDescent="0.25">
      <c r="B2506" s="1">
        <v>40644</v>
      </c>
      <c r="C2506" s="13">
        <v>11.814</v>
      </c>
      <c r="D2506" s="6">
        <f t="shared" si="266"/>
        <v>-1.2702657529667372E-2</v>
      </c>
      <c r="E2506" s="14"/>
      <c r="F2506" s="9"/>
      <c r="G2506" s="9"/>
      <c r="H2506" s="9"/>
      <c r="I2506" s="9"/>
      <c r="J2506" s="9"/>
    </row>
    <row r="2507" spans="2:10" x14ac:dyDescent="0.25">
      <c r="B2507" s="1">
        <v>40641</v>
      </c>
      <c r="C2507" s="13">
        <v>11.965999999999999</v>
      </c>
      <c r="D2507" s="6">
        <f t="shared" si="266"/>
        <v>-8.9448401523936072E-3</v>
      </c>
      <c r="E2507" s="14"/>
      <c r="F2507" s="9"/>
      <c r="G2507" s="9"/>
      <c r="H2507" s="9"/>
      <c r="I2507" s="9"/>
      <c r="J2507" s="9"/>
    </row>
    <row r="2508" spans="2:10" x14ac:dyDescent="0.25">
      <c r="B2508" s="1">
        <v>40640</v>
      </c>
      <c r="C2508" s="13">
        <v>12.074</v>
      </c>
      <c r="D2508" s="6">
        <f t="shared" si="266"/>
        <v>8.2829454153943161E-5</v>
      </c>
      <c r="E2508" s="14"/>
      <c r="F2508" s="9"/>
      <c r="G2508" s="9"/>
      <c r="H2508" s="9"/>
      <c r="I2508" s="9"/>
      <c r="J2508" s="9"/>
    </row>
    <row r="2509" spans="2:10" x14ac:dyDescent="0.25">
      <c r="B2509" s="1">
        <v>40639</v>
      </c>
      <c r="C2509" s="13">
        <v>12.073</v>
      </c>
      <c r="D2509" s="6">
        <f t="shared" si="266"/>
        <v>-2.4787242832354783E-3</v>
      </c>
      <c r="E2509" s="14"/>
      <c r="F2509" s="9"/>
      <c r="G2509" s="9"/>
      <c r="H2509" s="9"/>
      <c r="I2509" s="9"/>
      <c r="J2509" s="9"/>
    </row>
    <row r="2510" spans="2:10" x14ac:dyDescent="0.25">
      <c r="B2510" s="1">
        <v>40638</v>
      </c>
      <c r="C2510" s="13">
        <v>12.103</v>
      </c>
      <c r="D2510" s="6">
        <f t="shared" si="266"/>
        <v>-6.7295855560115525E-3</v>
      </c>
      <c r="E2510" s="14"/>
      <c r="F2510" s="9"/>
      <c r="G2510" s="9"/>
      <c r="H2510" s="9"/>
      <c r="I2510" s="9"/>
      <c r="J2510" s="9"/>
    </row>
    <row r="2511" spans="2:10" x14ac:dyDescent="0.25">
      <c r="B2511" s="1">
        <v>40637</v>
      </c>
      <c r="C2511" s="13">
        <v>12.185</v>
      </c>
      <c r="D2511" s="6">
        <f t="shared" si="266"/>
        <v>-9.8326019827724709E-3</v>
      </c>
      <c r="E2511" s="14"/>
      <c r="F2511" s="9"/>
      <c r="G2511" s="9"/>
      <c r="H2511" s="9"/>
      <c r="I2511" s="9"/>
      <c r="J2511" s="9"/>
    </row>
    <row r="2512" spans="2:10" x14ac:dyDescent="0.25">
      <c r="B2512" s="1">
        <v>40634</v>
      </c>
      <c r="C2512" s="13">
        <v>12.305999999999999</v>
      </c>
      <c r="D2512" s="6">
        <f t="shared" ref="D2512:D2574" si="273">C2512/C2513-1</f>
        <v>-1.1328030850807469E-2</v>
      </c>
      <c r="E2512" s="14"/>
      <c r="F2512" s="9"/>
      <c r="G2512" s="9"/>
      <c r="H2512" s="9"/>
      <c r="I2512" s="9"/>
      <c r="J2512" s="9"/>
    </row>
    <row r="2513" spans="2:10" x14ac:dyDescent="0.25">
      <c r="B2513" s="1">
        <v>40633</v>
      </c>
      <c r="C2513" s="13">
        <v>12.446999999999999</v>
      </c>
      <c r="D2513" s="6">
        <f t="shared" si="273"/>
        <v>-3.212593365995442E-4</v>
      </c>
      <c r="E2513" s="14"/>
      <c r="F2513" s="9"/>
      <c r="G2513" s="9"/>
      <c r="H2513" s="9"/>
      <c r="I2513" s="9"/>
      <c r="J2513" s="9"/>
    </row>
    <row r="2514" spans="2:10" x14ac:dyDescent="0.25">
      <c r="B2514" s="1">
        <v>40632</v>
      </c>
      <c r="C2514" s="13">
        <v>12.451000000000001</v>
      </c>
      <c r="D2514" s="6">
        <f t="shared" si="273"/>
        <v>-6.6219881921174562E-3</v>
      </c>
      <c r="E2514" s="14"/>
      <c r="F2514" s="9"/>
      <c r="G2514" s="9"/>
      <c r="H2514" s="9"/>
      <c r="I2514" s="9"/>
      <c r="J2514" s="9"/>
    </row>
    <row r="2515" spans="2:10" x14ac:dyDescent="0.25">
      <c r="B2515" s="1">
        <v>40631</v>
      </c>
      <c r="C2515" s="13">
        <v>12.534000000000001</v>
      </c>
      <c r="D2515" s="6">
        <f t="shared" si="273"/>
        <v>1.4381591562799834E-3</v>
      </c>
      <c r="E2515" s="14"/>
      <c r="F2515" s="9"/>
      <c r="G2515" s="9"/>
      <c r="H2515" s="9"/>
      <c r="I2515" s="9"/>
      <c r="J2515" s="9"/>
    </row>
    <row r="2516" spans="2:10" x14ac:dyDescent="0.25">
      <c r="B2516" s="1">
        <v>40630</v>
      </c>
      <c r="C2516" s="13">
        <v>12.516</v>
      </c>
      <c r="D2516" s="6">
        <f t="shared" si="273"/>
        <v>-3.1063321385901288E-3</v>
      </c>
      <c r="E2516" s="14"/>
      <c r="F2516" s="9"/>
      <c r="G2516" s="9"/>
      <c r="H2516" s="9"/>
      <c r="I2516" s="9"/>
      <c r="J2516" s="9"/>
    </row>
    <row r="2517" spans="2:10" x14ac:dyDescent="0.25">
      <c r="B2517" s="1">
        <v>40627</v>
      </c>
      <c r="C2517" s="13">
        <v>12.555</v>
      </c>
      <c r="D2517" s="6">
        <f t="shared" si="273"/>
        <v>1.9074675324675328E-2</v>
      </c>
      <c r="E2517" s="14"/>
      <c r="F2517" s="9"/>
      <c r="G2517" s="9"/>
      <c r="H2517" s="9"/>
      <c r="I2517" s="9"/>
      <c r="J2517" s="9"/>
    </row>
    <row r="2518" spans="2:10" x14ac:dyDescent="0.25">
      <c r="B2518" s="1">
        <v>40626</v>
      </c>
      <c r="C2518" s="13">
        <v>12.32</v>
      </c>
      <c r="D2518" s="6">
        <f t="shared" si="273"/>
        <v>1.7005118045236856E-2</v>
      </c>
      <c r="E2518" s="14"/>
      <c r="F2518" s="9"/>
      <c r="G2518" s="9"/>
      <c r="H2518" s="9"/>
      <c r="I2518" s="9"/>
      <c r="J2518" s="9"/>
    </row>
    <row r="2519" spans="2:10" x14ac:dyDescent="0.25">
      <c r="B2519" s="1">
        <v>40625</v>
      </c>
      <c r="C2519" s="13">
        <v>12.114000000000001</v>
      </c>
      <c r="D2519" s="6">
        <f t="shared" si="273"/>
        <v>-5.9084194977843119E-3</v>
      </c>
      <c r="E2519" s="14"/>
      <c r="F2519" s="9"/>
      <c r="G2519" s="9"/>
      <c r="H2519" s="9"/>
      <c r="I2519" s="9"/>
      <c r="J2519" s="9"/>
    </row>
    <row r="2520" spans="2:10" x14ac:dyDescent="0.25">
      <c r="B2520" s="1">
        <v>40624</v>
      </c>
      <c r="C2520" s="13">
        <v>12.186</v>
      </c>
      <c r="D2520" s="6">
        <f t="shared" si="273"/>
        <v>5.6114870440666653E-3</v>
      </c>
      <c r="E2520" s="14"/>
      <c r="F2520" s="9"/>
      <c r="G2520" s="9"/>
      <c r="H2520" s="9"/>
      <c r="I2520" s="9"/>
      <c r="J2520" s="9"/>
    </row>
    <row r="2521" spans="2:10" x14ac:dyDescent="0.25">
      <c r="B2521" s="1">
        <v>40623</v>
      </c>
      <c r="C2521" s="13">
        <v>12.118</v>
      </c>
      <c r="D2521" s="6">
        <f t="shared" si="273"/>
        <v>2.6079593564775516E-2</v>
      </c>
      <c r="E2521" s="14"/>
      <c r="F2521" s="9"/>
      <c r="G2521" s="9"/>
      <c r="H2521" s="9"/>
      <c r="I2521" s="9"/>
      <c r="J2521" s="9"/>
    </row>
    <row r="2522" spans="2:10" x14ac:dyDescent="0.25">
      <c r="B2522" s="1">
        <v>40620</v>
      </c>
      <c r="C2522" s="13">
        <v>11.81</v>
      </c>
      <c r="D2522" s="6">
        <f t="shared" si="273"/>
        <v>-1.1798175884863205E-2</v>
      </c>
      <c r="E2522" s="14"/>
      <c r="F2522" s="9"/>
      <c r="G2522" s="9"/>
      <c r="H2522" s="9"/>
      <c r="I2522" s="9"/>
      <c r="J2522" s="9"/>
    </row>
    <row r="2523" spans="2:10" x14ac:dyDescent="0.25">
      <c r="B2523" s="1">
        <v>40619</v>
      </c>
      <c r="C2523" s="13">
        <v>11.951000000000001</v>
      </c>
      <c r="D2523" s="6">
        <f t="shared" si="273"/>
        <v>1.3999660614288256E-2</v>
      </c>
      <c r="E2523" s="14"/>
      <c r="F2523" s="9"/>
      <c r="G2523" s="9"/>
      <c r="H2523" s="9"/>
      <c r="I2523" s="9"/>
      <c r="J2523" s="9"/>
    </row>
    <row r="2524" spans="2:10" x14ac:dyDescent="0.25">
      <c r="B2524" s="1">
        <v>40618</v>
      </c>
      <c r="C2524" s="13">
        <v>11.786</v>
      </c>
      <c r="D2524" s="6">
        <f t="shared" si="273"/>
        <v>-4.4662397665558906E-2</v>
      </c>
      <c r="E2524" s="14"/>
      <c r="F2524" s="9"/>
      <c r="G2524" s="9"/>
      <c r="H2524" s="9"/>
      <c r="I2524" s="9"/>
      <c r="J2524" s="9"/>
    </row>
    <row r="2525" spans="2:10" x14ac:dyDescent="0.25">
      <c r="B2525" s="1">
        <v>40617</v>
      </c>
      <c r="C2525" s="13">
        <v>12.337</v>
      </c>
      <c r="D2525" s="6">
        <f t="shared" si="273"/>
        <v>-2.2966658747129221E-2</v>
      </c>
      <c r="E2525" s="14"/>
      <c r="F2525" s="9"/>
      <c r="G2525" s="9"/>
      <c r="H2525" s="9"/>
      <c r="I2525" s="9"/>
      <c r="J2525" s="9"/>
    </row>
    <row r="2526" spans="2:10" x14ac:dyDescent="0.25">
      <c r="B2526" s="1">
        <v>40616</v>
      </c>
      <c r="C2526" s="13">
        <v>12.627000000000001</v>
      </c>
      <c r="D2526" s="6">
        <f t="shared" si="273"/>
        <v>4.4546973192267636E-3</v>
      </c>
      <c r="E2526" s="14"/>
      <c r="F2526" s="9"/>
      <c r="G2526" s="9"/>
      <c r="H2526" s="9"/>
      <c r="I2526" s="9"/>
      <c r="J2526" s="9"/>
    </row>
    <row r="2527" spans="2:10" x14ac:dyDescent="0.25">
      <c r="B2527" s="1">
        <v>40613</v>
      </c>
      <c r="C2527" s="13">
        <v>12.571</v>
      </c>
      <c r="D2527" s="6">
        <f t="shared" si="273"/>
        <v>1.5346094822712208E-2</v>
      </c>
      <c r="E2527" s="14"/>
      <c r="F2527" s="9"/>
      <c r="G2527" s="9"/>
      <c r="H2527" s="9"/>
      <c r="I2527" s="9"/>
      <c r="J2527" s="9"/>
    </row>
    <row r="2528" spans="2:10" x14ac:dyDescent="0.25">
      <c r="B2528" s="1">
        <v>40612</v>
      </c>
      <c r="C2528" s="13">
        <v>12.381</v>
      </c>
      <c r="D2528" s="6">
        <f t="shared" si="273"/>
        <v>-1.6444232602478515E-2</v>
      </c>
      <c r="E2528" s="14"/>
      <c r="F2528" s="9"/>
      <c r="G2528" s="9"/>
      <c r="H2528" s="9"/>
      <c r="I2528" s="9"/>
      <c r="J2528" s="9"/>
    </row>
    <row r="2529" spans="2:10" x14ac:dyDescent="0.25">
      <c r="B2529" s="1">
        <v>40611</v>
      </c>
      <c r="C2529" s="13">
        <v>12.587999999999999</v>
      </c>
      <c r="D2529" s="6">
        <f t="shared" si="273"/>
        <v>-9.2869510467495919E-3</v>
      </c>
      <c r="E2529" s="14"/>
      <c r="F2529" s="9"/>
      <c r="G2529" s="9"/>
      <c r="H2529" s="9"/>
      <c r="I2529" s="9"/>
      <c r="J2529" s="9"/>
    </row>
    <row r="2530" spans="2:10" x14ac:dyDescent="0.25">
      <c r="B2530" s="1">
        <v>40610</v>
      </c>
      <c r="C2530" s="13">
        <v>12.706</v>
      </c>
      <c r="D2530" s="6">
        <f t="shared" si="273"/>
        <v>1.1819399574499734E-3</v>
      </c>
      <c r="E2530" s="14"/>
      <c r="F2530" s="9"/>
      <c r="G2530" s="9"/>
      <c r="H2530" s="9"/>
      <c r="I2530" s="9"/>
      <c r="J2530" s="9"/>
    </row>
    <row r="2531" spans="2:10" x14ac:dyDescent="0.25">
      <c r="B2531" s="1">
        <v>40609</v>
      </c>
      <c r="C2531" s="13">
        <v>12.691000000000001</v>
      </c>
      <c r="D2531" s="6">
        <f t="shared" si="273"/>
        <v>-1.2911254569495156E-2</v>
      </c>
      <c r="E2531" s="14"/>
      <c r="F2531" s="9"/>
      <c r="G2531" s="9"/>
      <c r="H2531" s="9"/>
      <c r="I2531" s="9"/>
      <c r="J2531" s="9"/>
    </row>
    <row r="2532" spans="2:10" x14ac:dyDescent="0.25">
      <c r="B2532" s="1">
        <v>40606</v>
      </c>
      <c r="C2532" s="13">
        <v>12.856999999999999</v>
      </c>
      <c r="D2532" s="6">
        <f t="shared" si="273"/>
        <v>1.2460088778132317E-3</v>
      </c>
      <c r="E2532" s="14"/>
      <c r="F2532" s="9"/>
      <c r="G2532" s="9"/>
      <c r="H2532" s="9"/>
      <c r="I2532" s="9"/>
      <c r="J2532" s="9"/>
    </row>
    <row r="2533" spans="2:10" x14ac:dyDescent="0.25">
      <c r="B2533" s="1">
        <v>40605</v>
      </c>
      <c r="C2533" s="13">
        <v>12.840999999999999</v>
      </c>
      <c r="D2533" s="6">
        <f t="shared" si="273"/>
        <v>2.1071882951653853E-2</v>
      </c>
      <c r="E2533" s="14"/>
      <c r="F2533" s="9"/>
      <c r="G2533" s="9"/>
      <c r="H2533" s="9"/>
      <c r="I2533" s="9"/>
      <c r="J2533" s="9"/>
    </row>
    <row r="2534" spans="2:10" x14ac:dyDescent="0.25">
      <c r="B2534" s="1">
        <v>40604</v>
      </c>
      <c r="C2534" s="13">
        <v>12.576000000000001</v>
      </c>
      <c r="D2534" s="6">
        <f t="shared" si="273"/>
        <v>8.0961923847695516E-3</v>
      </c>
      <c r="E2534" s="14"/>
      <c r="F2534" s="9"/>
      <c r="G2534" s="9"/>
      <c r="H2534" s="9"/>
      <c r="I2534" s="9"/>
      <c r="J2534" s="9"/>
    </row>
    <row r="2535" spans="2:10" x14ac:dyDescent="0.25">
      <c r="B2535" s="1">
        <v>40603</v>
      </c>
      <c r="C2535" s="13">
        <v>12.475</v>
      </c>
      <c r="D2535" s="6">
        <f t="shared" si="273"/>
        <v>-1.1097899326198979E-2</v>
      </c>
      <c r="E2535" s="14"/>
      <c r="F2535" s="9"/>
      <c r="G2535" s="9"/>
      <c r="H2535" s="9"/>
      <c r="I2535" s="9"/>
      <c r="J2535" s="9"/>
    </row>
    <row r="2536" spans="2:10" x14ac:dyDescent="0.25">
      <c r="B2536" s="1">
        <v>40602</v>
      </c>
      <c r="C2536" s="13">
        <v>12.615</v>
      </c>
      <c r="D2536" s="6">
        <f t="shared" si="273"/>
        <v>1.4556860221972112E-2</v>
      </c>
      <c r="E2536" s="14"/>
      <c r="F2536" s="9"/>
      <c r="G2536" s="9"/>
      <c r="H2536" s="9"/>
      <c r="I2536" s="9"/>
      <c r="J2536" s="9"/>
    </row>
    <row r="2537" spans="2:10" x14ac:dyDescent="0.25">
      <c r="B2537" s="1">
        <v>40599</v>
      </c>
      <c r="C2537" s="13">
        <v>12.433999999999999</v>
      </c>
      <c r="D2537" s="6">
        <f t="shared" si="273"/>
        <v>1.5351951657684104E-2</v>
      </c>
      <c r="E2537" s="14"/>
      <c r="F2537" s="9"/>
      <c r="G2537" s="9"/>
      <c r="H2537" s="9"/>
      <c r="I2537" s="9"/>
      <c r="J2537" s="9"/>
    </row>
    <row r="2538" spans="2:10" x14ac:dyDescent="0.25">
      <c r="B2538" s="1">
        <v>40598</v>
      </c>
      <c r="C2538" s="13">
        <v>12.246</v>
      </c>
      <c r="D2538" s="6">
        <f t="shared" si="273"/>
        <v>8.1726054266106907E-4</v>
      </c>
      <c r="E2538" s="14"/>
      <c r="F2538" s="9"/>
      <c r="G2538" s="9"/>
      <c r="H2538" s="9"/>
      <c r="I2538" s="9"/>
      <c r="J2538" s="9"/>
    </row>
    <row r="2539" spans="2:10" x14ac:dyDescent="0.25">
      <c r="B2539" s="1">
        <v>40597</v>
      </c>
      <c r="C2539" s="13">
        <v>12.236000000000001</v>
      </c>
      <c r="D2539" s="6">
        <f t="shared" si="273"/>
        <v>1.1825022740428404E-2</v>
      </c>
      <c r="E2539" s="14"/>
      <c r="F2539" s="9"/>
      <c r="G2539" s="9"/>
      <c r="H2539" s="9"/>
      <c r="I2539" s="9"/>
      <c r="J2539" s="9"/>
    </row>
    <row r="2540" spans="2:10" x14ac:dyDescent="0.25">
      <c r="B2540" s="1">
        <v>40596</v>
      </c>
      <c r="C2540" s="13">
        <v>12.093</v>
      </c>
      <c r="D2540" s="6">
        <f t="shared" si="273"/>
        <v>-3.4105431309904177E-2</v>
      </c>
      <c r="E2540" s="14"/>
      <c r="F2540" s="9"/>
      <c r="G2540" s="9"/>
      <c r="H2540" s="9"/>
      <c r="I2540" s="9"/>
      <c r="J2540" s="9"/>
    </row>
    <row r="2541" spans="2:10" x14ac:dyDescent="0.25">
      <c r="B2541" s="1">
        <v>40592</v>
      </c>
      <c r="C2541" s="13">
        <v>12.52</v>
      </c>
      <c r="D2541" s="6">
        <f t="shared" si="273"/>
        <v>-2.1569240387621091E-2</v>
      </c>
      <c r="E2541" s="14"/>
      <c r="F2541" s="9"/>
      <c r="G2541" s="9"/>
      <c r="H2541" s="9"/>
      <c r="I2541" s="9"/>
      <c r="J2541" s="9"/>
    </row>
    <row r="2542" spans="2:10" x14ac:dyDescent="0.25">
      <c r="B2542" s="1">
        <v>40591</v>
      </c>
      <c r="C2542" s="13">
        <v>12.795999999999999</v>
      </c>
      <c r="D2542" s="6">
        <f t="shared" si="273"/>
        <v>-1.3339501889120253E-2</v>
      </c>
      <c r="E2542" s="14"/>
      <c r="F2542" s="9"/>
      <c r="G2542" s="9"/>
      <c r="H2542" s="9"/>
      <c r="I2542" s="9"/>
      <c r="J2542" s="9"/>
    </row>
    <row r="2543" spans="2:10" x14ac:dyDescent="0.25">
      <c r="B2543" s="1">
        <v>40590</v>
      </c>
      <c r="C2543" s="13">
        <v>12.968999999999999</v>
      </c>
      <c r="D2543" s="6">
        <f t="shared" si="273"/>
        <v>8.9466313987864865E-3</v>
      </c>
      <c r="E2543" s="14"/>
      <c r="F2543" s="9"/>
      <c r="G2543" s="9"/>
      <c r="H2543" s="9"/>
      <c r="I2543" s="9"/>
      <c r="J2543" s="9"/>
    </row>
    <row r="2544" spans="2:10" x14ac:dyDescent="0.25">
      <c r="B2544" s="1">
        <v>40589</v>
      </c>
      <c r="C2544" s="13">
        <v>12.853999999999999</v>
      </c>
      <c r="D2544" s="6">
        <f t="shared" si="273"/>
        <v>2.0268163392578309E-3</v>
      </c>
      <c r="E2544" s="14"/>
      <c r="F2544" s="9"/>
      <c r="G2544" s="9"/>
      <c r="H2544" s="9"/>
      <c r="I2544" s="9"/>
      <c r="J2544" s="9"/>
    </row>
    <row r="2545" spans="2:10" x14ac:dyDescent="0.25">
      <c r="B2545" s="1">
        <v>40588</v>
      </c>
      <c r="C2545" s="13">
        <v>12.827999999999999</v>
      </c>
      <c r="D2545" s="6">
        <f t="shared" si="273"/>
        <v>6.5123577873675842E-3</v>
      </c>
      <c r="E2545" s="14"/>
      <c r="F2545" s="9"/>
      <c r="G2545" s="9"/>
      <c r="H2545" s="9"/>
      <c r="I2545" s="9"/>
      <c r="J2545" s="9"/>
    </row>
    <row r="2546" spans="2:10" x14ac:dyDescent="0.25">
      <c r="B2546" s="1">
        <v>40585</v>
      </c>
      <c r="C2546" s="13">
        <v>12.744999999999999</v>
      </c>
      <c r="D2546" s="6">
        <f t="shared" si="273"/>
        <v>6.5550465961141668E-3</v>
      </c>
      <c r="E2546" s="14"/>
      <c r="F2546" s="9"/>
      <c r="G2546" s="9"/>
      <c r="H2546" s="9"/>
      <c r="I2546" s="9"/>
      <c r="J2546" s="9"/>
    </row>
    <row r="2547" spans="2:10" x14ac:dyDescent="0.25">
      <c r="B2547" s="1">
        <v>40584</v>
      </c>
      <c r="C2547" s="13">
        <v>12.662000000000001</v>
      </c>
      <c r="D2547" s="6">
        <f t="shared" si="273"/>
        <v>-1.0085216167617816E-2</v>
      </c>
      <c r="E2547" s="14"/>
      <c r="F2547" s="9"/>
      <c r="G2547" s="9"/>
      <c r="H2547" s="9"/>
      <c r="I2547" s="9"/>
      <c r="J2547" s="9"/>
    </row>
    <row r="2548" spans="2:10" x14ac:dyDescent="0.25">
      <c r="B2548" s="1">
        <v>40583</v>
      </c>
      <c r="C2548" s="13">
        <v>12.791</v>
      </c>
      <c r="D2548" s="6">
        <f t="shared" si="273"/>
        <v>8.2768406116979776E-3</v>
      </c>
      <c r="E2548" s="14"/>
      <c r="F2548" s="9"/>
      <c r="G2548" s="9"/>
      <c r="H2548" s="9"/>
      <c r="I2548" s="9"/>
      <c r="J2548" s="9"/>
    </row>
    <row r="2549" spans="2:10" x14ac:dyDescent="0.25">
      <c r="B2549" s="1">
        <v>40582</v>
      </c>
      <c r="C2549" s="13">
        <v>12.686</v>
      </c>
      <c r="D2549" s="6">
        <f t="shared" si="273"/>
        <v>9.4692448476167979E-3</v>
      </c>
      <c r="E2549" s="14"/>
      <c r="F2549" s="9"/>
      <c r="G2549" s="9"/>
      <c r="H2549" s="9"/>
      <c r="I2549" s="9"/>
      <c r="J2549" s="9"/>
    </row>
    <row r="2550" spans="2:10" x14ac:dyDescent="0.25">
      <c r="B2550" s="1">
        <v>40581</v>
      </c>
      <c r="C2550" s="13">
        <v>12.567</v>
      </c>
      <c r="D2550" s="6">
        <f t="shared" si="273"/>
        <v>1.5515151515151482E-2</v>
      </c>
      <c r="E2550" s="14"/>
      <c r="F2550" s="9"/>
      <c r="G2550" s="9"/>
      <c r="H2550" s="9"/>
      <c r="I2550" s="9"/>
      <c r="J2550" s="9"/>
    </row>
    <row r="2551" spans="2:10" x14ac:dyDescent="0.25">
      <c r="B2551" s="1">
        <v>40578</v>
      </c>
      <c r="C2551" s="13">
        <v>12.375</v>
      </c>
      <c r="D2551" s="6">
        <f t="shared" si="273"/>
        <v>8.8863525191587023E-3</v>
      </c>
      <c r="E2551" s="14"/>
      <c r="F2551" s="9"/>
      <c r="G2551" s="9"/>
      <c r="H2551" s="9"/>
      <c r="I2551" s="9"/>
      <c r="J2551" s="9"/>
    </row>
    <row r="2552" spans="2:10" x14ac:dyDescent="0.25">
      <c r="B2552" s="1">
        <v>40577</v>
      </c>
      <c r="C2552" s="13">
        <v>12.266</v>
      </c>
      <c r="D2552" s="6">
        <f t="shared" si="273"/>
        <v>-2.5209400666830195E-3</v>
      </c>
      <c r="E2552" s="14"/>
      <c r="F2552" s="9"/>
      <c r="G2552" s="9"/>
      <c r="H2552" s="9"/>
      <c r="I2552" s="9"/>
      <c r="J2552" s="9"/>
    </row>
    <row r="2553" spans="2:10" x14ac:dyDescent="0.25">
      <c r="B2553" s="1">
        <v>40576</v>
      </c>
      <c r="C2553" s="13">
        <v>12.297000000000001</v>
      </c>
      <c r="D2553" s="6">
        <f t="shared" si="273"/>
        <v>-2.1098758419215713E-3</v>
      </c>
      <c r="E2553" s="14"/>
      <c r="F2553" s="9"/>
      <c r="G2553" s="9"/>
      <c r="H2553" s="9"/>
      <c r="I2553" s="9"/>
      <c r="J2553" s="9"/>
    </row>
    <row r="2554" spans="2:10" x14ac:dyDescent="0.25">
      <c r="B2554" s="1">
        <v>40575</v>
      </c>
      <c r="C2554" s="13">
        <v>12.323</v>
      </c>
      <c r="D2554" s="6">
        <f t="shared" si="273"/>
        <v>1.6833072035646657E-2</v>
      </c>
      <c r="E2554" s="14"/>
      <c r="F2554" s="9"/>
      <c r="G2554" s="9"/>
      <c r="H2554" s="9"/>
      <c r="I2554" s="9"/>
      <c r="J2554" s="9"/>
    </row>
    <row r="2555" spans="2:10" x14ac:dyDescent="0.25">
      <c r="B2555" s="1">
        <v>40574</v>
      </c>
      <c r="C2555" s="13">
        <v>12.119</v>
      </c>
      <c r="D2555" s="6">
        <f t="shared" si="273"/>
        <v>9.5801399533488318E-3</v>
      </c>
      <c r="E2555" s="14"/>
      <c r="F2555" s="9"/>
      <c r="G2555" s="9"/>
      <c r="H2555" s="9"/>
      <c r="I2555" s="9"/>
      <c r="J2555" s="9"/>
    </row>
    <row r="2556" spans="2:10" x14ac:dyDescent="0.25">
      <c r="B2556" s="1">
        <v>40571</v>
      </c>
      <c r="C2556" s="13">
        <v>12.004</v>
      </c>
      <c r="D2556" s="6">
        <f t="shared" si="273"/>
        <v>-2.0721161690324674E-2</v>
      </c>
      <c r="E2556" s="14"/>
      <c r="F2556" s="9"/>
      <c r="G2556" s="9"/>
      <c r="H2556" s="9"/>
      <c r="I2556" s="9"/>
      <c r="J2556" s="9"/>
    </row>
    <row r="2557" spans="2:10" x14ac:dyDescent="0.25">
      <c r="B2557" s="1">
        <v>40570</v>
      </c>
      <c r="C2557" s="13">
        <v>12.257999999999999</v>
      </c>
      <c r="D2557" s="6">
        <f t="shared" si="273"/>
        <v>-1.7915309446254746E-3</v>
      </c>
      <c r="E2557" s="14"/>
      <c r="F2557" s="9"/>
      <c r="G2557" s="9"/>
      <c r="H2557" s="9"/>
      <c r="I2557" s="9"/>
      <c r="J2557" s="9"/>
    </row>
    <row r="2558" spans="2:10" x14ac:dyDescent="0.25">
      <c r="B2558" s="1">
        <v>40569</v>
      </c>
      <c r="C2558" s="13">
        <v>12.28</v>
      </c>
      <c r="D2558" s="6">
        <f t="shared" si="273"/>
        <v>7.1352415320264928E-3</v>
      </c>
      <c r="E2558" s="14"/>
      <c r="F2558" s="9"/>
      <c r="G2558" s="9"/>
      <c r="H2558" s="9"/>
      <c r="I2558" s="9"/>
      <c r="J2558" s="9"/>
    </row>
    <row r="2559" spans="2:10" x14ac:dyDescent="0.25">
      <c r="B2559" s="1">
        <v>40568</v>
      </c>
      <c r="C2559" s="13">
        <v>12.193</v>
      </c>
      <c r="D2559" s="6">
        <f t="shared" si="273"/>
        <v>1.1699303020245688E-2</v>
      </c>
      <c r="E2559" s="14"/>
      <c r="F2559" s="9"/>
      <c r="G2559" s="9"/>
      <c r="H2559" s="9"/>
      <c r="I2559" s="9"/>
      <c r="J2559" s="9"/>
    </row>
    <row r="2560" spans="2:10" x14ac:dyDescent="0.25">
      <c r="B2560" s="1">
        <v>40567</v>
      </c>
      <c r="C2560" s="13">
        <v>12.052</v>
      </c>
      <c r="D2560" s="6">
        <f t="shared" si="273"/>
        <v>3.2822007027165867E-2</v>
      </c>
      <c r="E2560" s="14"/>
      <c r="F2560" s="9"/>
      <c r="G2560" s="9"/>
      <c r="H2560" s="9"/>
      <c r="I2560" s="9"/>
      <c r="J2560" s="9"/>
    </row>
    <row r="2561" spans="2:10" x14ac:dyDescent="0.25">
      <c r="B2561" s="1">
        <v>40564</v>
      </c>
      <c r="C2561" s="13">
        <v>11.669</v>
      </c>
      <c r="D2561" s="6">
        <f t="shared" si="273"/>
        <v>-1.7843615857251027E-2</v>
      </c>
      <c r="E2561" s="14"/>
      <c r="F2561" s="9"/>
      <c r="G2561" s="9"/>
      <c r="H2561" s="9"/>
      <c r="I2561" s="9"/>
      <c r="J2561" s="9"/>
    </row>
    <row r="2562" spans="2:10" x14ac:dyDescent="0.25">
      <c r="B2562" s="1">
        <v>40563</v>
      </c>
      <c r="C2562" s="13">
        <v>11.881</v>
      </c>
      <c r="D2562" s="6">
        <f t="shared" si="273"/>
        <v>-1.8180315676390446E-2</v>
      </c>
      <c r="E2562" s="14"/>
      <c r="F2562" s="9"/>
      <c r="G2562" s="9"/>
      <c r="H2562" s="9"/>
      <c r="I2562" s="9"/>
      <c r="J2562" s="9"/>
    </row>
    <row r="2563" spans="2:10" x14ac:dyDescent="0.25">
      <c r="B2563" s="1">
        <v>40562</v>
      </c>
      <c r="C2563" s="13">
        <v>12.101000000000001</v>
      </c>
      <c r="D2563" s="6">
        <f t="shared" si="273"/>
        <v>-5.3427585073154704E-3</v>
      </c>
      <c r="E2563" s="14"/>
      <c r="F2563" s="9"/>
      <c r="G2563" s="9"/>
      <c r="H2563" s="9"/>
      <c r="I2563" s="9"/>
      <c r="J2563" s="9"/>
    </row>
    <row r="2564" spans="2:10" x14ac:dyDescent="0.25">
      <c r="B2564" s="1">
        <v>40561</v>
      </c>
      <c r="C2564" s="13">
        <v>12.166</v>
      </c>
      <c r="D2564" s="6">
        <f t="shared" si="273"/>
        <v>-2.2497187851518552E-2</v>
      </c>
      <c r="E2564" s="14"/>
      <c r="F2564" s="9"/>
      <c r="G2564" s="9"/>
      <c r="H2564" s="9"/>
      <c r="I2564" s="9"/>
      <c r="J2564" s="9"/>
    </row>
    <row r="2565" spans="2:10" x14ac:dyDescent="0.25">
      <c r="B2565" s="1">
        <v>40557</v>
      </c>
      <c r="C2565" s="13">
        <v>12.446</v>
      </c>
      <c r="D2565" s="6">
        <f t="shared" si="273"/>
        <v>8.0997894054755104E-3</v>
      </c>
      <c r="E2565" s="14"/>
      <c r="F2565" s="9"/>
      <c r="G2565" s="9"/>
      <c r="H2565" s="9"/>
      <c r="I2565" s="9"/>
      <c r="J2565" s="9"/>
    </row>
    <row r="2566" spans="2:10" x14ac:dyDescent="0.25">
      <c r="B2566" s="1">
        <v>40556</v>
      </c>
      <c r="C2566" s="13">
        <v>12.346</v>
      </c>
      <c r="D2566" s="6">
        <f t="shared" si="273"/>
        <v>3.6582391675472614E-3</v>
      </c>
      <c r="E2566" s="14"/>
      <c r="F2566" s="9"/>
      <c r="G2566" s="9"/>
      <c r="H2566" s="9"/>
      <c r="I2566" s="9"/>
      <c r="J2566" s="9"/>
    </row>
    <row r="2567" spans="2:10" x14ac:dyDescent="0.25">
      <c r="B2567" s="1">
        <v>40555</v>
      </c>
      <c r="C2567" s="13">
        <v>12.301</v>
      </c>
      <c r="D2567" s="6">
        <f t="shared" si="273"/>
        <v>8.1960495041388803E-3</v>
      </c>
      <c r="E2567" s="14"/>
      <c r="F2567" s="9"/>
      <c r="G2567" s="9"/>
      <c r="H2567" s="9"/>
      <c r="I2567" s="9"/>
      <c r="J2567" s="9"/>
    </row>
    <row r="2568" spans="2:10" x14ac:dyDescent="0.25">
      <c r="B2568" s="1">
        <v>40554</v>
      </c>
      <c r="C2568" s="13">
        <v>12.201000000000001</v>
      </c>
      <c r="D2568" s="6">
        <f t="shared" si="273"/>
        <v>-2.452783909737466E-3</v>
      </c>
      <c r="E2568" s="14"/>
      <c r="F2568" s="9"/>
      <c r="G2568" s="9"/>
      <c r="H2568" s="9"/>
      <c r="I2568" s="9"/>
      <c r="J2568" s="9"/>
    </row>
    <row r="2569" spans="2:10" x14ac:dyDescent="0.25">
      <c r="B2569" s="1">
        <v>40553</v>
      </c>
      <c r="C2569" s="13">
        <v>12.231</v>
      </c>
      <c r="D2569" s="6">
        <f t="shared" si="273"/>
        <v>1.8910363212262693E-2</v>
      </c>
      <c r="E2569" s="14"/>
      <c r="F2569" s="9"/>
      <c r="G2569" s="9"/>
      <c r="H2569" s="9"/>
      <c r="I2569" s="9"/>
      <c r="J2569" s="9"/>
    </row>
    <row r="2570" spans="2:10" x14ac:dyDescent="0.25">
      <c r="B2570" s="1">
        <v>40550</v>
      </c>
      <c r="C2570" s="13">
        <v>12.004</v>
      </c>
      <c r="D2570" s="6">
        <f t="shared" si="273"/>
        <v>7.1314707609697603E-3</v>
      </c>
      <c r="E2570" s="14"/>
      <c r="F2570" s="9"/>
      <c r="G2570" s="9"/>
      <c r="H2570" s="9"/>
      <c r="I2570" s="9"/>
      <c r="J2570" s="9"/>
    </row>
    <row r="2571" spans="2:10" x14ac:dyDescent="0.25">
      <c r="B2571" s="1">
        <v>40549</v>
      </c>
      <c r="C2571" s="13">
        <v>11.919</v>
      </c>
      <c r="D2571" s="6">
        <f t="shared" si="273"/>
        <v>-8.3829323497353059E-4</v>
      </c>
      <c r="E2571" s="14"/>
      <c r="F2571" s="9"/>
      <c r="G2571" s="9"/>
      <c r="H2571" s="9"/>
      <c r="I2571" s="9"/>
      <c r="J2571" s="9"/>
    </row>
    <row r="2572" spans="2:10" x14ac:dyDescent="0.25">
      <c r="B2572" s="1">
        <v>40548</v>
      </c>
      <c r="C2572" s="13">
        <v>11.929</v>
      </c>
      <c r="D2572" s="6">
        <f t="shared" si="273"/>
        <v>8.1981068289385117E-3</v>
      </c>
      <c r="E2572" s="14"/>
      <c r="F2572" s="9"/>
      <c r="G2572" s="9"/>
      <c r="H2572" s="9"/>
      <c r="I2572" s="9"/>
      <c r="J2572" s="9"/>
    </row>
    <row r="2573" spans="2:10" x14ac:dyDescent="0.25">
      <c r="B2573" s="1">
        <v>40547</v>
      </c>
      <c r="C2573" s="13">
        <v>11.832000000000001</v>
      </c>
      <c r="D2573" s="6">
        <f t="shared" si="273"/>
        <v>5.2676295666951312E-3</v>
      </c>
      <c r="E2573" s="14"/>
      <c r="F2573" s="9"/>
      <c r="G2573" s="9"/>
      <c r="H2573" s="9"/>
      <c r="I2573" s="9"/>
      <c r="J2573" s="9"/>
    </row>
    <row r="2574" spans="2:10" x14ac:dyDescent="0.25">
      <c r="B2574" s="1">
        <v>40546</v>
      </c>
      <c r="C2574" s="13">
        <v>11.77</v>
      </c>
      <c r="D2574" s="6">
        <f t="shared" si="273"/>
        <v>2.170138888888884E-2</v>
      </c>
      <c r="E2574" s="14"/>
      <c r="F2574" s="9"/>
      <c r="G2574" s="9"/>
      <c r="H2574" s="9"/>
      <c r="I2574" s="9"/>
      <c r="J2574" s="9"/>
    </row>
    <row r="2575" spans="2:10" x14ac:dyDescent="0.25">
      <c r="B2575" s="1">
        <v>40543</v>
      </c>
      <c r="C2575" s="13">
        <v>11.52</v>
      </c>
      <c r="D2575" s="14"/>
      <c r="E2575" s="14"/>
      <c r="F2575" s="9"/>
      <c r="G2575" s="9"/>
      <c r="H2575" s="9"/>
      <c r="I2575" s="9"/>
      <c r="J2575" s="9"/>
    </row>
  </sheetData>
  <mergeCells count="4">
    <mergeCell ref="M2:N2"/>
    <mergeCell ref="I7:I8"/>
    <mergeCell ref="J7:J8"/>
    <mergeCell ref="F2:J2"/>
  </mergeCells>
  <phoneticPr fontId="2" type="noConversion"/>
  <conditionalFormatting sqref="J7:J8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LE">
                <anchor moveWithCells="1" sizeWithCells="1">
                  <from>
                    <xdr:col>5</xdr:col>
                    <xdr:colOff>38100</xdr:colOff>
                    <xdr:row>9</xdr:row>
                    <xdr:rowOff>28575</xdr:rowOff>
                  </from>
                  <to>
                    <xdr:col>6</xdr:col>
                    <xdr:colOff>723900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bm_price">
                <anchor moveWithCells="1" sizeWithCells="1">
                  <from>
                    <xdr:col>8</xdr:col>
                    <xdr:colOff>57150</xdr:colOff>
                    <xdr:row>9</xdr:row>
                    <xdr:rowOff>19050</xdr:rowOff>
                  </from>
                  <to>
                    <xdr:col>9</xdr:col>
                    <xdr:colOff>904875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AgentUser</dc:creator>
  <cp:lastModifiedBy>Andre</cp:lastModifiedBy>
  <dcterms:created xsi:type="dcterms:W3CDTF">2021-03-07T16:41:37Z</dcterms:created>
  <dcterms:modified xsi:type="dcterms:W3CDTF">2021-03-08T00:04:08Z</dcterms:modified>
</cp:coreProperties>
</file>